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N:\WEB sdes\Articles à créer\Bilan environnemental 2023 articles\morgane_Fiche 02_Pollution eaux superficielles\"/>
    </mc:Choice>
  </mc:AlternateContent>
  <xr:revisionPtr revIDLastSave="0" documentId="13_ncr:1_{0DA3C820-1919-4A0D-AD6C-68B3163C4D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ommaire" sheetId="7" r:id="rId1"/>
    <sheet name="Indice_Nitrate_ESO_FM" sheetId="11" r:id="rId2"/>
    <sheet name="données graph 4, 5 et 6" sheetId="1" r:id="rId3"/>
    <sheet name="Graphique 4" sheetId="3" r:id="rId4"/>
    <sheet name="Graphique 5" sheetId="4" r:id="rId5"/>
    <sheet name="Graphique 6" sheetId="5" r:id="rId6"/>
    <sheet name="Graphique 7" sheetId="12" r:id="rId7"/>
    <sheet name="Graphique 8" sheetId="13" r:id="rId8"/>
  </sheets>
  <externalReferences>
    <externalReference r:id="rId9"/>
  </externalReferences>
  <definedNames>
    <definedName name="_xlnm._FilterDatabase" localSheetId="3" hidden="1">'Graphique 4'!$A$1:$Q$36</definedName>
    <definedName name="_xlnm._FilterDatabase" localSheetId="4" hidden="1">'Graphique 5'!$A$1:$R$18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3" l="1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AS4" i="12"/>
  <c r="AS5" i="12"/>
  <c r="AS6" i="12"/>
  <c r="AS7" i="12"/>
  <c r="AS8" i="12"/>
  <c r="AR18" i="12" s="1"/>
  <c r="AS9" i="12"/>
  <c r="AS10" i="12"/>
  <c r="B11" i="12"/>
  <c r="C11" i="12"/>
  <c r="C13" i="12" s="1"/>
  <c r="D11" i="12"/>
  <c r="D13" i="12" s="1"/>
  <c r="E11" i="12"/>
  <c r="F11" i="12"/>
  <c r="AS11" i="12" s="1"/>
  <c r="G11" i="12"/>
  <c r="H11" i="12"/>
  <c r="I11" i="12"/>
  <c r="I12" i="12" s="1"/>
  <c r="J11" i="12"/>
  <c r="J13" i="12" s="1"/>
  <c r="K11" i="12"/>
  <c r="K12" i="12" s="1"/>
  <c r="L11" i="12"/>
  <c r="L12" i="12" s="1"/>
  <c r="M11" i="12"/>
  <c r="M12" i="12" s="1"/>
  <c r="N11" i="12"/>
  <c r="O11" i="12"/>
  <c r="O13" i="12" s="1"/>
  <c r="P11" i="12"/>
  <c r="P13" i="12" s="1"/>
  <c r="Q11" i="12"/>
  <c r="R11" i="12"/>
  <c r="R13" i="12" s="1"/>
  <c r="S11" i="12"/>
  <c r="T11" i="12"/>
  <c r="U11" i="12"/>
  <c r="V11" i="12"/>
  <c r="V13" i="12" s="1"/>
  <c r="W11" i="12"/>
  <c r="W12" i="12" s="1"/>
  <c r="X11" i="12"/>
  <c r="X15" i="12" s="1"/>
  <c r="Y11" i="12"/>
  <c r="Y12" i="12" s="1"/>
  <c r="Z11" i="12"/>
  <c r="AA11" i="12"/>
  <c r="AA13" i="12" s="1"/>
  <c r="AB11" i="12"/>
  <c r="AB13" i="12" s="1"/>
  <c r="AC11" i="12"/>
  <c r="AD11" i="12"/>
  <c r="AD13" i="12" s="1"/>
  <c r="AE11" i="12"/>
  <c r="AF11" i="12"/>
  <c r="AG11" i="12"/>
  <c r="AH11" i="12"/>
  <c r="AH13" i="12" s="1"/>
  <c r="AI11" i="12"/>
  <c r="AI12" i="12" s="1"/>
  <c r="AJ11" i="12"/>
  <c r="AJ12" i="12" s="1"/>
  <c r="AK11" i="12"/>
  <c r="AK15" i="12" s="1"/>
  <c r="AL11" i="12"/>
  <c r="AM11" i="12"/>
  <c r="AM13" i="12" s="1"/>
  <c r="AN11" i="12"/>
  <c r="AN13" i="12" s="1"/>
  <c r="AO11" i="12"/>
  <c r="AP11" i="12"/>
  <c r="AP13" i="12" s="1"/>
  <c r="AQ11" i="12"/>
  <c r="AR11" i="12"/>
  <c r="B12" i="12"/>
  <c r="C12" i="12"/>
  <c r="D12" i="12"/>
  <c r="E12" i="12"/>
  <c r="G12" i="12"/>
  <c r="H12" i="12"/>
  <c r="J12" i="12"/>
  <c r="N12" i="12"/>
  <c r="O12" i="12"/>
  <c r="P12" i="12"/>
  <c r="Q12" i="12"/>
  <c r="S12" i="12"/>
  <c r="T12" i="12"/>
  <c r="U12" i="12"/>
  <c r="V12" i="12"/>
  <c r="Z12" i="12"/>
  <c r="AA12" i="12"/>
  <c r="AB12" i="12"/>
  <c r="AC12" i="12"/>
  <c r="AE12" i="12"/>
  <c r="AF12" i="12"/>
  <c r="AG12" i="12"/>
  <c r="AH12" i="12"/>
  <c r="AL12" i="12"/>
  <c r="AM12" i="12"/>
  <c r="AN12" i="12"/>
  <c r="AO12" i="12"/>
  <c r="AQ12" i="12"/>
  <c r="AR12" i="12"/>
  <c r="B13" i="12"/>
  <c r="E13" i="12"/>
  <c r="G13" i="12"/>
  <c r="H13" i="12"/>
  <c r="I13" i="12"/>
  <c r="N13" i="12"/>
  <c r="Q13" i="12"/>
  <c r="S13" i="12"/>
  <c r="T13" i="12"/>
  <c r="U13" i="12"/>
  <c r="Z13" i="12"/>
  <c r="AC13" i="12"/>
  <c r="AE13" i="12"/>
  <c r="AF13" i="12"/>
  <c r="AG13" i="12"/>
  <c r="AL13" i="12"/>
  <c r="AO13" i="12"/>
  <c r="AQ13" i="12"/>
  <c r="AR13" i="12"/>
  <c r="B14" i="12"/>
  <c r="C14" i="12"/>
  <c r="D14" i="12"/>
  <c r="E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B15" i="12"/>
  <c r="C15" i="12"/>
  <c r="D15" i="12"/>
  <c r="E15" i="12"/>
  <c r="G15" i="12"/>
  <c r="H15" i="12"/>
  <c r="I15" i="12"/>
  <c r="J15" i="12"/>
  <c r="N15" i="12"/>
  <c r="O15" i="12"/>
  <c r="P15" i="12"/>
  <c r="Q15" i="12"/>
  <c r="S15" i="12"/>
  <c r="T15" i="12"/>
  <c r="U15" i="12"/>
  <c r="V15" i="12"/>
  <c r="Z15" i="12"/>
  <c r="AA15" i="12"/>
  <c r="AB15" i="12"/>
  <c r="AC15" i="12"/>
  <c r="AE15" i="12"/>
  <c r="AF15" i="12"/>
  <c r="AG15" i="12"/>
  <c r="AH15" i="12"/>
  <c r="AL15" i="12"/>
  <c r="AM15" i="12"/>
  <c r="AN15" i="12"/>
  <c r="AO15" i="12"/>
  <c r="AQ15" i="12"/>
  <c r="AR15" i="12"/>
  <c r="J17" i="12"/>
  <c r="L17" i="12"/>
  <c r="J18" i="12"/>
  <c r="J19" i="12"/>
  <c r="J20" i="12"/>
  <c r="J21" i="12"/>
  <c r="L22" i="12"/>
  <c r="AN23" i="12"/>
  <c r="AO23" i="12"/>
  <c r="AP23" i="12"/>
  <c r="AQ23" i="12"/>
  <c r="L24" i="12"/>
  <c r="L25" i="12"/>
  <c r="Q25" i="12"/>
  <c r="L26" i="12"/>
  <c r="Q27" i="12"/>
  <c r="L28" i="12"/>
  <c r="Q28" i="12"/>
  <c r="O29" i="12"/>
  <c r="L23" i="12" s="1"/>
  <c r="Q30" i="12"/>
  <c r="Q29" i="12" s="1"/>
  <c r="H31" i="12"/>
  <c r="AS14" i="12" l="1"/>
  <c r="AS15" i="12"/>
  <c r="AS12" i="12"/>
  <c r="AS13" i="12"/>
  <c r="F14" i="12"/>
  <c r="AK13" i="12"/>
  <c r="M13" i="12"/>
  <c r="AJ13" i="12"/>
  <c r="L13" i="12"/>
  <c r="W13" i="12"/>
  <c r="Y13" i="12"/>
  <c r="X13" i="12"/>
  <c r="AI13" i="12"/>
  <c r="K13" i="12"/>
  <c r="AP15" i="12"/>
  <c r="AD15" i="12"/>
  <c r="R15" i="12"/>
  <c r="F15" i="12"/>
  <c r="AP12" i="12"/>
  <c r="AD12" i="12"/>
  <c r="R12" i="12"/>
  <c r="F12" i="12"/>
  <c r="F13" i="12"/>
  <c r="M15" i="12"/>
  <c r="AK12" i="12"/>
  <c r="AJ15" i="12"/>
  <c r="L15" i="12"/>
  <c r="X12" i="12"/>
  <c r="Y15" i="12"/>
  <c r="AI15" i="12"/>
  <c r="W15" i="12"/>
  <c r="K15" i="12"/>
</calcChain>
</file>

<file path=xl/sharedStrings.xml><?xml version="1.0" encoding="utf-8"?>
<sst xmlns="http://schemas.openxmlformats.org/spreadsheetml/2006/main" count="916" uniqueCount="173">
  <si>
    <t>GEO</t>
  </si>
  <si>
    <t>CD_PARAM</t>
  </si>
  <si>
    <t>nstationparametre</t>
  </si>
  <si>
    <t>na</t>
  </si>
  <si>
    <t>nnaq</t>
  </si>
  <si>
    <t>taq</t>
  </si>
  <si>
    <t>nstation</t>
  </si>
  <si>
    <t>LI_PARAM</t>
  </si>
  <si>
    <t>Groupe</t>
  </si>
  <si>
    <t>Usage</t>
  </si>
  <si>
    <t>CMR</t>
  </si>
  <si>
    <t>NORME</t>
  </si>
  <si>
    <t>limitMax</t>
  </si>
  <si>
    <t>tauxsurveillance</t>
  </si>
  <si>
    <t>FM</t>
  </si>
  <si>
    <t>1108</t>
  </si>
  <si>
    <t>Atrazine déséthyl</t>
  </si>
  <si>
    <t>Pesticides</t>
  </si>
  <si>
    <t>Metabolite</t>
  </si>
  <si>
    <t>DOM</t>
  </si>
  <si>
    <t>1107</t>
  </si>
  <si>
    <t>Atrazine</t>
  </si>
  <si>
    <t>Herbicide</t>
  </si>
  <si>
    <t>1830</t>
  </si>
  <si>
    <t>Atrazine déisopropyl déséthyl</t>
  </si>
  <si>
    <t>1866</t>
  </si>
  <si>
    <t>Chlordécone</t>
  </si>
  <si>
    <t>Insecticide</t>
  </si>
  <si>
    <t>1263</t>
  </si>
  <si>
    <t>Simazine</t>
  </si>
  <si>
    <t>1832</t>
  </si>
  <si>
    <t>2-hydroxy atrazine</t>
  </si>
  <si>
    <t>Metabolites</t>
  </si>
  <si>
    <t>1201</t>
  </si>
  <si>
    <t>Hexachlorocyclohexane bêta</t>
  </si>
  <si>
    <t>1673</t>
  </si>
  <si>
    <t>Hexazinone</t>
  </si>
  <si>
    <t>1221</t>
  </si>
  <si>
    <t>Métolachlore total</t>
  </si>
  <si>
    <t>1113</t>
  </si>
  <si>
    <t>Bentazone</t>
  </si>
  <si>
    <t>1686</t>
  </si>
  <si>
    <t>Bromacil</t>
  </si>
  <si>
    <t>1173</t>
  </si>
  <si>
    <t>Dieldrine</t>
  </si>
  <si>
    <t>1109</t>
  </si>
  <si>
    <t>Atrazine déisopropyl</t>
  </si>
  <si>
    <t>1666</t>
  </si>
  <si>
    <t>Oxadixyl</t>
  </si>
  <si>
    <t>Fongicide</t>
  </si>
  <si>
    <t>1177</t>
  </si>
  <si>
    <t>Diuron</t>
  </si>
  <si>
    <t>CMR2</t>
  </si>
  <si>
    <t>2011</t>
  </si>
  <si>
    <t>2,6-Dichlorobenzamide</t>
  </si>
  <si>
    <t>1133</t>
  </si>
  <si>
    <t>Chloridazone</t>
  </si>
  <si>
    <t>2045</t>
  </si>
  <si>
    <t>Terbuthylazine désethyl</t>
  </si>
  <si>
    <t>1670</t>
  </si>
  <si>
    <t>Métazachlore</t>
  </si>
  <si>
    <t>1763</t>
  </si>
  <si>
    <t>Ethidimuron</t>
  </si>
  <si>
    <t>2051</t>
  </si>
  <si>
    <t>Terbumeton désethyl</t>
  </si>
  <si>
    <t>1954</t>
  </si>
  <si>
    <t>Terbuthylazine hydroxy</t>
  </si>
  <si>
    <t>1136</t>
  </si>
  <si>
    <t>Chlortoluron</t>
  </si>
  <si>
    <t>1257</t>
  </si>
  <si>
    <t>Propiconazole</t>
  </si>
  <si>
    <t>CMR1</t>
  </si>
  <si>
    <t>5526</t>
  </si>
  <si>
    <t>Boscalid</t>
  </si>
  <si>
    <t>1678</t>
  </si>
  <si>
    <t>Diméthénamide</t>
  </si>
  <si>
    <t>1104</t>
  </si>
  <si>
    <t>Amétryne</t>
  </si>
  <si>
    <t>2546</t>
  </si>
  <si>
    <t>Dimétachlore</t>
  </si>
  <si>
    <t>1814</t>
  </si>
  <si>
    <t>Diflufenicanil</t>
  </si>
  <si>
    <t>1506</t>
  </si>
  <si>
    <t>Glyphosate</t>
  </si>
  <si>
    <t>1907</t>
  </si>
  <si>
    <t>AMPA</t>
  </si>
  <si>
    <t>1940</t>
  </si>
  <si>
    <t>Thiafluamide</t>
  </si>
  <si>
    <t>1965</t>
  </si>
  <si>
    <t>asulame</t>
  </si>
  <si>
    <t>1268</t>
  </si>
  <si>
    <t>Terbuthylazine</t>
  </si>
  <si>
    <t>1744</t>
  </si>
  <si>
    <t>Epoxiconazole</t>
  </si>
  <si>
    <t>1176</t>
  </si>
  <si>
    <t>Dinoterbe</t>
  </si>
  <si>
    <t>1129</t>
  </si>
  <si>
    <t>Carbendazime</t>
  </si>
  <si>
    <t>1141</t>
  </si>
  <si>
    <t>2,4-D</t>
  </si>
  <si>
    <t>1225</t>
  </si>
  <si>
    <t>Métribuzine</t>
  </si>
  <si>
    <t>1414</t>
  </si>
  <si>
    <t>Propyzamide</t>
  </si>
  <si>
    <t>1680</t>
  </si>
  <si>
    <t>Cyproconazole</t>
  </si>
  <si>
    <t>1208</t>
  </si>
  <si>
    <t>Isoproturon</t>
  </si>
  <si>
    <t>Top 20 des pesticides et de leur métabolites les plus quantifiés dans les eaux souterraines de France métropolitaine sur la période 2019-2021</t>
  </si>
  <si>
    <t>Métabolite</t>
  </si>
  <si>
    <t>Asulame</t>
  </si>
  <si>
    <t>Type</t>
  </si>
  <si>
    <t>Substance mère</t>
  </si>
  <si>
    <t>Suivi</t>
  </si>
  <si>
    <t>Quantifié</t>
  </si>
  <si>
    <t>Substances surveillées sur la période</t>
  </si>
  <si>
    <t>Substances quantifiées au moins une fois sur la période</t>
  </si>
  <si>
    <t>Physico-chimie</t>
  </si>
  <si>
    <t>Metaux</t>
  </si>
  <si>
    <t>PFAS</t>
  </si>
  <si>
    <t>Pharmaceutiques</t>
  </si>
  <si>
    <t>Métaux</t>
  </si>
  <si>
    <t>Autres micropolluants</t>
  </si>
  <si>
    <t>Substances pharmaceutiques</t>
  </si>
  <si>
    <t>Indice Nitrate</t>
  </si>
  <si>
    <t>Année</t>
  </si>
  <si>
    <t>Évolution de l'indice nitrate dans les eaux souterraines de la France métropolitaine</t>
  </si>
  <si>
    <t>inconnu</t>
  </si>
  <si>
    <t>tecnhinqie</t>
  </si>
  <si>
    <t>vétuste</t>
  </si>
  <si>
    <t>débit</t>
  </si>
  <si>
    <t>non protégeable</t>
  </si>
  <si>
    <t>Autres</t>
  </si>
  <si>
    <t>adminsitratif</t>
  </si>
  <si>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Système d'information sur l'eau. Traitements : SDES, 2023</t>
    </r>
  </si>
  <si>
    <t>Administratif</t>
  </si>
  <si>
    <t>rationalisation</t>
  </si>
  <si>
    <t xml:space="preserve">Champ : France métropolitaine. </t>
  </si>
  <si>
    <t>Rationalisation</t>
  </si>
  <si>
    <t>microbiologie</t>
  </si>
  <si>
    <t xml:space="preserve">Inconnus, vides et autres </t>
  </si>
  <si>
    <t xml:space="preserve">Qualité autres paramètres </t>
  </si>
  <si>
    <t>autres paramètres</t>
  </si>
  <si>
    <t>Dégradé Vétuste</t>
  </si>
  <si>
    <t>Microbiologie</t>
  </si>
  <si>
    <t>nitrate et pesticides</t>
  </si>
  <si>
    <t>Débit</t>
  </si>
  <si>
    <t>Nitrates et pesticides</t>
  </si>
  <si>
    <t>pesticides</t>
  </si>
  <si>
    <t>Turbidité</t>
  </si>
  <si>
    <t>nitrate</t>
  </si>
  <si>
    <t>Technique</t>
  </si>
  <si>
    <t>%</t>
  </si>
  <si>
    <t>Qualité</t>
  </si>
  <si>
    <t>Total général</t>
  </si>
  <si>
    <t>Étiquettes de lignes</t>
  </si>
  <si>
    <t>En nombre de captage</t>
  </si>
  <si>
    <r>
      <rPr>
        <b/>
        <i/>
        <sz val="9"/>
        <color indexed="8"/>
        <rFont val="Arial"/>
        <family val="2"/>
      </rPr>
      <t xml:space="preserve">Source : </t>
    </r>
    <r>
      <rPr>
        <i/>
        <sz val="9"/>
        <color indexed="8"/>
        <rFont val="Arial"/>
        <family val="2"/>
      </rPr>
      <t>SDES, compte satellite de l'environnement, 2023</t>
    </r>
  </si>
  <si>
    <t>Champ : France.</t>
  </si>
  <si>
    <t>Note : les données excluent les dépenses consacrées à la surveillance et à la dépollution des eaux marines, à l'exception des efforts déployés pour lutter contre la prolifération des algues vertes</t>
  </si>
  <si>
    <t>Total</t>
  </si>
  <si>
    <t>Dépollution des sites et des sols pollués</t>
  </si>
  <si>
    <t>Prévention et surveillance des pollutions</t>
  </si>
  <si>
    <t xml:space="preserve">Assainissement des eaux usées </t>
  </si>
  <si>
    <t>En milliards d'euros courants</t>
  </si>
  <si>
    <t>Sommaire</t>
  </si>
  <si>
    <t>Nombre de substances suivies et quantifiées sur la période 2019-2021 dans les eaux souterraines en France par groupe de substances</t>
  </si>
  <si>
    <t>Top 15 des pesticides et de leur métabolites les plus quantifiés dans les eaux souterraines de France métropolitaine sur la période 2019-2021</t>
  </si>
  <si>
    <t>Top 15 des pesticides et de leur métabolites les plus quantifiés dans les eaux souterraines de DROM sur la période 2019-2021</t>
  </si>
  <si>
    <t>Graphique 7 : évolution du nombre de captages d'alimentation en eau potable fermées et leurs principaux motifs d'abandon</t>
  </si>
  <si>
    <t>Évolution du nombre de captages d'alimentation en eau potable fermées et leurs principaux motifs d'abandon</t>
  </si>
  <si>
    <t>Graphique 8  : évolution des dépenses engagées pour lutter contre les pollution des eaux superficielles et souterraines (hors eaux marines)</t>
  </si>
  <si>
    <t>Évolution des dépenses engagées pour lutter contre les pollution des eaux superficielles et souterraines (hors eaux marines)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</si>
</sst>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indexed="8"/>
      <name val="Arial"/>
      <family val="2"/>
    </font>
    <font>
      <b/>
      <i/>
      <sz val="9"/>
      <color indexed="8"/>
      <name val="Arial"/>
      <family val="2"/>
    </font>
    <font>
      <i/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0" fontId="20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0" fontId="1" fillId="0" borderId="0" xfId="1"/>
    <xf numFmtId="0" fontId="1" fillId="2" borderId="0" xfId="1" applyFill="1"/>
    <xf numFmtId="0" fontId="4" fillId="0" borderId="0" xfId="1" applyFont="1"/>
    <xf numFmtId="0" fontId="1" fillId="3" borderId="0" xfId="1" applyFill="1"/>
    <xf numFmtId="0" fontId="2" fillId="0" borderId="0" xfId="1" applyFont="1"/>
    <xf numFmtId="0" fontId="6" fillId="0" borderId="0" xfId="2" applyFont="1"/>
    <xf numFmtId="0" fontId="7" fillId="0" borderId="0" xfId="2" applyFont="1"/>
    <xf numFmtId="0" fontId="8" fillId="0" borderId="0" xfId="2" applyFont="1"/>
    <xf numFmtId="0" fontId="9" fillId="0" borderId="0" xfId="2" applyFont="1"/>
    <xf numFmtId="3" fontId="6" fillId="0" borderId="0" xfId="2" applyNumberFormat="1" applyFont="1"/>
    <xf numFmtId="165" fontId="6" fillId="0" borderId="0" xfId="3" applyNumberFormat="1" applyFont="1"/>
    <xf numFmtId="3" fontId="6" fillId="0" borderId="0" xfId="3" applyNumberFormat="1" applyFont="1"/>
    <xf numFmtId="0" fontId="10" fillId="0" borderId="0" xfId="2" applyFont="1"/>
    <xf numFmtId="0" fontId="11" fillId="0" borderId="0" xfId="2" applyFont="1"/>
    <xf numFmtId="0" fontId="12" fillId="0" borderId="0" xfId="2" applyFont="1"/>
    <xf numFmtId="0" fontId="14" fillId="0" borderId="0" xfId="2" applyFont="1"/>
    <xf numFmtId="0" fontId="15" fillId="0" borderId="0" xfId="2" applyFont="1"/>
    <xf numFmtId="166" fontId="16" fillId="0" borderId="1" xfId="2" applyNumberFormat="1" applyFont="1" applyBorder="1"/>
    <xf numFmtId="0" fontId="16" fillId="0" borderId="1" xfId="2" applyFont="1" applyBorder="1"/>
    <xf numFmtId="166" fontId="17" fillId="0" borderId="1" xfId="2" applyNumberFormat="1" applyFont="1" applyBorder="1"/>
    <xf numFmtId="0" fontId="17" fillId="0" borderId="1" xfId="2" applyFont="1" applyBorder="1"/>
    <xf numFmtId="1" fontId="16" fillId="0" borderId="1" xfId="2" applyNumberFormat="1" applyFont="1" applyBorder="1" applyAlignment="1">
      <alignment horizontal="center"/>
    </xf>
    <xf numFmtId="0" fontId="18" fillId="0" borderId="0" xfId="2" applyFont="1"/>
    <xf numFmtId="0" fontId="19" fillId="4" borderId="0" xfId="4" applyFont="1" applyFill="1"/>
    <xf numFmtId="0" fontId="20" fillId="0" borderId="0" xfId="5"/>
    <xf numFmtId="0" fontId="21" fillId="0" borderId="0" xfId="0" applyFont="1"/>
  </cellXfs>
  <cellStyles count="6">
    <cellStyle name="Lien hypertexte" xfId="5" builtinId="8"/>
    <cellStyle name="Normal" xfId="0" builtinId="0"/>
    <cellStyle name="Normal 2" xfId="1" xr:uid="{9C49088F-2261-4BDA-A23A-747011B09FFA}"/>
    <cellStyle name="Normal 2 2" xfId="4" xr:uid="{94DE66DA-1478-4881-9A67-CECA54BFE753}"/>
    <cellStyle name="Normal 3" xfId="2" xr:uid="{C89BC6B0-9D18-4353-B287-AC515C98BE6C}"/>
    <cellStyle name="Pourcentage 5" xfId="3" xr:uid="{29091BF3-F8CF-46BD-A3D3-0783DAAF2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89214813896004E-2"/>
          <c:y val="0.16412047027577095"/>
          <c:w val="0.87307511487750245"/>
          <c:h val="0.41722951297754446"/>
        </c:manualLayout>
      </c:layout>
      <c:lineChart>
        <c:grouping val="standard"/>
        <c:varyColors val="0"/>
        <c:ser>
          <c:idx val="1"/>
          <c:order val="1"/>
          <c:tx>
            <c:strRef>
              <c:f>Indice_Nitrate_ESO_FM!$B$5</c:f>
              <c:strCache>
                <c:ptCount val="1"/>
                <c:pt idx="0">
                  <c:v>Indice Nitrate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Indice_Nitrate_ESO_FM!$A$6:$A$27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Indice_Nitrate_ESO_FM!$B$6:$B$27</c:f>
              <c:numCache>
                <c:formatCode>0.0</c:formatCode>
                <c:ptCount val="22"/>
                <c:pt idx="0">
                  <c:v>100</c:v>
                </c:pt>
                <c:pt idx="1">
                  <c:v>101.226864662756</c:v>
                </c:pt>
                <c:pt idx="2">
                  <c:v>101.182827235388</c:v>
                </c:pt>
                <c:pt idx="3">
                  <c:v>100.833744317273</c:v>
                </c:pt>
                <c:pt idx="4">
                  <c:v>101.471649197806</c:v>
                </c:pt>
                <c:pt idx="5">
                  <c:v>99.716940010356197</c:v>
                </c:pt>
                <c:pt idx="6">
                  <c:v>101.45965281409001</c:v>
                </c:pt>
                <c:pt idx="7">
                  <c:v>101.88701433145199</c:v>
                </c:pt>
                <c:pt idx="8">
                  <c:v>102.38019051133099</c:v>
                </c:pt>
                <c:pt idx="9">
                  <c:v>101.208855477471</c:v>
                </c:pt>
                <c:pt idx="10">
                  <c:v>100.422718793192</c:v>
                </c:pt>
                <c:pt idx="11">
                  <c:v>99.436157535298605</c:v>
                </c:pt>
                <c:pt idx="12">
                  <c:v>98.944728251255299</c:v>
                </c:pt>
                <c:pt idx="13">
                  <c:v>100.84916248668399</c:v>
                </c:pt>
                <c:pt idx="14">
                  <c:v>99.356568179336193</c:v>
                </c:pt>
                <c:pt idx="15">
                  <c:v>98.164257944660903</c:v>
                </c:pt>
                <c:pt idx="16">
                  <c:v>97.159966617959299</c:v>
                </c:pt>
                <c:pt idx="17">
                  <c:v>96.924468922574306</c:v>
                </c:pt>
                <c:pt idx="18">
                  <c:v>96.948494069363804</c:v>
                </c:pt>
                <c:pt idx="19">
                  <c:v>98.564050792591303</c:v>
                </c:pt>
                <c:pt idx="20">
                  <c:v>100.47937476110501</c:v>
                </c:pt>
                <c:pt idx="21">
                  <c:v>101.191828726022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00-4D1D-AAA2-BD55325FD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19168"/>
        <c:axId val="88520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Indice_Nitrate_ESO_FM!$A$5</c15:sqref>
                        </c15:formulaRef>
                      </c:ext>
                    </c:extLst>
                    <c:strCache>
                      <c:ptCount val="1"/>
                      <c:pt idx="0">
                        <c:v>Année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Indice_Nitrate_ESO_FM!$A$6:$A$27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Indice_Nitrate_ESO_FM!$A$6:$A$27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00-4D1D-AAA2-BD55325FDDA0}"/>
                  </c:ext>
                </c:extLst>
              </c15:ser>
            </c15:filteredLineSeries>
          </c:ext>
        </c:extLst>
      </c:lineChart>
      <c:catAx>
        <c:axId val="88519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88520832"/>
        <c:crosses val="autoZero"/>
        <c:auto val="1"/>
        <c:lblAlgn val="ctr"/>
        <c:lblOffset val="100"/>
        <c:tickMarkSkip val="2"/>
        <c:noMultiLvlLbl val="0"/>
      </c:catAx>
      <c:valAx>
        <c:axId val="88520832"/>
        <c:scaling>
          <c:orientation val="minMax"/>
          <c:max val="1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8851916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439243934897294"/>
          <c:y val="0.12849169545506414"/>
          <c:w val="0.70450420463241348"/>
          <c:h val="0.536419137123988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'Graphique 4'!$B$39</c:f>
              <c:strCache>
                <c:ptCount val="1"/>
                <c:pt idx="0">
                  <c:v>taq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11-48E9-B8F7-034BB1FE9F2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11-48E9-B8F7-034BB1FE9F2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911-48E9-B8F7-034BB1FE9F29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11-48E9-B8F7-034BB1FE9F29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11-48E9-B8F7-034BB1FE9F29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911-48E9-B8F7-034BB1FE9F29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11-48E9-B8F7-034BB1FE9F29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11-48E9-B8F7-034BB1FE9F2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4902255-C6D6-46E3-B2A0-CFE28BF9B53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911-48E9-B8F7-034BB1FE9F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1C7095-EC41-4B2E-B2D0-F49C744DBFC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11-48E9-B8F7-034BB1FE9F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CBACBFC-D826-4EAA-9E33-F5FC0286ED8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11-48E9-B8F7-034BB1FE9F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BE8314-E7B3-42D2-8387-ADA5FAC8984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911-48E9-B8F7-034BB1FE9F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119BBC6-BDD0-4951-B290-0B005B0C786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911-48E9-B8F7-034BB1FE9F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59ACD89-4313-4C4C-8898-B5E6485D682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11-48E9-B8F7-034BB1FE9F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CD094CC-F1DD-4FBC-876C-45EC7F36B97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911-48E9-B8F7-034BB1FE9F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9FA81DD-7DF6-4330-A6F3-7A4DC1170B2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11-48E9-B8F7-034BB1FE9F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46E46FD-3EF6-4A03-BC04-1781148C42C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911-48E9-B8F7-034BB1FE9F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CCC283-183E-47A4-B997-38D9F7C41C5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911-48E9-B8F7-034BB1FE9F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7974761-403E-449D-AD2A-EC3291769E5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911-48E9-B8F7-034BB1FE9F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EE0A291-CDF2-46F1-925B-F2867E0847D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11-48E9-B8F7-034BB1FE9F2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41DDA73-CB28-4938-8F9E-ECEDAA50279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911-48E9-B8F7-034BB1FE9F2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E869386-B263-492C-81C0-0093F5C6CA4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11-48E9-B8F7-034BB1FE9F2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A1DCF00-1A26-4145-AF4C-F2E628E0606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911-48E9-B8F7-034BB1FE9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'Graphique 4'!$A$40:$A$59</c15:sqref>
                  </c15:fullRef>
                </c:ext>
              </c:extLst>
              <c:f>'Graphique 4'!$A$45:$A$59</c:f>
              <c:strCache>
                <c:ptCount val="15"/>
                <c:pt idx="0">
                  <c:v>Terbumeton désethyl</c:v>
                </c:pt>
                <c:pt idx="1">
                  <c:v>Ethidimuron</c:v>
                </c:pt>
                <c:pt idx="2">
                  <c:v>Métazachlore</c:v>
                </c:pt>
                <c:pt idx="3">
                  <c:v>Terbuthylazine désethyl</c:v>
                </c:pt>
                <c:pt idx="4">
                  <c:v>Chloridazone</c:v>
                </c:pt>
                <c:pt idx="5">
                  <c:v>Métolachlore total</c:v>
                </c:pt>
                <c:pt idx="6">
                  <c:v>2,6-Dichlorobenzamide</c:v>
                </c:pt>
                <c:pt idx="7">
                  <c:v>Oxadixyl</c:v>
                </c:pt>
                <c:pt idx="8">
                  <c:v>Atrazine déisopropyl</c:v>
                </c:pt>
                <c:pt idx="9">
                  <c:v>Bentazone</c:v>
                </c:pt>
                <c:pt idx="10">
                  <c:v>2-hydroxy atrazine</c:v>
                </c:pt>
                <c:pt idx="11">
                  <c:v>Simazine</c:v>
                </c:pt>
                <c:pt idx="12">
                  <c:v>Atrazine déisopropyl déséthyl</c:v>
                </c:pt>
                <c:pt idx="13">
                  <c:v>Atrazine</c:v>
                </c:pt>
                <c:pt idx="14">
                  <c:v>Atrazine déséthyl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'Graphique 4'!$B$40:$B$59</c15:sqref>
                  </c15:fullRef>
                </c:ext>
              </c:extLst>
              <c:f>'Graphique 4'!$B$45:$B$59</c:f>
              <c:numCache>
                <c:formatCode>General</c:formatCode>
                <c:ptCount val="15"/>
                <c:pt idx="0">
                  <c:v>3.9002605135839201</c:v>
                </c:pt>
                <c:pt idx="1">
                  <c:v>4.0599276400456503</c:v>
                </c:pt>
                <c:pt idx="2">
                  <c:v>4.39274223554904</c:v>
                </c:pt>
                <c:pt idx="3">
                  <c:v>4.9542750599307501</c:v>
                </c:pt>
                <c:pt idx="4">
                  <c:v>5.5351217881118302</c:v>
                </c:pt>
                <c:pt idx="5">
                  <c:v>5.8000216661250104</c:v>
                </c:pt>
                <c:pt idx="6">
                  <c:v>7.7180788559141904</c:v>
                </c:pt>
                <c:pt idx="7">
                  <c:v>7.8612610963667997</c:v>
                </c:pt>
                <c:pt idx="8">
                  <c:v>9.8210829641735806</c:v>
                </c:pt>
                <c:pt idx="9">
                  <c:v>10.5461312099706</c:v>
                </c:pt>
                <c:pt idx="10">
                  <c:v>13.4760332460435</c:v>
                </c:pt>
                <c:pt idx="11">
                  <c:v>14.9486722660558</c:v>
                </c:pt>
                <c:pt idx="12">
                  <c:v>26.382430789040701</c:v>
                </c:pt>
                <c:pt idx="13">
                  <c:v>32.059564913469899</c:v>
                </c:pt>
                <c:pt idx="14">
                  <c:v>44.535259456377098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'Graphique 4'!$C$40:$C$59</c15:f>
                <c15:dlblRangeCache>
                  <c:ptCount val="20"/>
                  <c:pt idx="0">
                    <c:v>Herbicide</c:v>
                  </c:pt>
                  <c:pt idx="1">
                    <c:v>Fongicide</c:v>
                  </c:pt>
                  <c:pt idx="2">
                    <c:v>Herbicide</c:v>
                  </c:pt>
                  <c:pt idx="3">
                    <c:v>Herbicide</c:v>
                  </c:pt>
                  <c:pt idx="4">
                    <c:v>Métabolite</c:v>
                  </c:pt>
                  <c:pt idx="5">
                    <c:v>Métabolite</c:v>
                  </c:pt>
                  <c:pt idx="6">
                    <c:v>Substance mère</c:v>
                  </c:pt>
                  <c:pt idx="7">
                    <c:v>Substance mère</c:v>
                  </c:pt>
                  <c:pt idx="8">
                    <c:v>Métabolite</c:v>
                  </c:pt>
                  <c:pt idx="9">
                    <c:v>Substance mère</c:v>
                  </c:pt>
                  <c:pt idx="10">
                    <c:v>Substance mère</c:v>
                  </c:pt>
                  <c:pt idx="11">
                    <c:v>Métabolite</c:v>
                  </c:pt>
                  <c:pt idx="12">
                    <c:v>Substance mère</c:v>
                  </c:pt>
                  <c:pt idx="13">
                    <c:v>Métabolite</c:v>
                  </c:pt>
                  <c:pt idx="14">
                    <c:v>Substance mère</c:v>
                  </c:pt>
                  <c:pt idx="15">
                    <c:v>Métabolite</c:v>
                  </c:pt>
                  <c:pt idx="16">
                    <c:v>Substance mère</c:v>
                  </c:pt>
                  <c:pt idx="17">
                    <c:v>Métabolite</c:v>
                  </c:pt>
                  <c:pt idx="18">
                    <c:v>Substance mère</c:v>
                  </c:pt>
                  <c:pt idx="19">
                    <c:v>Métabolite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'Graphique 4'!$B$40</c15:sqref>
                  <c15:spPr xmlns:c15="http://schemas.microsoft.com/office/drawing/2012/chart">
                    <a:solidFill>
                      <a:srgbClr val="C00000"/>
                    </a:solidFill>
                    <a:ln>
                      <a:noFill/>
                    </a:ln>
                    <a:effectLst/>
                  </c15:spPr>
                </c15:categoryFilterException>
                <c15:categoryFilterException>
                  <c15:sqref>'Graphique 4'!$B$41</c15:sqref>
                  <c15:spPr xmlns:c15="http://schemas.microsoft.com/office/drawing/2012/chart">
                    <a:solidFill>
                      <a:srgbClr val="FFC000"/>
                    </a:solidFill>
                    <a:ln>
                      <a:noFill/>
                    </a:ln>
                    <a:effectLst/>
                  </c15:spPr>
                </c15:categoryFilterException>
                <c15:categoryFilterException>
                  <c15:sqref>'Graphique 4'!$B$42</c15:sqref>
                  <c15:spPr xmlns:c15="http://schemas.microsoft.com/office/drawing/2012/chart">
                    <a:solidFill>
                      <a:srgbClr val="C00000"/>
                    </a:solidFill>
                    <a:ln>
                      <a:noFill/>
                    </a:ln>
                    <a:effectLst/>
                  </c15:spPr>
                </c15:categoryFilterException>
                <c15:categoryFilterException>
                  <c15:sqref>'Graphique 4'!$B$43</c15:sqref>
                  <c15:spPr xmlns:c15="http://schemas.microsoft.com/office/drawing/2012/chart">
                    <a:solidFill>
                      <a:srgbClr val="C00000"/>
                    </a:solidFill>
                    <a:ln>
                      <a:noFill/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911-48E9-B8F7-034BB1FE9F29}"/>
            </c:ext>
          </c:extLst>
        </c:ser>
        <c:ser>
          <c:idx val="1"/>
          <c:order val="1"/>
          <c:tx>
            <c:strRef>
              <c:f>'Graphique 4'!$C$39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Terbumeton désethyl</c:v>
              </c:pt>
              <c:pt idx="1">
                <c:v>Ethidimuron</c:v>
              </c:pt>
              <c:pt idx="2">
                <c:v>Métazachlore</c:v>
              </c:pt>
              <c:pt idx="3">
                <c:v>Terbuthylazine désethyl</c:v>
              </c:pt>
              <c:pt idx="4">
                <c:v>Chloridazone</c:v>
              </c:pt>
              <c:pt idx="5">
                <c:v>Métolachlore total</c:v>
              </c:pt>
              <c:pt idx="6">
                <c:v>2,6-Dichlorobenzamide</c:v>
              </c:pt>
              <c:pt idx="7">
                <c:v>Oxadixyl</c:v>
              </c:pt>
              <c:pt idx="8">
                <c:v>Atrazine déisopropyl</c:v>
              </c:pt>
              <c:pt idx="9">
                <c:v>Bentazone</c:v>
              </c:pt>
              <c:pt idx="10">
                <c:v>2-hydroxy atrazine</c:v>
              </c:pt>
              <c:pt idx="11">
                <c:v>Simazine</c:v>
              </c:pt>
              <c:pt idx="12">
                <c:v>Atrazine déisopropyl déséthyl</c:v>
              </c:pt>
              <c:pt idx="13">
                <c:v>Atrazine</c:v>
              </c:pt>
              <c:pt idx="14">
                <c:v>Atrazine déséthyl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'Graphique 4'!$C$40:$C$59</c15:sqref>
                  </c15:fullRef>
                </c:ext>
              </c:extLst>
              <c:f>'Graphique 4'!$C$45:$C$59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1-48E9-B8F7-034BB1FE9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740000"/>
        <c:axId val="8374124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'Graphique 4'!$A$40:$A$59</c15:sqref>
                        </c15:fullRef>
                        <c15:formulaRef>
                          <c15:sqref>'Graphique 4'!$A$45:$A$59</c15:sqref>
                        </c15:formulaRef>
                      </c:ext>
                    </c:extLst>
                    <c:strCache>
                      <c:ptCount val="15"/>
                      <c:pt idx="0">
                        <c:v>Boscalid</c:v>
                      </c:pt>
                      <c:pt idx="1">
                        <c:v>Diuron</c:v>
                      </c:pt>
                      <c:pt idx="2">
                        <c:v>Chlortoluron</c:v>
                      </c:pt>
                      <c:pt idx="3">
                        <c:v>Terbuthylazine hydroxy</c:v>
                      </c:pt>
                      <c:pt idx="4">
                        <c:v>Terbumeton désethyl</c:v>
                      </c:pt>
                      <c:pt idx="5">
                        <c:v>Ethidimuron</c:v>
                      </c:pt>
                      <c:pt idx="6">
                        <c:v>Métazachlore</c:v>
                      </c:pt>
                      <c:pt idx="7">
                        <c:v>Terbuthylazine désethyl</c:v>
                      </c:pt>
                      <c:pt idx="8">
                        <c:v>Chloridazone</c:v>
                      </c:pt>
                      <c:pt idx="9">
                        <c:v>Métolachlore total</c:v>
                      </c:pt>
                      <c:pt idx="10">
                        <c:v>2,6-Dichlorobenzamide</c:v>
                      </c:pt>
                      <c:pt idx="11">
                        <c:v>Oxadixyl</c:v>
                      </c:pt>
                      <c:pt idx="12">
                        <c:v>Atrazine déisopropyl</c:v>
                      </c:pt>
                      <c:pt idx="13">
                        <c:v>Bentazone</c:v>
                      </c:pt>
                      <c:pt idx="14">
                        <c:v>2-hydroxy atrazine</c:v>
                      </c:pt>
                      <c:pt idx="15">
                        <c:v>Simazine</c:v>
                      </c:pt>
                      <c:pt idx="16">
                        <c:v>Atrazine déisopropyl déséthyl</c:v>
                      </c:pt>
                      <c:pt idx="17">
                        <c:v>Atrazine</c:v>
                      </c:pt>
                      <c:pt idx="18">
                        <c:v>Atrazine déséthyl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'Graphique 4'!$C$58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B7B2-4F5B-A5B0-0A9FAEE8F61A}"/>
                  </c:ext>
                </c:extLst>
              </c15:ser>
            </c15:filteredBarSeries>
          </c:ext>
        </c:extLst>
      </c:barChart>
      <c:catAx>
        <c:axId val="8374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41248"/>
        <c:crosses val="autoZero"/>
        <c:auto val="1"/>
        <c:lblAlgn val="ctr"/>
        <c:lblOffset val="100"/>
        <c:noMultiLvlLbl val="0"/>
      </c:catAx>
      <c:valAx>
        <c:axId val="8374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4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368480508244898"/>
          <c:y val="0.14351851851851852"/>
          <c:w val="0.67955202291975758"/>
          <c:h val="0.53820048875001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'Graphique 5'!$C$25</c:f>
              <c:strCache>
                <c:ptCount val="1"/>
                <c:pt idx="0">
                  <c:v>taq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EBA-4635-A6FE-B37A880A6986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EBA-4635-A6FE-B37A880A698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EBA-4635-A6FE-B37A880A6986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EBA-4635-A6FE-B37A880A6986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EBA-4635-A6FE-B37A880A6986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EBA-4635-A6FE-B37A880A698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EBA-4635-A6FE-B37A880A6986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EBA-4635-A6FE-B37A880A6986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BA-4635-A6FE-B37A880A6986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EBA-4635-A6FE-B37A880A698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A-4635-A6FE-B37A880A6986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BA-4635-A6FE-B37A880A698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BA-4635-A6FE-B37A880A698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F01DAFB-C37A-4C56-9597-D5750989C4F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EBA-4635-A6FE-B37A880A698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0353CC-5DA4-4FE6-86B4-23F0C1B2088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EBA-4635-A6FE-B37A880A69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D4004D-75A6-44EF-B660-7517E051DD4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EBA-4635-A6FE-B37A880A69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4F957F-41D0-49E2-B092-32198A1EA08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EBA-4635-A6FE-B37A880A698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3397CB7-92B2-4179-AA85-3CF322C73C9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EBA-4635-A6FE-B37A880A698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1CD7347-A058-4330-A37D-49FEB18CCD0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EBA-4635-A6FE-B37A880A698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C4408FD-5198-4F25-8359-E109315A512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EBA-4635-A6FE-B37A880A698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D6F53A1-558E-47BC-9905-475E882B8FB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EBA-4635-A6FE-B37A880A698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975EE55-A90B-4E41-9C22-103FCA99DEE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EBA-4635-A6FE-B37A880A698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639543E-F45E-4561-8C4E-5BA277B0899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EBA-4635-A6FE-B37A880A698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5D5C8B-E573-4522-969D-4CCA280FE25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EBA-4635-A6FE-B37A880A698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EDB7990-354F-4D00-9182-606B0E35A1E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EBA-4635-A6FE-B37A880A698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9F23534-E751-437C-B991-96E3FE8ABDC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EBA-4635-A6FE-B37A880A698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2A28B7C-07AC-468F-9724-1195431B786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EBA-4635-A6FE-B37A880A698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C049DC5-C2E5-4FA6-939D-2490DA482FA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EBA-4635-A6FE-B37A880A69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'Graphique 5'!$A$26:$A$40</c:f>
              <c:strCache>
                <c:ptCount val="15"/>
                <c:pt idx="0">
                  <c:v>Asulame</c:v>
                </c:pt>
                <c:pt idx="1">
                  <c:v>Glyphosate</c:v>
                </c:pt>
                <c:pt idx="2">
                  <c:v>Amétryne</c:v>
                </c:pt>
                <c:pt idx="3">
                  <c:v>Propiconazole</c:v>
                </c:pt>
                <c:pt idx="4">
                  <c:v>Atrazine déisopropyl</c:v>
                </c:pt>
                <c:pt idx="5">
                  <c:v>Bentazone</c:v>
                </c:pt>
                <c:pt idx="6">
                  <c:v>Diuron</c:v>
                </c:pt>
                <c:pt idx="7">
                  <c:v>Dieldrine</c:v>
                </c:pt>
                <c:pt idx="8">
                  <c:v>Bromacil</c:v>
                </c:pt>
                <c:pt idx="9">
                  <c:v>Métolachlore total</c:v>
                </c:pt>
                <c:pt idx="10">
                  <c:v>Hexazinone</c:v>
                </c:pt>
                <c:pt idx="11">
                  <c:v>Hexachlorocyclohexane bêta</c:v>
                </c:pt>
                <c:pt idx="12">
                  <c:v>Atrazine</c:v>
                </c:pt>
                <c:pt idx="13">
                  <c:v>Chlordécone</c:v>
                </c:pt>
                <c:pt idx="14">
                  <c:v>Atrazine déséthyl</c:v>
                </c:pt>
              </c:strCache>
            </c:strRef>
          </c:cat>
          <c:val>
            <c:numRef>
              <c:f>'Graphique 5'!$C$26:$C$40</c:f>
              <c:numCache>
                <c:formatCode>General</c:formatCode>
                <c:ptCount val="15"/>
                <c:pt idx="0">
                  <c:v>1.88679245283019</c:v>
                </c:pt>
                <c:pt idx="1">
                  <c:v>2.1064301552106399</c:v>
                </c:pt>
                <c:pt idx="2">
                  <c:v>2.7368421052631602</c:v>
                </c:pt>
                <c:pt idx="3">
                  <c:v>3.4594594594594601</c:v>
                </c:pt>
                <c:pt idx="4">
                  <c:v>4.4776119402985097</c:v>
                </c:pt>
                <c:pt idx="5">
                  <c:v>4.6136101499423301</c:v>
                </c:pt>
                <c:pt idx="6">
                  <c:v>7.7235772357723604</c:v>
                </c:pt>
                <c:pt idx="7">
                  <c:v>10.269709543568499</c:v>
                </c:pt>
                <c:pt idx="8">
                  <c:v>10.4952830188679</c:v>
                </c:pt>
                <c:pt idx="9">
                  <c:v>11.178861788617899</c:v>
                </c:pt>
                <c:pt idx="10">
                  <c:v>11.2750263435195</c:v>
                </c:pt>
                <c:pt idx="11">
                  <c:v>12.1495327102804</c:v>
                </c:pt>
                <c:pt idx="12">
                  <c:v>20.240295748613701</c:v>
                </c:pt>
                <c:pt idx="13">
                  <c:v>20.424671385237598</c:v>
                </c:pt>
                <c:pt idx="14">
                  <c:v>36.346691519105299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'Graphique 5'!$D$26:$D$40</c15:f>
                <c15:dlblRangeCache>
                  <c:ptCount val="15"/>
                  <c:pt idx="0">
                    <c:v>Substance mère</c:v>
                  </c:pt>
                  <c:pt idx="1">
                    <c:v>Substance mère</c:v>
                  </c:pt>
                  <c:pt idx="2">
                    <c:v>Substance mère</c:v>
                  </c:pt>
                  <c:pt idx="3">
                    <c:v>Substance mère</c:v>
                  </c:pt>
                  <c:pt idx="4">
                    <c:v>Métabolite</c:v>
                  </c:pt>
                  <c:pt idx="5">
                    <c:v>Substance mère</c:v>
                  </c:pt>
                  <c:pt idx="6">
                    <c:v>Substance mère</c:v>
                  </c:pt>
                  <c:pt idx="7">
                    <c:v>Substance mère</c:v>
                  </c:pt>
                  <c:pt idx="8">
                    <c:v>Substance mère</c:v>
                  </c:pt>
                  <c:pt idx="9">
                    <c:v>Substance mère</c:v>
                  </c:pt>
                  <c:pt idx="10">
                    <c:v>Substance mère</c:v>
                  </c:pt>
                  <c:pt idx="11">
                    <c:v>Substance mère</c:v>
                  </c:pt>
                  <c:pt idx="12">
                    <c:v>Substance mère</c:v>
                  </c:pt>
                  <c:pt idx="13">
                    <c:v>Substance mère</c:v>
                  </c:pt>
                  <c:pt idx="14">
                    <c:v>Métabolite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EBA-4635-A6FE-B37A880A6986}"/>
            </c:ext>
          </c:extLst>
        </c:ser>
        <c:ser>
          <c:idx val="1"/>
          <c:order val="1"/>
          <c:tx>
            <c:strRef>
              <c:f>'Graphique 5'!$D$25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'Graphique 5'!$A$26:$A$40</c:f>
              <c:strCache>
                <c:ptCount val="15"/>
                <c:pt idx="0">
                  <c:v>Asulame</c:v>
                </c:pt>
                <c:pt idx="1">
                  <c:v>Glyphosate</c:v>
                </c:pt>
                <c:pt idx="2">
                  <c:v>Amétryne</c:v>
                </c:pt>
                <c:pt idx="3">
                  <c:v>Propiconazole</c:v>
                </c:pt>
                <c:pt idx="4">
                  <c:v>Atrazine déisopropyl</c:v>
                </c:pt>
                <c:pt idx="5">
                  <c:v>Bentazone</c:v>
                </c:pt>
                <c:pt idx="6">
                  <c:v>Diuron</c:v>
                </c:pt>
                <c:pt idx="7">
                  <c:v>Dieldrine</c:v>
                </c:pt>
                <c:pt idx="8">
                  <c:v>Bromacil</c:v>
                </c:pt>
                <c:pt idx="9">
                  <c:v>Métolachlore total</c:v>
                </c:pt>
                <c:pt idx="10">
                  <c:v>Hexazinone</c:v>
                </c:pt>
                <c:pt idx="11">
                  <c:v>Hexachlorocyclohexane bêta</c:v>
                </c:pt>
                <c:pt idx="12">
                  <c:v>Atrazine</c:v>
                </c:pt>
                <c:pt idx="13">
                  <c:v>Chlordécone</c:v>
                </c:pt>
                <c:pt idx="14">
                  <c:v>Atrazine déséthyl</c:v>
                </c:pt>
              </c:strCache>
            </c:strRef>
          </c:cat>
          <c:val>
            <c:numRef>
              <c:f>'Graphique 5'!$D$26:$D$40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BA-4635-A6FE-B37A880A6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972816"/>
        <c:axId val="214974896"/>
      </c:barChart>
      <c:catAx>
        <c:axId val="21497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974896"/>
        <c:crosses val="autoZero"/>
        <c:auto val="1"/>
        <c:lblAlgn val="ctr"/>
        <c:lblOffset val="100"/>
        <c:noMultiLvlLbl val="0"/>
      </c:catAx>
      <c:valAx>
        <c:axId val="21497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97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201261863120502E-2"/>
          <c:y val="0.18075062552126772"/>
          <c:w val="0.92074360377422237"/>
          <c:h val="0.37302187518470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'[1]Sheet 1'!$I$1</c:f>
              <c:strCache>
                <c:ptCount val="1"/>
                <c:pt idx="0">
                  <c:v>Substances surveillées sur la période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'[1]Sheet 1'!$G$2:$H$13</c:f>
              <c:multiLvlStrCache>
                <c:ptCount val="12"/>
                <c:lvl>
                  <c:pt idx="0">
                    <c:v>DOM</c:v>
                  </c:pt>
                  <c:pt idx="1">
                    <c:v>FM</c:v>
                  </c:pt>
                  <c:pt idx="2">
                    <c:v>DOM</c:v>
                  </c:pt>
                  <c:pt idx="3">
                    <c:v>FM</c:v>
                  </c:pt>
                  <c:pt idx="4">
                    <c:v>DOM</c:v>
                  </c:pt>
                  <c:pt idx="5">
                    <c:v>FM</c:v>
                  </c:pt>
                  <c:pt idx="6">
                    <c:v>DOM</c:v>
                  </c:pt>
                  <c:pt idx="7">
                    <c:v>FM</c:v>
                  </c:pt>
                  <c:pt idx="8">
                    <c:v>DOM</c:v>
                  </c:pt>
                  <c:pt idx="9">
                    <c:v>FM</c:v>
                  </c:pt>
                  <c:pt idx="10">
                    <c:v>DOM</c:v>
                  </c:pt>
                  <c:pt idx="11">
                    <c:v>FM</c:v>
                  </c:pt>
                </c:lvl>
                <c:lvl>
                  <c:pt idx="0">
                    <c:v>Physico-chimie</c:v>
                  </c:pt>
                  <c:pt idx="2">
                    <c:v>Pesticides</c:v>
                  </c:pt>
                  <c:pt idx="4">
                    <c:v>Métaux</c:v>
                  </c:pt>
                  <c:pt idx="6">
                    <c:v>PFAS</c:v>
                  </c:pt>
                  <c:pt idx="8">
                    <c:v>Substances pharmaceutiques</c:v>
                  </c:pt>
                  <c:pt idx="10">
                    <c:v>Autres micropolluants</c:v>
                  </c:pt>
                </c:lvl>
              </c:multiLvlStrCache>
            </c:multiLvlStrRef>
          </c:cat>
          <c:val>
            <c:numRef>
              <c:f>'[1]Sheet 1'!$I$2:$I$13</c:f>
              <c:numCache>
                <c:formatCode>General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689</c:v>
                </c:pt>
                <c:pt idx="3">
                  <c:v>782</c:v>
                </c:pt>
                <c:pt idx="4">
                  <c:v>28</c:v>
                </c:pt>
                <c:pt idx="5">
                  <c:v>36</c:v>
                </c:pt>
                <c:pt idx="6">
                  <c:v>11</c:v>
                </c:pt>
                <c:pt idx="7">
                  <c:v>12</c:v>
                </c:pt>
                <c:pt idx="8">
                  <c:v>69</c:v>
                </c:pt>
                <c:pt idx="9">
                  <c:v>142</c:v>
                </c:pt>
                <c:pt idx="10">
                  <c:v>423</c:v>
                </c:pt>
                <c:pt idx="11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A-43AA-8690-BA3335965076}"/>
            </c:ext>
          </c:extLst>
        </c:ser>
        <c:ser>
          <c:idx val="1"/>
          <c:order val="1"/>
          <c:tx>
            <c:strRef>
              <c:f>'[1]Sheet 1'!$J$1</c:f>
              <c:strCache>
                <c:ptCount val="1"/>
                <c:pt idx="0">
                  <c:v>Substances quantifiées au moins une fois sur la période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'[1]Sheet 1'!$G$2:$H$13</c:f>
              <c:multiLvlStrCache>
                <c:ptCount val="12"/>
                <c:lvl>
                  <c:pt idx="0">
                    <c:v>DOM</c:v>
                  </c:pt>
                  <c:pt idx="1">
                    <c:v>FM</c:v>
                  </c:pt>
                  <c:pt idx="2">
                    <c:v>DOM</c:v>
                  </c:pt>
                  <c:pt idx="3">
                    <c:v>FM</c:v>
                  </c:pt>
                  <c:pt idx="4">
                    <c:v>DOM</c:v>
                  </c:pt>
                  <c:pt idx="5">
                    <c:v>FM</c:v>
                  </c:pt>
                  <c:pt idx="6">
                    <c:v>DOM</c:v>
                  </c:pt>
                  <c:pt idx="7">
                    <c:v>FM</c:v>
                  </c:pt>
                  <c:pt idx="8">
                    <c:v>DOM</c:v>
                  </c:pt>
                  <c:pt idx="9">
                    <c:v>FM</c:v>
                  </c:pt>
                  <c:pt idx="10">
                    <c:v>DOM</c:v>
                  </c:pt>
                  <c:pt idx="11">
                    <c:v>FM</c:v>
                  </c:pt>
                </c:lvl>
                <c:lvl>
                  <c:pt idx="0">
                    <c:v>Physico-chimie</c:v>
                  </c:pt>
                  <c:pt idx="2">
                    <c:v>Pesticides</c:v>
                  </c:pt>
                  <c:pt idx="4">
                    <c:v>Métaux</c:v>
                  </c:pt>
                  <c:pt idx="6">
                    <c:v>PFAS</c:v>
                  </c:pt>
                  <c:pt idx="8">
                    <c:v>Substances pharmaceutiques</c:v>
                  </c:pt>
                  <c:pt idx="10">
                    <c:v>Autres micropolluants</c:v>
                  </c:pt>
                </c:lvl>
              </c:multiLvlStrCache>
            </c:multiLvlStrRef>
          </c:cat>
          <c:val>
            <c:numRef>
              <c:f>'[1]Sheet 1'!$J$2:$J$13</c:f>
              <c:numCache>
                <c:formatCode>General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160</c:v>
                </c:pt>
                <c:pt idx="3">
                  <c:v>588</c:v>
                </c:pt>
                <c:pt idx="4">
                  <c:v>26</c:v>
                </c:pt>
                <c:pt idx="5">
                  <c:v>35</c:v>
                </c:pt>
                <c:pt idx="6">
                  <c:v>8</c:v>
                </c:pt>
                <c:pt idx="7">
                  <c:v>12</c:v>
                </c:pt>
                <c:pt idx="8">
                  <c:v>27</c:v>
                </c:pt>
                <c:pt idx="9">
                  <c:v>70</c:v>
                </c:pt>
                <c:pt idx="10">
                  <c:v>124</c:v>
                </c:pt>
                <c:pt idx="11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A-43AA-8690-BA333596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013232"/>
        <c:axId val="311015728"/>
      </c:barChart>
      <c:catAx>
        <c:axId val="3110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015728"/>
        <c:crosses val="autoZero"/>
        <c:auto val="1"/>
        <c:lblAlgn val="ctr"/>
        <c:lblOffset val="100"/>
        <c:noMultiLvlLbl val="0"/>
      </c:catAx>
      <c:valAx>
        <c:axId val="3110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01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655723299473363"/>
          <c:y val="0.74019977277652638"/>
          <c:w val="0.58344291037287277"/>
          <c:h val="5.5534436745796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58360902676333E-2"/>
          <c:y val="6.051361061823967E-2"/>
          <c:w val="0.9059579128448545"/>
          <c:h val="0.7258723613838565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'Graphique 7'!$A$4</c:f>
              <c:strCache>
                <c:ptCount val="1"/>
                <c:pt idx="0">
                  <c:v>Nitrates et pesticides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'Graphique 7'!$B$3:$AR$3</c:f>
              <c:numCache>
                <c:formatCode>General</c:formatCod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numCache>
            </c:numRef>
          </c:cat>
          <c:val>
            <c:numRef>
              <c:f>'Graphique 7'!$B$4:$AR$4</c:f>
              <c:numCache>
                <c:formatCode>General</c:formatCode>
                <c:ptCount val="43"/>
                <c:pt idx="0">
                  <c:v>9</c:v>
                </c:pt>
                <c:pt idx="1">
                  <c:v>2</c:v>
                </c:pt>
                <c:pt idx="2">
                  <c:v>6</c:v>
                </c:pt>
                <c:pt idx="3">
                  <c:v>14</c:v>
                </c:pt>
                <c:pt idx="4">
                  <c:v>3</c:v>
                </c:pt>
                <c:pt idx="5">
                  <c:v>12</c:v>
                </c:pt>
                <c:pt idx="6">
                  <c:v>7</c:v>
                </c:pt>
                <c:pt idx="7">
                  <c:v>5</c:v>
                </c:pt>
                <c:pt idx="8">
                  <c:v>39</c:v>
                </c:pt>
                <c:pt idx="9">
                  <c:v>33</c:v>
                </c:pt>
                <c:pt idx="10">
                  <c:v>28</c:v>
                </c:pt>
                <c:pt idx="11">
                  <c:v>22</c:v>
                </c:pt>
                <c:pt idx="12">
                  <c:v>36</c:v>
                </c:pt>
                <c:pt idx="13">
                  <c:v>34</c:v>
                </c:pt>
                <c:pt idx="14">
                  <c:v>40</c:v>
                </c:pt>
                <c:pt idx="15">
                  <c:v>53</c:v>
                </c:pt>
                <c:pt idx="16">
                  <c:v>61</c:v>
                </c:pt>
                <c:pt idx="17">
                  <c:v>68</c:v>
                </c:pt>
                <c:pt idx="18">
                  <c:v>70</c:v>
                </c:pt>
                <c:pt idx="19">
                  <c:v>70</c:v>
                </c:pt>
                <c:pt idx="20">
                  <c:v>84</c:v>
                </c:pt>
                <c:pt idx="21">
                  <c:v>78</c:v>
                </c:pt>
                <c:pt idx="22">
                  <c:v>51</c:v>
                </c:pt>
                <c:pt idx="23">
                  <c:v>56</c:v>
                </c:pt>
                <c:pt idx="24">
                  <c:v>57</c:v>
                </c:pt>
                <c:pt idx="25">
                  <c:v>51</c:v>
                </c:pt>
                <c:pt idx="26">
                  <c:v>53</c:v>
                </c:pt>
                <c:pt idx="27">
                  <c:v>79</c:v>
                </c:pt>
                <c:pt idx="28">
                  <c:v>48</c:v>
                </c:pt>
                <c:pt idx="29">
                  <c:v>52</c:v>
                </c:pt>
                <c:pt idx="30">
                  <c:v>52</c:v>
                </c:pt>
                <c:pt idx="31">
                  <c:v>72</c:v>
                </c:pt>
                <c:pt idx="32">
                  <c:v>53</c:v>
                </c:pt>
                <c:pt idx="33">
                  <c:v>48</c:v>
                </c:pt>
                <c:pt idx="34">
                  <c:v>38</c:v>
                </c:pt>
                <c:pt idx="35">
                  <c:v>33</c:v>
                </c:pt>
                <c:pt idx="36">
                  <c:v>22</c:v>
                </c:pt>
                <c:pt idx="37">
                  <c:v>32</c:v>
                </c:pt>
                <c:pt idx="38">
                  <c:v>27</c:v>
                </c:pt>
                <c:pt idx="39">
                  <c:v>34</c:v>
                </c:pt>
                <c:pt idx="40">
                  <c:v>26</c:v>
                </c:pt>
                <c:pt idx="41">
                  <c:v>28</c:v>
                </c:pt>
                <c:pt idx="4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3-4777-9338-5783A22893FF}"/>
            </c:ext>
          </c:extLst>
        </c:ser>
        <c:ser>
          <c:idx val="2"/>
          <c:order val="1"/>
          <c:tx>
            <c:strRef>
              <c:f>'Graphique 7'!$A$5</c:f>
              <c:strCache>
                <c:ptCount val="1"/>
                <c:pt idx="0">
                  <c:v>Microbiologie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numRef>
              <c:f>'Graphique 7'!$B$3:$AR$3</c:f>
              <c:numCache>
                <c:formatCode>General</c:formatCod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numCache>
            </c:numRef>
          </c:cat>
          <c:val>
            <c:numRef>
              <c:f>'Graphique 7'!$B$5:$AR$5</c:f>
              <c:numCache>
                <c:formatCode>General</c:formatCode>
                <c:ptCount val="43"/>
                <c:pt idx="0">
                  <c:v>4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15</c:v>
                </c:pt>
                <c:pt idx="10">
                  <c:v>7</c:v>
                </c:pt>
                <c:pt idx="11">
                  <c:v>8</c:v>
                </c:pt>
                <c:pt idx="12">
                  <c:v>5</c:v>
                </c:pt>
                <c:pt idx="13">
                  <c:v>12</c:v>
                </c:pt>
                <c:pt idx="14">
                  <c:v>21</c:v>
                </c:pt>
                <c:pt idx="15">
                  <c:v>39</c:v>
                </c:pt>
                <c:pt idx="16">
                  <c:v>34</c:v>
                </c:pt>
                <c:pt idx="17">
                  <c:v>64</c:v>
                </c:pt>
                <c:pt idx="18">
                  <c:v>60</c:v>
                </c:pt>
                <c:pt idx="19">
                  <c:v>42</c:v>
                </c:pt>
                <c:pt idx="20">
                  <c:v>66</c:v>
                </c:pt>
                <c:pt idx="21">
                  <c:v>40</c:v>
                </c:pt>
                <c:pt idx="22">
                  <c:v>26</c:v>
                </c:pt>
                <c:pt idx="23">
                  <c:v>40</c:v>
                </c:pt>
                <c:pt idx="24">
                  <c:v>24</c:v>
                </c:pt>
                <c:pt idx="25">
                  <c:v>22</c:v>
                </c:pt>
                <c:pt idx="26">
                  <c:v>41</c:v>
                </c:pt>
                <c:pt idx="27">
                  <c:v>30</c:v>
                </c:pt>
                <c:pt idx="28">
                  <c:v>28</c:v>
                </c:pt>
                <c:pt idx="29">
                  <c:v>43</c:v>
                </c:pt>
                <c:pt idx="30">
                  <c:v>19</c:v>
                </c:pt>
                <c:pt idx="31">
                  <c:v>49</c:v>
                </c:pt>
                <c:pt idx="32">
                  <c:v>44</c:v>
                </c:pt>
                <c:pt idx="33">
                  <c:v>23</c:v>
                </c:pt>
                <c:pt idx="34">
                  <c:v>33</c:v>
                </c:pt>
                <c:pt idx="35">
                  <c:v>18</c:v>
                </c:pt>
                <c:pt idx="36">
                  <c:v>30</c:v>
                </c:pt>
                <c:pt idx="37">
                  <c:v>19</c:v>
                </c:pt>
                <c:pt idx="38">
                  <c:v>17</c:v>
                </c:pt>
                <c:pt idx="39">
                  <c:v>14</c:v>
                </c:pt>
                <c:pt idx="40">
                  <c:v>22</c:v>
                </c:pt>
                <c:pt idx="41">
                  <c:v>17</c:v>
                </c:pt>
                <c:pt idx="4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3-4777-9338-5783A22893FF}"/>
            </c:ext>
          </c:extLst>
        </c:ser>
        <c:ser>
          <c:idx val="3"/>
          <c:order val="2"/>
          <c:tx>
            <c:strRef>
              <c:f>'Graphique 7'!$A$6</c:f>
              <c:strCache>
                <c:ptCount val="1"/>
                <c:pt idx="0">
                  <c:v>Qualité autres paramètres </c:v>
                </c:pt>
              </c:strCache>
            </c:strRef>
          </c:tx>
          <c:spPr>
            <a:solidFill>
              <a:srgbClr val="FF794A"/>
            </a:solidFill>
            <a:ln>
              <a:noFill/>
            </a:ln>
            <a:effectLst/>
          </c:spPr>
          <c:invertIfNegative val="0"/>
          <c:cat>
            <c:numRef>
              <c:f>'Graphique 7'!$B$3:$AR$3</c:f>
              <c:numCache>
                <c:formatCode>General</c:formatCod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numCache>
            </c:numRef>
          </c:cat>
          <c:val>
            <c:numRef>
              <c:f>'Graphique 7'!$B$6:$AR$6</c:f>
              <c:numCache>
                <c:formatCode>General</c:formatCode>
                <c:ptCount val="43"/>
                <c:pt idx="0">
                  <c:v>7</c:v>
                </c:pt>
                <c:pt idx="1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4</c:v>
                </c:pt>
                <c:pt idx="8">
                  <c:v>13</c:v>
                </c:pt>
                <c:pt idx="9">
                  <c:v>13</c:v>
                </c:pt>
                <c:pt idx="10">
                  <c:v>9</c:v>
                </c:pt>
                <c:pt idx="11">
                  <c:v>23</c:v>
                </c:pt>
                <c:pt idx="12">
                  <c:v>23</c:v>
                </c:pt>
                <c:pt idx="13">
                  <c:v>28</c:v>
                </c:pt>
                <c:pt idx="14">
                  <c:v>18</c:v>
                </c:pt>
                <c:pt idx="15">
                  <c:v>31</c:v>
                </c:pt>
                <c:pt idx="16">
                  <c:v>46</c:v>
                </c:pt>
                <c:pt idx="17">
                  <c:v>45</c:v>
                </c:pt>
                <c:pt idx="18">
                  <c:v>70</c:v>
                </c:pt>
                <c:pt idx="19">
                  <c:v>43</c:v>
                </c:pt>
                <c:pt idx="20">
                  <c:v>51</c:v>
                </c:pt>
                <c:pt idx="21">
                  <c:v>39</c:v>
                </c:pt>
                <c:pt idx="22">
                  <c:v>50</c:v>
                </c:pt>
                <c:pt idx="23">
                  <c:v>43</c:v>
                </c:pt>
                <c:pt idx="24">
                  <c:v>42</c:v>
                </c:pt>
                <c:pt idx="25">
                  <c:v>47</c:v>
                </c:pt>
                <c:pt idx="26">
                  <c:v>46</c:v>
                </c:pt>
                <c:pt idx="27">
                  <c:v>36</c:v>
                </c:pt>
                <c:pt idx="28">
                  <c:v>24</c:v>
                </c:pt>
                <c:pt idx="29">
                  <c:v>152</c:v>
                </c:pt>
                <c:pt idx="30">
                  <c:v>36</c:v>
                </c:pt>
                <c:pt idx="31">
                  <c:v>84</c:v>
                </c:pt>
                <c:pt idx="32">
                  <c:v>72</c:v>
                </c:pt>
                <c:pt idx="33">
                  <c:v>38</c:v>
                </c:pt>
                <c:pt idx="34">
                  <c:v>39</c:v>
                </c:pt>
                <c:pt idx="35">
                  <c:v>49</c:v>
                </c:pt>
                <c:pt idx="36">
                  <c:v>45</c:v>
                </c:pt>
                <c:pt idx="37">
                  <c:v>46</c:v>
                </c:pt>
                <c:pt idx="38">
                  <c:v>30</c:v>
                </c:pt>
                <c:pt idx="39">
                  <c:v>44</c:v>
                </c:pt>
                <c:pt idx="40">
                  <c:v>13</c:v>
                </c:pt>
                <c:pt idx="41">
                  <c:v>21</c:v>
                </c:pt>
                <c:pt idx="4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3-4777-9338-5783A22893FF}"/>
            </c:ext>
          </c:extLst>
        </c:ser>
        <c:ser>
          <c:idx val="4"/>
          <c:order val="3"/>
          <c:tx>
            <c:strRef>
              <c:f>'Graphique 7'!$A$7</c:f>
              <c:strCache>
                <c:ptCount val="1"/>
                <c:pt idx="0">
                  <c:v>Rationalisation</c:v>
                </c:pt>
              </c:strCache>
            </c:strRef>
          </c:tx>
          <c:spPr>
            <a:solidFill>
              <a:srgbClr val="417DC4"/>
            </a:solidFill>
            <a:ln>
              <a:noFill/>
            </a:ln>
            <a:effectLst/>
          </c:spPr>
          <c:invertIfNegative val="0"/>
          <c:cat>
            <c:numRef>
              <c:f>'Graphique 7'!$B$3:$AR$3</c:f>
              <c:numCache>
                <c:formatCode>General</c:formatCod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numCache>
            </c:numRef>
          </c:cat>
          <c:val>
            <c:numRef>
              <c:f>'Graphique 7'!$B$7:$AR$7</c:f>
              <c:numCache>
                <c:formatCode>General</c:formatCode>
                <c:ptCount val="43"/>
                <c:pt idx="0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15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29</c:v>
                </c:pt>
                <c:pt idx="11">
                  <c:v>17</c:v>
                </c:pt>
                <c:pt idx="12">
                  <c:v>11</c:v>
                </c:pt>
                <c:pt idx="13">
                  <c:v>15</c:v>
                </c:pt>
                <c:pt idx="14">
                  <c:v>20</c:v>
                </c:pt>
                <c:pt idx="15">
                  <c:v>46</c:v>
                </c:pt>
                <c:pt idx="16">
                  <c:v>74</c:v>
                </c:pt>
                <c:pt idx="17">
                  <c:v>95</c:v>
                </c:pt>
                <c:pt idx="18">
                  <c:v>90</c:v>
                </c:pt>
                <c:pt idx="19">
                  <c:v>80</c:v>
                </c:pt>
                <c:pt idx="20">
                  <c:v>73</c:v>
                </c:pt>
                <c:pt idx="21">
                  <c:v>62</c:v>
                </c:pt>
                <c:pt idx="22">
                  <c:v>77</c:v>
                </c:pt>
                <c:pt idx="23">
                  <c:v>66</c:v>
                </c:pt>
                <c:pt idx="24">
                  <c:v>85</c:v>
                </c:pt>
                <c:pt idx="25">
                  <c:v>74</c:v>
                </c:pt>
                <c:pt idx="26">
                  <c:v>55</c:v>
                </c:pt>
                <c:pt idx="27">
                  <c:v>61</c:v>
                </c:pt>
                <c:pt idx="28">
                  <c:v>65</c:v>
                </c:pt>
                <c:pt idx="29">
                  <c:v>292</c:v>
                </c:pt>
                <c:pt idx="30">
                  <c:v>86</c:v>
                </c:pt>
                <c:pt idx="31">
                  <c:v>138</c:v>
                </c:pt>
                <c:pt idx="32">
                  <c:v>119</c:v>
                </c:pt>
                <c:pt idx="33">
                  <c:v>162</c:v>
                </c:pt>
                <c:pt idx="34">
                  <c:v>136</c:v>
                </c:pt>
                <c:pt idx="35">
                  <c:v>269</c:v>
                </c:pt>
                <c:pt idx="36">
                  <c:v>150</c:v>
                </c:pt>
                <c:pt idx="37">
                  <c:v>137</c:v>
                </c:pt>
                <c:pt idx="38">
                  <c:v>133</c:v>
                </c:pt>
                <c:pt idx="39">
                  <c:v>116</c:v>
                </c:pt>
                <c:pt idx="40">
                  <c:v>75</c:v>
                </c:pt>
                <c:pt idx="41">
                  <c:v>125</c:v>
                </c:pt>
                <c:pt idx="4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53-4777-9338-5783A22893FF}"/>
            </c:ext>
          </c:extLst>
        </c:ser>
        <c:ser>
          <c:idx val="5"/>
          <c:order val="4"/>
          <c:tx>
            <c:strRef>
              <c:f>'Graphique 7'!$A$8</c:f>
              <c:strCache>
                <c:ptCount val="1"/>
                <c:pt idx="0">
                  <c:v>Administratif</c:v>
                </c:pt>
              </c:strCache>
            </c:strRef>
          </c:tx>
          <c:spPr>
            <a:solidFill>
              <a:srgbClr val="465FA7"/>
            </a:solidFill>
            <a:ln>
              <a:noFill/>
            </a:ln>
            <a:effectLst/>
          </c:spPr>
          <c:invertIfNegative val="0"/>
          <c:cat>
            <c:numRef>
              <c:f>'Graphique 7'!$B$3:$AR$3</c:f>
              <c:numCache>
                <c:formatCode>General</c:formatCod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numCache>
            </c:numRef>
          </c:cat>
          <c:val>
            <c:numRef>
              <c:f>'Graphique 7'!$B$8:$AR$8</c:f>
              <c:numCache>
                <c:formatCode>General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15</c:v>
                </c:pt>
                <c:pt idx="10">
                  <c:v>10</c:v>
                </c:pt>
                <c:pt idx="11">
                  <c:v>4</c:v>
                </c:pt>
                <c:pt idx="12">
                  <c:v>9</c:v>
                </c:pt>
                <c:pt idx="13">
                  <c:v>11</c:v>
                </c:pt>
                <c:pt idx="14">
                  <c:v>8</c:v>
                </c:pt>
                <c:pt idx="15">
                  <c:v>8</c:v>
                </c:pt>
                <c:pt idx="16">
                  <c:v>19</c:v>
                </c:pt>
                <c:pt idx="17">
                  <c:v>38</c:v>
                </c:pt>
                <c:pt idx="18">
                  <c:v>40</c:v>
                </c:pt>
                <c:pt idx="19">
                  <c:v>31</c:v>
                </c:pt>
                <c:pt idx="20">
                  <c:v>43</c:v>
                </c:pt>
                <c:pt idx="21">
                  <c:v>25</c:v>
                </c:pt>
                <c:pt idx="22">
                  <c:v>13</c:v>
                </c:pt>
                <c:pt idx="23">
                  <c:v>35</c:v>
                </c:pt>
                <c:pt idx="24">
                  <c:v>33</c:v>
                </c:pt>
                <c:pt idx="25">
                  <c:v>23</c:v>
                </c:pt>
                <c:pt idx="26">
                  <c:v>36</c:v>
                </c:pt>
                <c:pt idx="27">
                  <c:v>13</c:v>
                </c:pt>
                <c:pt idx="28">
                  <c:v>24</c:v>
                </c:pt>
                <c:pt idx="29">
                  <c:v>110</c:v>
                </c:pt>
                <c:pt idx="30">
                  <c:v>39</c:v>
                </c:pt>
                <c:pt idx="31">
                  <c:v>102</c:v>
                </c:pt>
                <c:pt idx="32">
                  <c:v>108</c:v>
                </c:pt>
                <c:pt idx="33">
                  <c:v>121</c:v>
                </c:pt>
                <c:pt idx="34">
                  <c:v>112</c:v>
                </c:pt>
                <c:pt idx="35">
                  <c:v>107</c:v>
                </c:pt>
                <c:pt idx="36">
                  <c:v>117</c:v>
                </c:pt>
                <c:pt idx="37">
                  <c:v>119</c:v>
                </c:pt>
                <c:pt idx="38">
                  <c:v>88</c:v>
                </c:pt>
                <c:pt idx="39">
                  <c:v>121</c:v>
                </c:pt>
                <c:pt idx="40">
                  <c:v>127</c:v>
                </c:pt>
                <c:pt idx="41">
                  <c:v>86</c:v>
                </c:pt>
                <c:pt idx="4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53-4777-9338-5783A22893FF}"/>
            </c:ext>
          </c:extLst>
        </c:ser>
        <c:ser>
          <c:idx val="6"/>
          <c:order val="5"/>
          <c:tx>
            <c:strRef>
              <c:f>'Graphique 7'!$A$9</c:f>
              <c:strCache>
                <c:ptCount val="1"/>
                <c:pt idx="0">
                  <c:v>Autres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'Graphique 7'!$B$3:$AR$3</c:f>
              <c:numCache>
                <c:formatCode>General</c:formatCod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numCache>
            </c:numRef>
          </c:cat>
          <c:val>
            <c:numRef>
              <c:f>'Graphique 7'!$B$9:$AR$9</c:f>
              <c:numCache>
                <c:formatCode>General</c:formatCode>
                <c:ptCount val="43"/>
                <c:pt idx="0">
                  <c:v>19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14</c:v>
                </c:pt>
                <c:pt idx="6">
                  <c:v>8</c:v>
                </c:pt>
                <c:pt idx="7">
                  <c:v>5</c:v>
                </c:pt>
                <c:pt idx="8">
                  <c:v>28</c:v>
                </c:pt>
                <c:pt idx="9">
                  <c:v>34</c:v>
                </c:pt>
                <c:pt idx="10">
                  <c:v>39</c:v>
                </c:pt>
                <c:pt idx="11">
                  <c:v>34</c:v>
                </c:pt>
                <c:pt idx="12">
                  <c:v>26</c:v>
                </c:pt>
                <c:pt idx="13">
                  <c:v>40</c:v>
                </c:pt>
                <c:pt idx="14">
                  <c:v>40</c:v>
                </c:pt>
                <c:pt idx="15">
                  <c:v>42</c:v>
                </c:pt>
                <c:pt idx="16">
                  <c:v>72</c:v>
                </c:pt>
                <c:pt idx="17">
                  <c:v>99</c:v>
                </c:pt>
                <c:pt idx="18">
                  <c:v>106</c:v>
                </c:pt>
                <c:pt idx="19">
                  <c:v>82</c:v>
                </c:pt>
                <c:pt idx="20">
                  <c:v>110</c:v>
                </c:pt>
                <c:pt idx="21">
                  <c:v>87</c:v>
                </c:pt>
                <c:pt idx="22">
                  <c:v>87</c:v>
                </c:pt>
                <c:pt idx="23">
                  <c:v>77</c:v>
                </c:pt>
                <c:pt idx="24">
                  <c:v>95</c:v>
                </c:pt>
                <c:pt idx="25">
                  <c:v>81</c:v>
                </c:pt>
                <c:pt idx="26">
                  <c:v>94</c:v>
                </c:pt>
                <c:pt idx="27">
                  <c:v>106</c:v>
                </c:pt>
                <c:pt idx="28">
                  <c:v>84</c:v>
                </c:pt>
                <c:pt idx="29">
                  <c:v>311</c:v>
                </c:pt>
                <c:pt idx="30">
                  <c:v>129</c:v>
                </c:pt>
                <c:pt idx="31">
                  <c:v>168</c:v>
                </c:pt>
                <c:pt idx="32">
                  <c:v>117</c:v>
                </c:pt>
                <c:pt idx="33">
                  <c:v>176</c:v>
                </c:pt>
                <c:pt idx="34">
                  <c:v>148</c:v>
                </c:pt>
                <c:pt idx="35">
                  <c:v>146</c:v>
                </c:pt>
                <c:pt idx="36">
                  <c:v>155</c:v>
                </c:pt>
                <c:pt idx="37">
                  <c:v>199</c:v>
                </c:pt>
                <c:pt idx="38">
                  <c:v>101</c:v>
                </c:pt>
                <c:pt idx="39">
                  <c:v>163</c:v>
                </c:pt>
                <c:pt idx="40">
                  <c:v>87</c:v>
                </c:pt>
                <c:pt idx="41">
                  <c:v>148</c:v>
                </c:pt>
                <c:pt idx="4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53-4777-9338-5783A2289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5341312"/>
        <c:axId val="235177088"/>
      </c:barChart>
      <c:catAx>
        <c:axId val="23534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177088"/>
        <c:crosses val="autoZero"/>
        <c:auto val="1"/>
        <c:lblAlgn val="ctr"/>
        <c:lblOffset val="100"/>
        <c:noMultiLvlLbl val="0"/>
      </c:catAx>
      <c:valAx>
        <c:axId val="2351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34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4269067279436569E-2"/>
          <c:y val="0.86505641886985474"/>
          <c:w val="0.93411646513287394"/>
          <c:h val="0.100132622063635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'Graphique 8'!$A$4</c:f>
              <c:strCache>
                <c:ptCount val="1"/>
                <c:pt idx="0">
                  <c:v>Assainissement des eaux usées </c:v>
                </c:pt>
              </c:strCache>
            </c:strRef>
          </c:tx>
          <c:spPr>
            <a:solidFill>
              <a:srgbClr val="3563A2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'Graphique 8'!$B$3:$W$3</c:f>
              <c:numCache>
                <c:formatCode>0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'Graphique 8'!$B$4:$W$4</c:f>
              <c:numCache>
                <c:formatCode>#\ ##0.0</c:formatCode>
                <c:ptCount val="22"/>
                <c:pt idx="0">
                  <c:v>8.8868669212738691</c:v>
                </c:pt>
                <c:pt idx="1">
                  <c:v>9.3614651610252348</c:v>
                </c:pt>
                <c:pt idx="2">
                  <c:v>9.8872664364863141</c:v>
                </c:pt>
                <c:pt idx="3">
                  <c:v>10.053731479623885</c:v>
                </c:pt>
                <c:pt idx="4">
                  <c:v>10.180078339578458</c:v>
                </c:pt>
                <c:pt idx="5">
                  <c:v>10.94269376019613</c:v>
                </c:pt>
                <c:pt idx="6">
                  <c:v>11.491063758627597</c:v>
                </c:pt>
                <c:pt idx="7">
                  <c:v>11.907834723274512</c:v>
                </c:pt>
                <c:pt idx="8">
                  <c:v>12.345554339705423</c:v>
                </c:pt>
                <c:pt idx="9">
                  <c:v>12.351151577126309</c:v>
                </c:pt>
                <c:pt idx="10">
                  <c:v>12.394313764470194</c:v>
                </c:pt>
                <c:pt idx="11">
                  <c:v>12.6028872910753</c:v>
                </c:pt>
                <c:pt idx="12">
                  <c:v>12.615409671147821</c:v>
                </c:pt>
                <c:pt idx="13">
                  <c:v>12.89995508984887</c:v>
                </c:pt>
                <c:pt idx="14">
                  <c:v>12.600043235847487</c:v>
                </c:pt>
                <c:pt idx="15">
                  <c:v>12.566034176874011</c:v>
                </c:pt>
                <c:pt idx="16">
                  <c:v>12.635391940996648</c:v>
                </c:pt>
                <c:pt idx="17">
                  <c:v>13.313375688703507</c:v>
                </c:pt>
                <c:pt idx="18">
                  <c:v>13.411732026537427</c:v>
                </c:pt>
                <c:pt idx="19">
                  <c:v>13.775036376393054</c:v>
                </c:pt>
                <c:pt idx="20">
                  <c:v>13.135324631664695</c:v>
                </c:pt>
                <c:pt idx="21">
                  <c:v>14.068810390727471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5-4514-9A87-02F5564E19BF}"/>
            </c:ext>
          </c:extLst>
        </c:ser>
        <c:ser>
          <c:idx val="2"/>
          <c:order val="1"/>
          <c:tx>
            <c:strRef>
              <c:f>'Graphique 8'!$A$5</c:f>
              <c:strCache>
                <c:ptCount val="1"/>
                <c:pt idx="0">
                  <c:v>Prévention et surveillance des pollutions</c:v>
                </c:pt>
              </c:strCache>
            </c:strRef>
          </c:tx>
          <c:spPr>
            <a:solidFill>
              <a:srgbClr val="417DC4">
                <a:alpha val="83922"/>
              </a:srgbClr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'Graphique 8'!$B$3:$W$3</c:f>
              <c:numCache>
                <c:formatCode>0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'Graphique 8'!$B$5:$W$5</c:f>
              <c:numCache>
                <c:formatCode>#\ ##0.0</c:formatCode>
                <c:ptCount val="22"/>
                <c:pt idx="0">
                  <c:v>0.2641038282243493</c:v>
                </c:pt>
                <c:pt idx="1">
                  <c:v>0.30005740248664448</c:v>
                </c:pt>
                <c:pt idx="2">
                  <c:v>0.30530609352770044</c:v>
                </c:pt>
                <c:pt idx="3">
                  <c:v>0.3267705193597279</c:v>
                </c:pt>
                <c:pt idx="4">
                  <c:v>0.37267681360392735</c:v>
                </c:pt>
                <c:pt idx="5">
                  <c:v>0.54043311119831583</c:v>
                </c:pt>
                <c:pt idx="6">
                  <c:v>0.79863837582572561</c:v>
                </c:pt>
                <c:pt idx="7">
                  <c:v>0.80747827186849153</c:v>
                </c:pt>
                <c:pt idx="8">
                  <c:v>0.93535874499312177</c:v>
                </c:pt>
                <c:pt idx="9">
                  <c:v>0.83114269596419077</c:v>
                </c:pt>
                <c:pt idx="10">
                  <c:v>0.81138382194803182</c:v>
                </c:pt>
                <c:pt idx="11">
                  <c:v>0.80517503858796113</c:v>
                </c:pt>
                <c:pt idx="12">
                  <c:v>0.83584778715589581</c:v>
                </c:pt>
                <c:pt idx="13">
                  <c:v>0.79007078912186601</c:v>
                </c:pt>
                <c:pt idx="14">
                  <c:v>0.72854342432320063</c:v>
                </c:pt>
                <c:pt idx="15">
                  <c:v>0.78205287358446285</c:v>
                </c:pt>
                <c:pt idx="16">
                  <c:v>0.68395779371779208</c:v>
                </c:pt>
                <c:pt idx="17">
                  <c:v>0.96961726958695627</c:v>
                </c:pt>
                <c:pt idx="18">
                  <c:v>1.2659705124658613</c:v>
                </c:pt>
                <c:pt idx="19">
                  <c:v>1.3971870748247717</c:v>
                </c:pt>
                <c:pt idx="20">
                  <c:v>1.2825653670213357</c:v>
                </c:pt>
                <c:pt idx="21">
                  <c:v>1.2645926812079962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65-4514-9A87-02F5564E19BF}"/>
            </c:ext>
          </c:extLst>
        </c:ser>
        <c:ser>
          <c:idx val="3"/>
          <c:order val="2"/>
          <c:tx>
            <c:strRef>
              <c:f>'Graphique 8'!$A$6</c:f>
              <c:strCache>
                <c:ptCount val="1"/>
                <c:pt idx="0">
                  <c:v>Dépollution des sites et des sols pollués</c:v>
                </c:pt>
              </c:strCache>
            </c:strRef>
          </c:tx>
          <c:spPr>
            <a:solidFill>
              <a:srgbClr val="7AB1E8">
                <a:alpha val="82353"/>
              </a:srgbClr>
            </a:solidFill>
            <a:ln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465-4514-9A87-02F5564E19BF}"/>
              </c:ext>
            </c:extLst>
          </c:dPt>
          <c:cat>
            <c:numRef>
              <c:f>'Graphique 8'!$B$3:$W$3</c:f>
              <c:numCache>
                <c:formatCode>0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'Graphique 8'!$B$6:$W$6</c:f>
              <c:numCache>
                <c:formatCode>#\ ##0.0</c:formatCode>
                <c:ptCount val="22"/>
                <c:pt idx="0">
                  <c:v>0.20875513762459655</c:v>
                </c:pt>
                <c:pt idx="1">
                  <c:v>0.28319989715867888</c:v>
                </c:pt>
                <c:pt idx="2">
                  <c:v>0.37663788806121962</c:v>
                </c:pt>
                <c:pt idx="3">
                  <c:v>0.45804740087668788</c:v>
                </c:pt>
                <c:pt idx="4">
                  <c:v>0.52010448622711447</c:v>
                </c:pt>
                <c:pt idx="5">
                  <c:v>0.47005881056320092</c:v>
                </c:pt>
                <c:pt idx="6">
                  <c:v>0.53133171996368866</c:v>
                </c:pt>
                <c:pt idx="7">
                  <c:v>0.61532254128409225</c:v>
                </c:pt>
                <c:pt idx="8">
                  <c:v>0.5958158682646264</c:v>
                </c:pt>
                <c:pt idx="9">
                  <c:v>0.5524234203301287</c:v>
                </c:pt>
                <c:pt idx="10">
                  <c:v>0.58617238826331008</c:v>
                </c:pt>
                <c:pt idx="11">
                  <c:v>0.60732827327815353</c:v>
                </c:pt>
                <c:pt idx="12">
                  <c:v>0.68706705620437647</c:v>
                </c:pt>
                <c:pt idx="13">
                  <c:v>0.7208521549816288</c:v>
                </c:pt>
                <c:pt idx="14">
                  <c:v>0.65503546906551036</c:v>
                </c:pt>
                <c:pt idx="15">
                  <c:v>0.66989545572112319</c:v>
                </c:pt>
                <c:pt idx="16">
                  <c:v>0.75717517770807974</c:v>
                </c:pt>
                <c:pt idx="17">
                  <c:v>0.76553295267518784</c:v>
                </c:pt>
                <c:pt idx="18">
                  <c:v>0.82207307323546941</c:v>
                </c:pt>
                <c:pt idx="19">
                  <c:v>0.93068091224189642</c:v>
                </c:pt>
                <c:pt idx="20">
                  <c:v>0.89339560157879849</c:v>
                </c:pt>
                <c:pt idx="21">
                  <c:v>0.96456621356124372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65-4514-9A87-02F5564E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65428943"/>
        <c:axId val="1"/>
      </c:barChart>
      <c:catAx>
        <c:axId val="11654289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/>
          <a:lstStyle/>
          <a:p>
            <a:pPr>
              <a:defRPr sz="7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2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fr-FR"/>
          </a:p>
        </c:txPr>
        <c:crossAx val="116542894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2698958333333326E-2"/>
          <c:y val="0.91591513192455787"/>
          <c:w val="0.9412166666666667"/>
          <c:h val="8.0968723477499602E-2"/>
        </c:manualLayout>
      </c:layout>
      <c:overlay val="0"/>
      <c:txPr>
        <a:bodyPr/>
        <a:lstStyle/>
        <a:p>
          <a:pPr>
            <a:defRPr sz="700">
              <a:latin typeface="Arial" panose="020B0604020202020204" pitchFamily="34" charset="0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2</xdr:row>
      <xdr:rowOff>117474</xdr:rowOff>
    </xdr:from>
    <xdr:to>
      <xdr:col>11</xdr:col>
      <xdr:colOff>69850</xdr:colOff>
      <xdr:row>21</xdr:row>
      <xdr:rowOff>82549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C3DF32-5FC6-48F5-946F-35EC97364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0.03343</cdr:x>
      <cdr:y>0.03356</cdr:y>
    </cdr:from>
    <cdr:to>
      <cdr:x>0.97889</cdr:x>
      <cdr:y>0.15162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A6182784-AF93-4F8C-BAD5-A7F853B6FD4E}"/>
            </a:ext>
          </a:extLst>
        </cdr:cNvPr>
        <cdr:cNvSpPr txBox="1"/>
      </cdr:nvSpPr>
      <cdr:spPr>
        <a:xfrm xmlns:a="http://schemas.openxmlformats.org/drawingml/2006/main">
          <a:off x="180976" y="92075"/>
          <a:ext cx="51181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1100" b="1">
              <a:latin typeface="Arial" panose="020B0604020202020204" pitchFamily="34" charset="0"/>
              <a:cs typeface="Arial" panose="020B0604020202020204" pitchFamily="34" charset="0"/>
            </a:rPr>
            <a:t>Évolution de l'indice nitrate dans les eaux souterraines de la France métropolitaine</a:t>
          </a:r>
        </a:p>
      </cdr:txBody>
    </cdr:sp>
  </cdr:relSizeAnchor>
  <cdr:relSizeAnchor xmlns:cdr="http://schemas.openxmlformats.org/drawingml/2006/chartDrawing">
    <cdr:from>
      <cdr:x>0.00867</cdr:x>
      <cdr:y>0.72528</cdr:y>
    </cdr:from>
    <cdr:to>
      <cdr:x>0.97641</cdr:x>
      <cdr:y>0.94134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19219523-B700-436F-809C-97F6938FD240}"/>
            </a:ext>
          </a:extLst>
        </cdr:cNvPr>
        <cdr:cNvSpPr txBox="1"/>
      </cdr:nvSpPr>
      <cdr:spPr>
        <a:xfrm xmlns:a="http://schemas.openxmlformats.org/drawingml/2006/main">
          <a:off x="65946" y="2512302"/>
          <a:ext cx="7364977" cy="748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100">
              <a:latin typeface="Arial" panose="020B0604020202020204" pitchFamily="34" charset="0"/>
              <a:cs typeface="Arial" panose="020B0604020202020204" pitchFamily="34" charset="0"/>
            </a:rPr>
            <a:t>Champ : France métropolitaine</a:t>
          </a:r>
          <a:r>
            <a:rPr lang="fr-FR" sz="1100" baseline="0">
              <a:latin typeface="Arial" panose="020B0604020202020204" pitchFamily="34" charset="0"/>
              <a:cs typeface="Arial" panose="020B0604020202020204" pitchFamily="34" charset="0"/>
            </a:rPr>
            <a:t> ; réseau de surveillance RCS/RCO/AEP ; seules les stations de surveillance des masses d'eau les plus proches de la surface sont prises en compte dans ce calcul.</a:t>
          </a:r>
        </a:p>
        <a:p xmlns:a="http://schemas.openxmlformats.org/drawingml/2006/main">
          <a:r>
            <a:rPr lang="fr-FR" sz="1100" baseline="0">
              <a:latin typeface="Arial" panose="020B0604020202020204" pitchFamily="34" charset="0"/>
              <a:cs typeface="Arial" panose="020B0604020202020204" pitchFamily="34" charset="0"/>
            </a:rPr>
            <a:t>Source : système d'informations sur l'eau, base de données ADES. Traitements : SDES, 2023</a:t>
          </a:r>
          <a:endParaRPr lang="fr-FR" sz="11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168274</xdr:colOff>
      <xdr:row>40</xdr:row>
      <xdr:rowOff>38100</xdr:rowOff>
    </xdr:from>
    <xdr:to>
      <xdr:col>12</xdr:col>
      <xdr:colOff>209550</xdr:colOff>
      <xdr:row>70</xdr:row>
      <xdr:rowOff>25400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E07F888-27AC-4B0B-B422-07055810E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61</xdr:row>
      <xdr:rowOff>107950</xdr:rowOff>
    </xdr:from>
    <xdr:to>
      <xdr:col>12</xdr:col>
      <xdr:colOff>19050</xdr:colOff>
      <xdr:row>62</xdr:row>
      <xdr:rowOff>133350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97DEC8E6-A565-4C19-BD13-E8D3B7F0B507}"/>
            </a:ext>
          </a:extLst>
        </xdr:cNvPr>
        <xdr:cNvSpPr txBox="1"/>
      </xdr:nvSpPr>
      <xdr:spPr>
        <a:xfrm>
          <a:off x="9455150" y="11341100"/>
          <a:ext cx="4572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En %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0.01753</cdr:x>
      <cdr:y>0.01257</cdr:y>
    </cdr:from>
    <cdr:to>
      <cdr:x>0.97132</cdr:x>
      <cdr:y>0.11453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3CF06EF6-E0F9-47EC-AFDD-1F35B852CEF1}"/>
            </a:ext>
          </a:extLst>
        </cdr:cNvPr>
        <cdr:cNvSpPr txBox="1"/>
      </cdr:nvSpPr>
      <cdr:spPr>
        <a:xfrm xmlns:a="http://schemas.openxmlformats.org/drawingml/2006/main">
          <a:off x="104776" y="57150"/>
          <a:ext cx="5702300" cy="463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fr-FR" sz="1100" b="1"/>
            <a:t>Top 15 des pesticides et de leur métabolites les plus quantifiés dans les eaux souterraines de France métropolitaine sur la période 2019-2021</a:t>
          </a:r>
        </a:p>
        <a:p xmlns:a="http://schemas.openxmlformats.org/drawingml/2006/main">
          <a:pPr algn="ctr"/>
          <a:endParaRPr lang="fr-FR" sz="1100" b="1"/>
        </a:p>
      </cdr:txBody>
    </cdr:sp>
  </cdr:relSizeAnchor>
  <cdr:relSizeAnchor xmlns:cdr="http://schemas.openxmlformats.org/drawingml/2006/chartDrawing">
    <cdr:from>
      <cdr:x>0.01965</cdr:x>
      <cdr:y>0.7523</cdr:y>
    </cdr:from>
    <cdr:to>
      <cdr:x>0.97345</cdr:x>
      <cdr:y>0.98603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47F3A5B7-0A19-4BB3-A123-FEF75FBD9061}"/>
            </a:ext>
          </a:extLst>
        </cdr:cNvPr>
        <cdr:cNvSpPr txBox="1"/>
      </cdr:nvSpPr>
      <cdr:spPr>
        <a:xfrm xmlns:a="http://schemas.openxmlformats.org/drawingml/2006/main">
          <a:off x="127959" y="4146550"/>
          <a:ext cx="6211075" cy="1288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>
              <a:effectLst/>
              <a:latin typeface="+mn-lt"/>
              <a:ea typeface="+mn-ea"/>
              <a:cs typeface="+mn-cs"/>
            </a:rPr>
            <a:t>Note : en bleu, métabolite</a:t>
          </a:r>
          <a:r>
            <a:rPr lang="fr-FR" sz="1100" baseline="0">
              <a:effectLst/>
              <a:latin typeface="+mn-lt"/>
              <a:ea typeface="+mn-ea"/>
              <a:cs typeface="+mn-cs"/>
            </a:rPr>
            <a:t> ; en vert, substance mère herbicide ; en jaune, substance mère fongicide.</a:t>
          </a:r>
        </a:p>
        <a:p xmlns:a="http://schemas.openxmlformats.org/drawingml/2006/main">
          <a:r>
            <a:rPr lang="fr-FR" sz="1100">
              <a:effectLst/>
              <a:latin typeface="+mn-lt"/>
              <a:ea typeface="+mn-ea"/>
              <a:cs typeface="+mn-cs"/>
            </a:rPr>
            <a:t>Champ : France métropolitaine</a:t>
          </a:r>
          <a:r>
            <a:rPr lang="fr-FR" sz="1100" baseline="0">
              <a:effectLst/>
              <a:latin typeface="+mn-lt"/>
              <a:ea typeface="+mn-ea"/>
              <a:cs typeface="+mn-cs"/>
            </a:rPr>
            <a:t> ; réseau de surveillance RCS/RCO/AEP ; seules les stations de surveillance des masses d'eau les plus proches de la surface sont prises en compte dans ce calcul ; seules les substances présentant un taux de recherche supérieur à 80 % sont retenues.</a:t>
          </a:r>
        </a:p>
        <a:p xmlns:a="http://schemas.openxmlformats.org/drawingml/2006/main">
          <a:r>
            <a:rPr lang="fr-FR" sz="1100" baseline="0">
              <a:effectLst/>
              <a:latin typeface="+mn-lt"/>
              <a:ea typeface="+mn-ea"/>
              <a:cs typeface="+mn-cs"/>
            </a:rPr>
            <a:t>Source : système d'informations sur l'eau, base de données ADES. Traitements : SDES, 2023</a:t>
          </a:r>
          <a:endParaRPr lang="fr-FR" sz="1100" b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361950</xdr:colOff>
      <xdr:row>46</xdr:row>
      <xdr:rowOff>158750</xdr:rowOff>
    </xdr:from>
    <xdr:to>
      <xdr:col>16</xdr:col>
      <xdr:colOff>57150</xdr:colOff>
      <xdr:row>48</xdr:row>
      <xdr:rowOff>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99CFA6AA-788C-4D82-9E2C-66851D02DC68}"/>
            </a:ext>
          </a:extLst>
        </xdr:cNvPr>
        <xdr:cNvSpPr txBox="1"/>
      </xdr:nvSpPr>
      <xdr:spPr>
        <a:xfrm>
          <a:off x="9493250" y="11207750"/>
          <a:ext cx="4572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En %</a:t>
          </a:r>
        </a:p>
      </xdr:txBody>
    </xdr:sp>
    <xdr:clientData/>
  </xdr:twoCellAnchor>
  <xdr:twoCellAnchor>
    <xdr:from>
      <xdr:col>5</xdr:col>
      <xdr:colOff>68579</xdr:colOff>
      <xdr:row>19</xdr:row>
      <xdr:rowOff>168274</xdr:rowOff>
    </xdr:from>
    <xdr:to>
      <xdr:col>13</xdr:col>
      <xdr:colOff>755015</xdr:colOff>
      <xdr:row>42</xdr:row>
      <xdr:rowOff>116840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484A249-A140-4D55-99A7-99A278155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0.0336</cdr:x>
      <cdr:y>0.7771</cdr:y>
    </cdr:from>
    <cdr:to>
      <cdr:x>0.97276</cdr:x>
      <cdr:y>0.97269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3E3E7FD8-0426-4B42-A50C-41B96DAF94C6}"/>
            </a:ext>
          </a:extLst>
        </cdr:cNvPr>
        <cdr:cNvSpPr txBox="1"/>
      </cdr:nvSpPr>
      <cdr:spPr>
        <a:xfrm xmlns:a="http://schemas.openxmlformats.org/drawingml/2006/main">
          <a:off x="227094" y="3254376"/>
          <a:ext cx="6348332" cy="8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effectLst/>
              <a:latin typeface="+mn-lt"/>
              <a:ea typeface="+mn-ea"/>
              <a:cs typeface="+mn-cs"/>
            </a:rPr>
            <a:t>Note : en bleu, métabolite</a:t>
          </a:r>
          <a:r>
            <a:rPr lang="fr-FR" sz="1100" baseline="0">
              <a:effectLst/>
              <a:latin typeface="+mn-lt"/>
              <a:ea typeface="+mn-ea"/>
              <a:cs typeface="+mn-cs"/>
            </a:rPr>
            <a:t> ; en vert, substance mère herbicide ; en jaune, substance mère fongicide ; en orange, substance mère insecticide.</a:t>
          </a:r>
          <a:endParaRPr lang="fr-FR">
            <a:effectLst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effectLst/>
              <a:latin typeface="+mn-lt"/>
              <a:ea typeface="+mn-ea"/>
              <a:cs typeface="+mn-cs"/>
            </a:rPr>
            <a:t>Champ : DROM</a:t>
          </a:r>
          <a:r>
            <a:rPr lang="fr-FR" sz="1100" baseline="0">
              <a:effectLst/>
              <a:latin typeface="+mn-lt"/>
              <a:ea typeface="+mn-ea"/>
              <a:cs typeface="+mn-cs"/>
            </a:rPr>
            <a:t> ; réseau de surveillance RCS/RCO/AEP ; seules les stations de surveillance des masses d'eau les plus proches de la surface sont prises en compte dans ce calcul ; seules les substances présentant un taux de recherche supérieur à 80 % sont retenues.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effectLst/>
              <a:latin typeface="+mn-lt"/>
              <a:ea typeface="+mn-ea"/>
              <a:cs typeface="+mn-cs"/>
            </a:rPr>
            <a:t>Source : système d'informations sur l'eau, base de données ADES. Traitements : SDES, 2023</a:t>
          </a:r>
          <a:endParaRPr lang="fr-FR">
            <a:effectLst/>
          </a:endParaRPr>
        </a:p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0.04903</cdr:x>
      <cdr:y>0.03588</cdr:y>
    </cdr:from>
    <cdr:to>
      <cdr:x>0.94448</cdr:x>
      <cdr:y>0.16551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74EF43A1-85B3-4689-A8F0-008401C8DCA7}"/>
            </a:ext>
          </a:extLst>
        </cdr:cNvPr>
        <cdr:cNvSpPr txBox="1"/>
      </cdr:nvSpPr>
      <cdr:spPr>
        <a:xfrm xmlns:a="http://schemas.openxmlformats.org/drawingml/2006/main">
          <a:off x="263526" y="98425"/>
          <a:ext cx="48133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effectLst/>
              <a:latin typeface="+mn-lt"/>
              <a:ea typeface="+mn-ea"/>
              <a:cs typeface="+mn-cs"/>
            </a:rPr>
            <a:t>Top 15 des pesticides et de leur métabolites les plus quantifiés dans les eaux souterraines de DROM sur la période 2019-2021</a:t>
          </a:r>
          <a:endParaRPr lang="fr-FR">
            <a:effectLst/>
          </a:endParaRPr>
        </a:p>
      </cdr:txBody>
    </cdr:sp>
  </cdr:relSizeAnchor>
  <cdr:relSizeAnchor xmlns:cdr="http://schemas.openxmlformats.org/drawingml/2006/chartDrawing">
    <cdr:from>
      <cdr:x>0.88846</cdr:x>
      <cdr:y>0.74267</cdr:y>
    </cdr:from>
    <cdr:to>
      <cdr:x>0.96994</cdr:x>
      <cdr:y>0.81846</cdr:y>
    </cdr:to>
    <cdr:sp macro="" textlink="">
      <cdr:nvSpPr>
        <cdr:cNvPr id="6" name="ZoneTexte 1">
          <a:extLst xmlns:a="http://schemas.openxmlformats.org/drawingml/2006/main">
            <a:ext uri="{FF2B5EF4-FFF2-40B4-BE49-F238E27FC236}">
              <a16:creationId xmlns:a16="http://schemas.microsoft.com/office/drawing/2014/main" id="{A6584744-ADED-49E0-887C-CC347230264E}"/>
            </a:ext>
          </a:extLst>
        </cdr:cNvPr>
        <cdr:cNvSpPr txBox="1"/>
      </cdr:nvSpPr>
      <cdr:spPr>
        <a:xfrm xmlns:a="http://schemas.openxmlformats.org/drawingml/2006/main">
          <a:off x="6005594" y="3110170"/>
          <a:ext cx="550782" cy="317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effectLst/>
              <a:latin typeface="+mn-lt"/>
              <a:ea typeface="+mn-ea"/>
              <a:cs typeface="+mn-cs"/>
            </a:rPr>
            <a:t>En %</a:t>
          </a:r>
          <a:endParaRPr lang="fr-FR">
            <a:effectLst/>
          </a:endParaRPr>
        </a:p>
        <a:p xmlns:a="http://schemas.openxmlformats.org/drawingml/2006/main">
          <a:endParaRPr lang="fr-FR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16</xdr:row>
      <xdr:rowOff>3174</xdr:rowOff>
    </xdr:from>
    <xdr:to>
      <xdr:col>16</xdr:col>
      <xdr:colOff>283882</xdr:colOff>
      <xdr:row>41</xdr:row>
      <xdr:rowOff>14941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400B07-23C5-4737-AE40-8659352F6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0.02055</cdr:x>
      <cdr:y>0.80984</cdr:y>
    </cdr:from>
    <cdr:to>
      <cdr:x>0.97293</cdr:x>
      <cdr:y>0.98499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A39C6875-3CE9-4B49-B785-5417D965B295}"/>
            </a:ext>
          </a:extLst>
        </cdr:cNvPr>
        <cdr:cNvSpPr txBox="1"/>
      </cdr:nvSpPr>
      <cdr:spPr>
        <a:xfrm xmlns:a="http://schemas.openxmlformats.org/drawingml/2006/main">
          <a:off x="130176" y="3082926"/>
          <a:ext cx="6032500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100">
              <a:effectLst/>
              <a:latin typeface="+mn-lt"/>
              <a:ea typeface="+mn-ea"/>
              <a:cs typeface="+mn-cs"/>
            </a:rPr>
            <a:t>Champ : France métropolitaine</a:t>
          </a:r>
          <a:r>
            <a:rPr lang="fr-FR" sz="1100" baseline="0">
              <a:effectLst/>
              <a:latin typeface="+mn-lt"/>
              <a:ea typeface="+mn-ea"/>
              <a:cs typeface="+mn-cs"/>
            </a:rPr>
            <a:t> ; réseau de surveillance RCS/RCO/AEP ; seules les stations de surveillance des masses d'eau les plus proches de la surface sont prises en compte dans ce calcul.</a:t>
          </a:r>
          <a:endParaRPr lang="fr-FR">
            <a:effectLst/>
          </a:endParaRPr>
        </a:p>
        <a:p xmlns:a="http://schemas.openxmlformats.org/drawingml/2006/main">
          <a:r>
            <a:rPr lang="fr-FR" sz="1100" baseline="0">
              <a:effectLst/>
              <a:latin typeface="+mn-lt"/>
              <a:ea typeface="+mn-ea"/>
              <a:cs typeface="+mn-cs"/>
            </a:rPr>
            <a:t>Source : système d'informations sur l'eau, base de données ADES. Traitements : SDES, 2023</a:t>
          </a:r>
          <a:endParaRPr lang="fr-FR">
            <a:effectLst/>
          </a:endParaRPr>
        </a:p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0.01314</cdr:x>
      <cdr:y>0.01316</cdr:y>
    </cdr:from>
    <cdr:to>
      <cdr:x>0.96552</cdr:x>
      <cdr:y>0.18831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0C7DA3EE-EDB9-4991-989A-1536FA16EE43}"/>
            </a:ext>
          </a:extLst>
        </cdr:cNvPr>
        <cdr:cNvSpPr txBox="1"/>
      </cdr:nvSpPr>
      <cdr:spPr>
        <a:xfrm xmlns:a="http://schemas.openxmlformats.org/drawingml/2006/main">
          <a:off x="104588" y="50800"/>
          <a:ext cx="7578200" cy="675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fr-FR" sz="1400" b="1" i="0" baseline="0">
              <a:effectLst/>
              <a:latin typeface="+mn-lt"/>
              <a:ea typeface="+mn-ea"/>
              <a:cs typeface="+mn-cs"/>
            </a:rPr>
            <a:t>Nombre de substances suivies et quantifiées sur la période 2019-2021 dans les eaux souterraines en France par groupe de substances</a:t>
          </a:r>
          <a:endParaRPr lang="fr-FR" sz="1400">
            <a:effectLst/>
          </a:endParaRPr>
        </a:p>
        <a:p xmlns:a="http://schemas.openxmlformats.org/drawingml/2006/main">
          <a:pPr algn="ctr"/>
          <a:endParaRPr lang="fr-FR" sz="14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1044222</xdr:colOff>
      <xdr:row>32</xdr:row>
      <xdr:rowOff>5996</xdr:rowOff>
    </xdr:from>
    <xdr:to>
      <xdr:col>9</xdr:col>
      <xdr:colOff>567971</xdr:colOff>
      <xdr:row>52</xdr:row>
      <xdr:rowOff>148871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4801579-AC87-4655-BF08-6D4EE81CF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11</xdr:row>
      <xdr:rowOff>76202</xdr:rowOff>
    </xdr:from>
    <xdr:to>
      <xdr:col>6</xdr:col>
      <xdr:colOff>483150</xdr:colOff>
      <xdr:row>30</xdr:row>
      <xdr:rowOff>66676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6587734-46BB-4DB3-8717-6E8CADC7C16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SDIE-themes\Developpement_durable\3_Bilan_environnemental\2023_DATALAB_Bilan_Environnemental\2_Fiches_thematiques\2-Pollution_ESU_ESO\parametresuivi2019_2021_ESO_I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1"/>
    </sheetNames>
    <sheetDataSet>
      <sheetData sheetId="0">
        <row r="1">
          <cell r="I1" t="str">
            <v>Substances surveillées sur la période</v>
          </cell>
          <cell r="J1" t="str">
            <v>Substances quantifiées au moins une fois sur la période</v>
          </cell>
        </row>
        <row r="2">
          <cell r="G2" t="str">
            <v>Physico-chimie</v>
          </cell>
          <cell r="H2" t="str">
            <v>DOM</v>
          </cell>
          <cell r="I2">
            <v>10</v>
          </cell>
          <cell r="J2">
            <v>10</v>
          </cell>
        </row>
        <row r="3">
          <cell r="G3"/>
          <cell r="H3" t="str">
            <v>FM</v>
          </cell>
          <cell r="I3">
            <v>13</v>
          </cell>
          <cell r="J3">
            <v>13</v>
          </cell>
        </row>
        <row r="4">
          <cell r="G4" t="str">
            <v>Pesticides</v>
          </cell>
          <cell r="H4" t="str">
            <v>DOM</v>
          </cell>
          <cell r="I4">
            <v>689</v>
          </cell>
          <cell r="J4">
            <v>160</v>
          </cell>
        </row>
        <row r="5">
          <cell r="G5"/>
          <cell r="H5" t="str">
            <v>FM</v>
          </cell>
          <cell r="I5">
            <v>782</v>
          </cell>
          <cell r="J5">
            <v>588</v>
          </cell>
        </row>
        <row r="6">
          <cell r="G6" t="str">
            <v>Métaux</v>
          </cell>
          <cell r="H6" t="str">
            <v>DOM</v>
          </cell>
          <cell r="I6">
            <v>28</v>
          </cell>
          <cell r="J6">
            <v>26</v>
          </cell>
        </row>
        <row r="7">
          <cell r="G7"/>
          <cell r="H7" t="str">
            <v>FM</v>
          </cell>
          <cell r="I7">
            <v>36</v>
          </cell>
          <cell r="J7">
            <v>35</v>
          </cell>
        </row>
        <row r="8">
          <cell r="G8" t="str">
            <v>PFAS</v>
          </cell>
          <cell r="H8" t="str">
            <v>DOM</v>
          </cell>
          <cell r="I8">
            <v>11</v>
          </cell>
          <cell r="J8">
            <v>8</v>
          </cell>
        </row>
        <row r="9">
          <cell r="G9"/>
          <cell r="H9" t="str">
            <v>FM</v>
          </cell>
          <cell r="I9">
            <v>12</v>
          </cell>
          <cell r="J9">
            <v>12</v>
          </cell>
        </row>
        <row r="10">
          <cell r="G10" t="str">
            <v>Substances pharmaceutiques</v>
          </cell>
          <cell r="H10" t="str">
            <v>DOM</v>
          </cell>
          <cell r="I10">
            <v>69</v>
          </cell>
          <cell r="J10">
            <v>27</v>
          </cell>
        </row>
        <row r="11">
          <cell r="G11"/>
          <cell r="H11" t="str">
            <v>FM</v>
          </cell>
          <cell r="I11">
            <v>142</v>
          </cell>
          <cell r="J11">
            <v>70</v>
          </cell>
        </row>
        <row r="12">
          <cell r="G12" t="str">
            <v>Autres micropolluants</v>
          </cell>
          <cell r="H12" t="str">
            <v>DOM</v>
          </cell>
          <cell r="I12">
            <v>423</v>
          </cell>
          <cell r="J12">
            <v>124</v>
          </cell>
        </row>
        <row r="13">
          <cell r="G13"/>
          <cell r="H13" t="str">
            <v>FM</v>
          </cell>
          <cell r="I13">
            <v>625</v>
          </cell>
          <cell r="J13">
            <v>444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52A8-E302-4EB5-9F37-87DED6E7A6E9}">
  <dimension ref="A1:A8"/>
  <sheetViews>
    <sheetView showGridLines="0" tabSelected="1" workbookViewId="0">
      <selection activeCell="N7" sqref="N7"/>
    </sheetView>
  </sheetViews>
  <sheetFormatPr baseColWidth="10" defaultRowHeight="14.4" x14ac:dyDescent="0.3"/>
  <sheetData>
    <row r="1" spans="1:1" ht="15.6" x14ac:dyDescent="0.3">
      <c r="A1" s="29" t="s">
        <v>165</v>
      </c>
    </row>
    <row r="3" spans="1:1" x14ac:dyDescent="0.3">
      <c r="A3" s="28" t="s">
        <v>126</v>
      </c>
    </row>
    <row r="4" spans="1:1" x14ac:dyDescent="0.3">
      <c r="A4" s="28" t="s">
        <v>167</v>
      </c>
    </row>
    <row r="5" spans="1:1" x14ac:dyDescent="0.3">
      <c r="A5" s="28" t="s">
        <v>168</v>
      </c>
    </row>
    <row r="6" spans="1:1" x14ac:dyDescent="0.3">
      <c r="A6" s="28" t="s">
        <v>166</v>
      </c>
    </row>
    <row r="7" spans="1:1" x14ac:dyDescent="0.3">
      <c r="A7" s="28" t="s">
        <v>170</v>
      </c>
    </row>
    <row r="8" spans="1:1" x14ac:dyDescent="0.3">
      <c r="A8" s="28" t="s">
        <v>172</v>
      </c>
    </row>
  </sheetData>
  <hyperlinks>
    <hyperlink ref="A3" location="Indice_Nitrate_ESO_FM!A1" display="Évolution de l'indice nitrate dans les eaux souterraines de la France métropolitaine" xr:uid="{D2C484DD-BBBC-450D-8480-2622B1AE6CB3}"/>
    <hyperlink ref="A4" location="'Graphique 4'!A1" display="Top 15 des pesticides et de leur métabolites les plus quantifiés dans les eaux souterraines de France métropolitaine sur la période 2019-2021" xr:uid="{B5334B29-E8F0-4BFD-A4C7-A13309CE21D5}"/>
    <hyperlink ref="A5" location="'Graphique 5'!A1" display="Top 15 des pesticides et de leur métabolites les plus quantifiés dans les eaux souterraines de DROM sur la période 2019-2021" xr:uid="{04133D4E-1A84-4514-849C-2AA3A9934884}"/>
    <hyperlink ref="A6" location="'Graphique 6'!A1" display="Nombre de substances suivies et quantifiées sur la période 2019-2021 dans les eaux souterraines en France par groupe de substances" xr:uid="{7B7EB583-9DB2-4C94-97DB-50285A8BCB10}"/>
    <hyperlink ref="A7" location="'Graphique 7'!A1" display="Évolution du nombre de captages d'alimentation en eau potable fermées et leurs principaux motifs d'abandon" xr:uid="{B8766D37-E08E-464B-8981-A342E1137C73}"/>
    <hyperlink ref="A8" location="'Graphique 8'!A1" display="Évolution des dépenses engagées pour lutter contre les pollution des eaux superficielles et souterraines (hors eaux marines)" xr:uid="{B121F085-3EF0-41F9-856D-1CB99A502C3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8E58-0869-46C0-BC6E-641432B4D23B}">
  <dimension ref="A1:B27"/>
  <sheetViews>
    <sheetView showGridLines="0" workbookViewId="0">
      <selection activeCell="N26" sqref="N26"/>
    </sheetView>
  </sheetViews>
  <sheetFormatPr baseColWidth="10" defaultColWidth="10.88671875" defaultRowHeight="14.4" x14ac:dyDescent="0.3"/>
  <cols>
    <col min="2" max="2" width="10.88671875" style="2"/>
  </cols>
  <sheetData>
    <row r="1" spans="1:2" x14ac:dyDescent="0.3">
      <c r="A1" s="3" t="s">
        <v>126</v>
      </c>
    </row>
    <row r="5" spans="1:2" x14ac:dyDescent="0.3">
      <c r="A5" t="s">
        <v>125</v>
      </c>
      <c r="B5" s="2" t="s">
        <v>124</v>
      </c>
    </row>
    <row r="6" spans="1:2" x14ac:dyDescent="0.3">
      <c r="A6">
        <v>2000</v>
      </c>
      <c r="B6" s="2">
        <v>100</v>
      </c>
    </row>
    <row r="7" spans="1:2" x14ac:dyDescent="0.3">
      <c r="A7">
        <v>2001</v>
      </c>
      <c r="B7" s="2">
        <v>101.226864662756</v>
      </c>
    </row>
    <row r="8" spans="1:2" x14ac:dyDescent="0.3">
      <c r="A8">
        <v>2002</v>
      </c>
      <c r="B8" s="2">
        <v>101.182827235388</v>
      </c>
    </row>
    <row r="9" spans="1:2" x14ac:dyDescent="0.3">
      <c r="A9">
        <v>2003</v>
      </c>
      <c r="B9" s="2">
        <v>100.833744317273</v>
      </c>
    </row>
    <row r="10" spans="1:2" x14ac:dyDescent="0.3">
      <c r="A10">
        <v>2004</v>
      </c>
      <c r="B10" s="2">
        <v>101.471649197806</v>
      </c>
    </row>
    <row r="11" spans="1:2" x14ac:dyDescent="0.3">
      <c r="A11">
        <v>2005</v>
      </c>
      <c r="B11" s="2">
        <v>99.716940010356197</v>
      </c>
    </row>
    <row r="12" spans="1:2" x14ac:dyDescent="0.3">
      <c r="A12">
        <v>2006</v>
      </c>
      <c r="B12" s="2">
        <v>101.45965281409001</v>
      </c>
    </row>
    <row r="13" spans="1:2" x14ac:dyDescent="0.3">
      <c r="A13">
        <v>2007</v>
      </c>
      <c r="B13" s="2">
        <v>101.88701433145199</v>
      </c>
    </row>
    <row r="14" spans="1:2" x14ac:dyDescent="0.3">
      <c r="A14">
        <v>2008</v>
      </c>
      <c r="B14" s="2">
        <v>102.38019051133099</v>
      </c>
    </row>
    <row r="15" spans="1:2" x14ac:dyDescent="0.3">
      <c r="A15">
        <v>2009</v>
      </c>
      <c r="B15" s="2">
        <v>101.208855477471</v>
      </c>
    </row>
    <row r="16" spans="1:2" x14ac:dyDescent="0.3">
      <c r="A16">
        <v>2010</v>
      </c>
      <c r="B16" s="2">
        <v>100.422718793192</v>
      </c>
    </row>
    <row r="17" spans="1:2" x14ac:dyDescent="0.3">
      <c r="A17">
        <v>2011</v>
      </c>
      <c r="B17" s="2">
        <v>99.436157535298605</v>
      </c>
    </row>
    <row r="18" spans="1:2" x14ac:dyDescent="0.3">
      <c r="A18">
        <v>2012</v>
      </c>
      <c r="B18" s="2">
        <v>98.944728251255299</v>
      </c>
    </row>
    <row r="19" spans="1:2" x14ac:dyDescent="0.3">
      <c r="A19">
        <v>2013</v>
      </c>
      <c r="B19" s="2">
        <v>100.84916248668399</v>
      </c>
    </row>
    <row r="20" spans="1:2" x14ac:dyDescent="0.3">
      <c r="A20">
        <v>2014</v>
      </c>
      <c r="B20" s="2">
        <v>99.356568179336193</v>
      </c>
    </row>
    <row r="21" spans="1:2" x14ac:dyDescent="0.3">
      <c r="A21">
        <v>2015</v>
      </c>
      <c r="B21" s="2">
        <v>98.164257944660903</v>
      </c>
    </row>
    <row r="22" spans="1:2" x14ac:dyDescent="0.3">
      <c r="A22">
        <v>2016</v>
      </c>
      <c r="B22" s="2">
        <v>97.159966617959299</v>
      </c>
    </row>
    <row r="23" spans="1:2" x14ac:dyDescent="0.3">
      <c r="A23">
        <v>2017</v>
      </c>
      <c r="B23" s="2">
        <v>96.924468922574306</v>
      </c>
    </row>
    <row r="24" spans="1:2" x14ac:dyDescent="0.3">
      <c r="A24">
        <v>2018</v>
      </c>
      <c r="B24" s="2">
        <v>96.948494069363804</v>
      </c>
    </row>
    <row r="25" spans="1:2" x14ac:dyDescent="0.3">
      <c r="A25">
        <v>2019</v>
      </c>
      <c r="B25" s="2">
        <v>98.564050792591303</v>
      </c>
    </row>
    <row r="26" spans="1:2" x14ac:dyDescent="0.3">
      <c r="A26">
        <v>2020</v>
      </c>
      <c r="B26" s="2">
        <v>100.47937476110501</v>
      </c>
    </row>
    <row r="27" spans="1:2" x14ac:dyDescent="0.3">
      <c r="A27">
        <v>2021</v>
      </c>
      <c r="B27" s="2">
        <v>101.191828726022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showGridLines="0" workbookViewId="0"/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16149</v>
      </c>
      <c r="D2">
        <v>47349</v>
      </c>
      <c r="E2">
        <v>21087</v>
      </c>
      <c r="F2">
        <v>44.535259456377098</v>
      </c>
      <c r="G2">
        <v>16443</v>
      </c>
      <c r="H2" t="s">
        <v>16</v>
      </c>
      <c r="I2" t="s">
        <v>17</v>
      </c>
      <c r="J2" t="s">
        <v>18</v>
      </c>
      <c r="L2">
        <v>0.1</v>
      </c>
      <c r="M2">
        <v>10</v>
      </c>
      <c r="N2">
        <v>98.212005108556795</v>
      </c>
    </row>
    <row r="3" spans="1:14" x14ac:dyDescent="0.3">
      <c r="A3" t="s">
        <v>19</v>
      </c>
      <c r="B3" t="s">
        <v>15</v>
      </c>
      <c r="C3">
        <v>189</v>
      </c>
      <c r="D3">
        <v>1073</v>
      </c>
      <c r="E3">
        <v>390</v>
      </c>
      <c r="F3">
        <v>36.346691519105299</v>
      </c>
      <c r="G3">
        <v>193</v>
      </c>
      <c r="H3" t="s">
        <v>16</v>
      </c>
      <c r="I3" t="s">
        <v>17</v>
      </c>
      <c r="J3" t="s">
        <v>18</v>
      </c>
      <c r="L3">
        <v>0.1</v>
      </c>
      <c r="M3">
        <v>10</v>
      </c>
      <c r="N3">
        <v>97.927461139896394</v>
      </c>
    </row>
    <row r="4" spans="1:14" x14ac:dyDescent="0.3">
      <c r="A4" t="s">
        <v>14</v>
      </c>
      <c r="B4" t="s">
        <v>20</v>
      </c>
      <c r="C4">
        <v>16130</v>
      </c>
      <c r="D4">
        <v>47209</v>
      </c>
      <c r="E4">
        <v>15135</v>
      </c>
      <c r="F4">
        <v>32.059564913469899</v>
      </c>
      <c r="G4">
        <v>16443</v>
      </c>
      <c r="H4" t="s">
        <v>21</v>
      </c>
      <c r="I4" t="s">
        <v>17</v>
      </c>
      <c r="J4" t="s">
        <v>22</v>
      </c>
      <c r="L4">
        <v>0.1</v>
      </c>
      <c r="M4">
        <v>10</v>
      </c>
      <c r="N4">
        <v>98.096454418293504</v>
      </c>
    </row>
    <row r="5" spans="1:14" x14ac:dyDescent="0.3">
      <c r="A5" t="s">
        <v>14</v>
      </c>
      <c r="B5" t="s">
        <v>23</v>
      </c>
      <c r="C5">
        <v>13481</v>
      </c>
      <c r="D5">
        <v>41937</v>
      </c>
      <c r="E5">
        <v>11064</v>
      </c>
      <c r="F5">
        <v>26.382430789040701</v>
      </c>
      <c r="G5">
        <v>16443</v>
      </c>
      <c r="H5" t="s">
        <v>24</v>
      </c>
      <c r="I5" t="s">
        <v>17</v>
      </c>
      <c r="J5" t="s">
        <v>18</v>
      </c>
      <c r="L5">
        <v>0.1</v>
      </c>
      <c r="M5">
        <v>10</v>
      </c>
      <c r="N5">
        <v>81.986255549473896</v>
      </c>
    </row>
    <row r="6" spans="1:14" x14ac:dyDescent="0.3">
      <c r="A6" t="s">
        <v>19</v>
      </c>
      <c r="B6" t="s">
        <v>25</v>
      </c>
      <c r="C6">
        <v>190</v>
      </c>
      <c r="D6">
        <v>989</v>
      </c>
      <c r="E6">
        <v>202</v>
      </c>
      <c r="F6">
        <v>20.424671385237598</v>
      </c>
      <c r="G6">
        <v>193</v>
      </c>
      <c r="H6" t="s">
        <v>26</v>
      </c>
      <c r="I6" t="s">
        <v>17</v>
      </c>
      <c r="J6" t="s">
        <v>27</v>
      </c>
      <c r="L6">
        <v>0.1</v>
      </c>
      <c r="M6">
        <v>10</v>
      </c>
      <c r="N6">
        <v>98.445595854922303</v>
      </c>
    </row>
    <row r="7" spans="1:14" x14ac:dyDescent="0.3">
      <c r="A7" t="s">
        <v>19</v>
      </c>
      <c r="B7" t="s">
        <v>20</v>
      </c>
      <c r="C7">
        <v>192</v>
      </c>
      <c r="D7">
        <v>1082</v>
      </c>
      <c r="E7">
        <v>219</v>
      </c>
      <c r="F7">
        <v>20.240295748613701</v>
      </c>
      <c r="G7">
        <v>193</v>
      </c>
      <c r="H7" t="s">
        <v>21</v>
      </c>
      <c r="I7" t="s">
        <v>17</v>
      </c>
      <c r="J7" t="s">
        <v>22</v>
      </c>
      <c r="L7">
        <v>0.1</v>
      </c>
      <c r="M7">
        <v>10</v>
      </c>
      <c r="N7">
        <v>99.481865284974106</v>
      </c>
    </row>
    <row r="8" spans="1:14" x14ac:dyDescent="0.3">
      <c r="A8" t="s">
        <v>14</v>
      </c>
      <c r="B8" t="s">
        <v>28</v>
      </c>
      <c r="C8">
        <v>16134</v>
      </c>
      <c r="D8">
        <v>47148</v>
      </c>
      <c r="E8">
        <v>7048</v>
      </c>
      <c r="F8">
        <v>14.9486722660558</v>
      </c>
      <c r="G8">
        <v>16443</v>
      </c>
      <c r="H8" t="s">
        <v>29</v>
      </c>
      <c r="I8" t="s">
        <v>17</v>
      </c>
      <c r="J8" t="s">
        <v>22</v>
      </c>
      <c r="L8">
        <v>0.1</v>
      </c>
      <c r="M8">
        <v>10</v>
      </c>
      <c r="N8">
        <v>98.120780879401593</v>
      </c>
    </row>
    <row r="9" spans="1:14" x14ac:dyDescent="0.3">
      <c r="A9" t="s">
        <v>14</v>
      </c>
      <c r="B9" t="s">
        <v>30</v>
      </c>
      <c r="C9">
        <v>14273</v>
      </c>
      <c r="D9">
        <v>43915</v>
      </c>
      <c r="E9">
        <v>5918</v>
      </c>
      <c r="F9">
        <v>13.4760332460435</v>
      </c>
      <c r="G9">
        <v>16443</v>
      </c>
      <c r="H9" t="s">
        <v>31</v>
      </c>
      <c r="I9" t="s">
        <v>17</v>
      </c>
      <c r="J9" t="s">
        <v>32</v>
      </c>
      <c r="L9">
        <v>0.1</v>
      </c>
      <c r="M9">
        <v>10</v>
      </c>
      <c r="N9">
        <v>86.802894848871901</v>
      </c>
    </row>
    <row r="10" spans="1:14" x14ac:dyDescent="0.3">
      <c r="A10" t="s">
        <v>19</v>
      </c>
      <c r="B10" t="s">
        <v>33</v>
      </c>
      <c r="C10">
        <v>190</v>
      </c>
      <c r="D10">
        <v>963</v>
      </c>
      <c r="E10">
        <v>117</v>
      </c>
      <c r="F10">
        <v>12.1495327102804</v>
      </c>
      <c r="G10">
        <v>193</v>
      </c>
      <c r="H10" t="s">
        <v>34</v>
      </c>
      <c r="I10" t="s">
        <v>17</v>
      </c>
      <c r="J10" t="s">
        <v>27</v>
      </c>
      <c r="L10">
        <v>0.1</v>
      </c>
      <c r="M10">
        <v>10</v>
      </c>
      <c r="N10">
        <v>98.445595854922303</v>
      </c>
    </row>
    <row r="11" spans="1:14" x14ac:dyDescent="0.3">
      <c r="A11" t="s">
        <v>19</v>
      </c>
      <c r="B11" t="s">
        <v>35</v>
      </c>
      <c r="C11">
        <v>191</v>
      </c>
      <c r="D11">
        <v>949</v>
      </c>
      <c r="E11">
        <v>107</v>
      </c>
      <c r="F11">
        <v>11.2750263435195</v>
      </c>
      <c r="G11">
        <v>193</v>
      </c>
      <c r="H11" t="s">
        <v>36</v>
      </c>
      <c r="I11" t="s">
        <v>17</v>
      </c>
      <c r="J11" t="s">
        <v>22</v>
      </c>
      <c r="L11">
        <v>0.1</v>
      </c>
      <c r="M11">
        <v>10</v>
      </c>
      <c r="N11">
        <v>98.963730569948197</v>
      </c>
    </row>
    <row r="12" spans="1:14" x14ac:dyDescent="0.3">
      <c r="A12" t="s">
        <v>19</v>
      </c>
      <c r="B12" t="s">
        <v>37</v>
      </c>
      <c r="C12">
        <v>193</v>
      </c>
      <c r="D12">
        <v>984</v>
      </c>
      <c r="E12">
        <v>110</v>
      </c>
      <c r="F12">
        <v>11.178861788617899</v>
      </c>
      <c r="G12">
        <v>193</v>
      </c>
      <c r="H12" t="s">
        <v>38</v>
      </c>
      <c r="I12" t="s">
        <v>17</v>
      </c>
      <c r="J12" t="s">
        <v>22</v>
      </c>
      <c r="L12">
        <v>0.1</v>
      </c>
      <c r="M12">
        <v>10</v>
      </c>
      <c r="N12">
        <v>100</v>
      </c>
    </row>
    <row r="13" spans="1:14" x14ac:dyDescent="0.3">
      <c r="A13" t="s">
        <v>14</v>
      </c>
      <c r="B13" t="s">
        <v>39</v>
      </c>
      <c r="C13">
        <v>15936</v>
      </c>
      <c r="D13">
        <v>46216</v>
      </c>
      <c r="E13">
        <v>4874</v>
      </c>
      <c r="F13">
        <v>10.5461312099706</v>
      </c>
      <c r="G13">
        <v>16443</v>
      </c>
      <c r="H13" t="s">
        <v>40</v>
      </c>
      <c r="I13" t="s">
        <v>17</v>
      </c>
      <c r="J13" t="s">
        <v>18</v>
      </c>
      <c r="L13">
        <v>0.1</v>
      </c>
      <c r="M13">
        <v>10</v>
      </c>
      <c r="N13">
        <v>96.916621054552095</v>
      </c>
    </row>
    <row r="14" spans="1:14" x14ac:dyDescent="0.3">
      <c r="A14" t="s">
        <v>19</v>
      </c>
      <c r="B14" t="s">
        <v>41</v>
      </c>
      <c r="C14">
        <v>168</v>
      </c>
      <c r="D14">
        <v>848</v>
      </c>
      <c r="E14">
        <v>89</v>
      </c>
      <c r="F14">
        <v>10.4952830188679</v>
      </c>
      <c r="G14">
        <v>193</v>
      </c>
      <c r="H14" t="s">
        <v>42</v>
      </c>
      <c r="I14" t="s">
        <v>17</v>
      </c>
      <c r="J14" t="s">
        <v>22</v>
      </c>
      <c r="L14">
        <v>0.1</v>
      </c>
      <c r="M14">
        <v>10</v>
      </c>
      <c r="N14">
        <v>87.0466321243523</v>
      </c>
    </row>
    <row r="15" spans="1:14" x14ac:dyDescent="0.3">
      <c r="A15" t="s">
        <v>19</v>
      </c>
      <c r="B15" t="s">
        <v>43</v>
      </c>
      <c r="C15">
        <v>191</v>
      </c>
      <c r="D15">
        <v>964</v>
      </c>
      <c r="E15">
        <v>99</v>
      </c>
      <c r="F15">
        <v>10.269709543568499</v>
      </c>
      <c r="G15">
        <v>193</v>
      </c>
      <c r="H15" t="s">
        <v>44</v>
      </c>
      <c r="I15" t="s">
        <v>17</v>
      </c>
      <c r="J15" t="s">
        <v>27</v>
      </c>
      <c r="L15">
        <v>0.03</v>
      </c>
      <c r="M15">
        <v>10</v>
      </c>
      <c r="N15">
        <v>98.963730569948197</v>
      </c>
    </row>
    <row r="16" spans="1:14" x14ac:dyDescent="0.3">
      <c r="A16" t="s">
        <v>14</v>
      </c>
      <c r="B16" t="s">
        <v>45</v>
      </c>
      <c r="C16">
        <v>15600</v>
      </c>
      <c r="D16">
        <v>46502</v>
      </c>
      <c r="E16">
        <v>4567</v>
      </c>
      <c r="F16">
        <v>9.8210829641735806</v>
      </c>
      <c r="G16">
        <v>16443</v>
      </c>
      <c r="H16" t="s">
        <v>46</v>
      </c>
      <c r="I16" t="s">
        <v>17</v>
      </c>
      <c r="J16" t="s">
        <v>18</v>
      </c>
      <c r="L16">
        <v>0.1</v>
      </c>
      <c r="M16">
        <v>10</v>
      </c>
      <c r="N16">
        <v>94.873198321474206</v>
      </c>
    </row>
    <row r="17" spans="1:14" x14ac:dyDescent="0.3">
      <c r="A17" t="s">
        <v>14</v>
      </c>
      <c r="B17" t="s">
        <v>47</v>
      </c>
      <c r="C17">
        <v>14626</v>
      </c>
      <c r="D17">
        <v>43708</v>
      </c>
      <c r="E17">
        <v>3436</v>
      </c>
      <c r="F17">
        <v>7.8612610963667997</v>
      </c>
      <c r="G17">
        <v>16443</v>
      </c>
      <c r="H17" t="s">
        <v>48</v>
      </c>
      <c r="I17" t="s">
        <v>17</v>
      </c>
      <c r="J17" t="s">
        <v>49</v>
      </c>
      <c r="L17">
        <v>0.1</v>
      </c>
      <c r="M17">
        <v>100</v>
      </c>
      <c r="N17">
        <v>88.949705041659101</v>
      </c>
    </row>
    <row r="18" spans="1:14" x14ac:dyDescent="0.3">
      <c r="A18" t="s">
        <v>19</v>
      </c>
      <c r="B18" t="s">
        <v>50</v>
      </c>
      <c r="C18">
        <v>192</v>
      </c>
      <c r="D18">
        <v>984</v>
      </c>
      <c r="E18">
        <v>76</v>
      </c>
      <c r="F18">
        <v>7.7235772357723604</v>
      </c>
      <c r="G18">
        <v>193</v>
      </c>
      <c r="H18" t="s">
        <v>51</v>
      </c>
      <c r="I18" t="s">
        <v>17</v>
      </c>
      <c r="J18" t="s">
        <v>22</v>
      </c>
      <c r="K18" t="s">
        <v>52</v>
      </c>
      <c r="L18">
        <v>0.1</v>
      </c>
      <c r="M18">
        <v>10</v>
      </c>
      <c r="N18">
        <v>99.481865284974106</v>
      </c>
    </row>
    <row r="19" spans="1:14" x14ac:dyDescent="0.3">
      <c r="A19" t="s">
        <v>14</v>
      </c>
      <c r="B19" t="s">
        <v>53</v>
      </c>
      <c r="C19">
        <v>13679</v>
      </c>
      <c r="D19">
        <v>39997</v>
      </c>
      <c r="E19">
        <v>3087</v>
      </c>
      <c r="F19">
        <v>7.7180788559141904</v>
      </c>
      <c r="G19">
        <v>16443</v>
      </c>
      <c r="H19" t="s">
        <v>54</v>
      </c>
      <c r="I19" t="s">
        <v>17</v>
      </c>
      <c r="J19" t="s">
        <v>32</v>
      </c>
      <c r="L19">
        <v>0.1</v>
      </c>
      <c r="M19">
        <v>10</v>
      </c>
      <c r="N19">
        <v>83.190415374323393</v>
      </c>
    </row>
    <row r="20" spans="1:14" x14ac:dyDescent="0.3">
      <c r="A20" t="s">
        <v>14</v>
      </c>
      <c r="B20" t="s">
        <v>37</v>
      </c>
      <c r="C20">
        <v>15363</v>
      </c>
      <c r="D20">
        <v>46155</v>
      </c>
      <c r="E20">
        <v>2677</v>
      </c>
      <c r="F20">
        <v>5.8000216661250104</v>
      </c>
      <c r="G20">
        <v>16443</v>
      </c>
      <c r="H20" t="s">
        <v>38</v>
      </c>
      <c r="I20" t="s">
        <v>17</v>
      </c>
      <c r="J20" t="s">
        <v>22</v>
      </c>
      <c r="L20">
        <v>0.1</v>
      </c>
      <c r="M20">
        <v>10</v>
      </c>
      <c r="N20">
        <v>93.431855500821001</v>
      </c>
    </row>
    <row r="21" spans="1:14" x14ac:dyDescent="0.3">
      <c r="A21" t="s">
        <v>14</v>
      </c>
      <c r="B21" t="s">
        <v>55</v>
      </c>
      <c r="C21">
        <v>13375</v>
      </c>
      <c r="D21">
        <v>38879</v>
      </c>
      <c r="E21">
        <v>2152</v>
      </c>
      <c r="F21">
        <v>5.5351217881118302</v>
      </c>
      <c r="G21">
        <v>16443</v>
      </c>
      <c r="H21" t="s">
        <v>56</v>
      </c>
      <c r="I21" t="s">
        <v>17</v>
      </c>
      <c r="J21" t="s">
        <v>18</v>
      </c>
      <c r="L21">
        <v>0.1</v>
      </c>
      <c r="M21">
        <v>10</v>
      </c>
      <c r="N21">
        <v>81.341604330110101</v>
      </c>
    </row>
    <row r="22" spans="1:14" x14ac:dyDescent="0.3">
      <c r="A22" t="s">
        <v>14</v>
      </c>
      <c r="B22" t="s">
        <v>57</v>
      </c>
      <c r="C22">
        <v>15236</v>
      </c>
      <c r="D22">
        <v>45052</v>
      </c>
      <c r="E22">
        <v>2232</v>
      </c>
      <c r="F22">
        <v>4.9542750599307501</v>
      </c>
      <c r="G22">
        <v>16443</v>
      </c>
      <c r="H22" t="s">
        <v>58</v>
      </c>
      <c r="I22" t="s">
        <v>17</v>
      </c>
      <c r="J22" t="s">
        <v>32</v>
      </c>
      <c r="L22">
        <v>0.1</v>
      </c>
      <c r="M22">
        <v>10</v>
      </c>
      <c r="N22">
        <v>92.659490360639793</v>
      </c>
    </row>
    <row r="23" spans="1:14" x14ac:dyDescent="0.3">
      <c r="A23" t="s">
        <v>19</v>
      </c>
      <c r="B23" t="s">
        <v>39</v>
      </c>
      <c r="C23">
        <v>169</v>
      </c>
      <c r="D23">
        <v>867</v>
      </c>
      <c r="E23">
        <v>40</v>
      </c>
      <c r="F23">
        <v>4.6136101499423301</v>
      </c>
      <c r="G23">
        <v>193</v>
      </c>
      <c r="H23" t="s">
        <v>40</v>
      </c>
      <c r="I23" t="s">
        <v>17</v>
      </c>
      <c r="J23" t="s">
        <v>18</v>
      </c>
      <c r="L23">
        <v>0.1</v>
      </c>
      <c r="M23">
        <v>10</v>
      </c>
      <c r="N23">
        <v>87.564766839378194</v>
      </c>
    </row>
    <row r="24" spans="1:14" x14ac:dyDescent="0.3">
      <c r="A24" t="s">
        <v>19</v>
      </c>
      <c r="B24" t="s">
        <v>45</v>
      </c>
      <c r="C24">
        <v>189</v>
      </c>
      <c r="D24">
        <v>1072</v>
      </c>
      <c r="E24">
        <v>48</v>
      </c>
      <c r="F24">
        <v>4.4776119402985097</v>
      </c>
      <c r="G24">
        <v>193</v>
      </c>
      <c r="H24" t="s">
        <v>46</v>
      </c>
      <c r="I24" t="s">
        <v>17</v>
      </c>
      <c r="J24" t="s">
        <v>18</v>
      </c>
      <c r="L24">
        <v>0.1</v>
      </c>
      <c r="M24">
        <v>10</v>
      </c>
      <c r="N24">
        <v>97.927461139896394</v>
      </c>
    </row>
    <row r="25" spans="1:14" x14ac:dyDescent="0.3">
      <c r="A25" t="s">
        <v>14</v>
      </c>
      <c r="B25" t="s">
        <v>59</v>
      </c>
      <c r="C25">
        <v>15311</v>
      </c>
      <c r="D25">
        <v>45689</v>
      </c>
      <c r="E25">
        <v>2007</v>
      </c>
      <c r="F25">
        <v>4.39274223554904</v>
      </c>
      <c r="G25">
        <v>16443</v>
      </c>
      <c r="H25" t="s">
        <v>60</v>
      </c>
      <c r="I25" t="s">
        <v>17</v>
      </c>
      <c r="J25" t="s">
        <v>22</v>
      </c>
      <c r="K25" t="s">
        <v>52</v>
      </c>
      <c r="L25">
        <v>0.1</v>
      </c>
      <c r="M25">
        <v>10</v>
      </c>
      <c r="N25">
        <v>93.115611506416101</v>
      </c>
    </row>
    <row r="26" spans="1:14" x14ac:dyDescent="0.3">
      <c r="A26" t="s">
        <v>14</v>
      </c>
      <c r="B26" t="s">
        <v>61</v>
      </c>
      <c r="C26">
        <v>13764</v>
      </c>
      <c r="D26">
        <v>41183</v>
      </c>
      <c r="E26">
        <v>1672</v>
      </c>
      <c r="F26">
        <v>4.0599276400456503</v>
      </c>
      <c r="G26">
        <v>16443</v>
      </c>
      <c r="H26" t="s">
        <v>62</v>
      </c>
      <c r="I26" t="s">
        <v>17</v>
      </c>
      <c r="J26" t="s">
        <v>22</v>
      </c>
      <c r="L26">
        <v>0.1</v>
      </c>
      <c r="N26">
        <v>83.707352672869902</v>
      </c>
    </row>
    <row r="27" spans="1:14" x14ac:dyDescent="0.3">
      <c r="A27" t="s">
        <v>14</v>
      </c>
      <c r="B27" t="s">
        <v>63</v>
      </c>
      <c r="C27">
        <v>13409</v>
      </c>
      <c r="D27">
        <v>40305</v>
      </c>
      <c r="E27">
        <v>1572</v>
      </c>
      <c r="F27">
        <v>3.9002605135839201</v>
      </c>
      <c r="G27">
        <v>16443</v>
      </c>
      <c r="H27" t="s">
        <v>64</v>
      </c>
      <c r="I27" t="s">
        <v>17</v>
      </c>
      <c r="J27" t="s">
        <v>32</v>
      </c>
      <c r="L27">
        <v>0.1</v>
      </c>
      <c r="N27">
        <v>81.548379249528693</v>
      </c>
    </row>
    <row r="28" spans="1:14" x14ac:dyDescent="0.3">
      <c r="A28" t="s">
        <v>14</v>
      </c>
      <c r="B28" t="s">
        <v>65</v>
      </c>
      <c r="C28">
        <v>13678</v>
      </c>
      <c r="D28">
        <v>42118</v>
      </c>
      <c r="E28">
        <v>1550</v>
      </c>
      <c r="F28">
        <v>3.68013675863051</v>
      </c>
      <c r="G28">
        <v>16443</v>
      </c>
      <c r="H28" t="s">
        <v>66</v>
      </c>
      <c r="I28" t="s">
        <v>17</v>
      </c>
      <c r="J28" t="s">
        <v>32</v>
      </c>
      <c r="L28">
        <v>0.1</v>
      </c>
      <c r="M28">
        <v>10</v>
      </c>
      <c r="N28">
        <v>83.184333759046396</v>
      </c>
    </row>
    <row r="29" spans="1:14" x14ac:dyDescent="0.3">
      <c r="A29" t="s">
        <v>14</v>
      </c>
      <c r="B29" t="s">
        <v>67</v>
      </c>
      <c r="C29">
        <v>15583</v>
      </c>
      <c r="D29">
        <v>45674</v>
      </c>
      <c r="E29">
        <v>1631</v>
      </c>
      <c r="F29">
        <v>3.5709594079782798</v>
      </c>
      <c r="G29">
        <v>16443</v>
      </c>
      <c r="H29" t="s">
        <v>68</v>
      </c>
      <c r="I29" t="s">
        <v>17</v>
      </c>
      <c r="J29" t="s">
        <v>22</v>
      </c>
      <c r="K29" t="s">
        <v>52</v>
      </c>
      <c r="L29">
        <v>0.1</v>
      </c>
      <c r="M29">
        <v>10</v>
      </c>
      <c r="N29">
        <v>94.769810861764896</v>
      </c>
    </row>
    <row r="30" spans="1:14" x14ac:dyDescent="0.3">
      <c r="A30" t="s">
        <v>19</v>
      </c>
      <c r="B30" t="s">
        <v>69</v>
      </c>
      <c r="C30">
        <v>190</v>
      </c>
      <c r="D30">
        <v>925</v>
      </c>
      <c r="E30">
        <v>32</v>
      </c>
      <c r="F30">
        <v>3.4594594594594601</v>
      </c>
      <c r="G30">
        <v>193</v>
      </c>
      <c r="H30" t="s">
        <v>70</v>
      </c>
      <c r="I30" t="s">
        <v>17</v>
      </c>
      <c r="J30" t="s">
        <v>49</v>
      </c>
      <c r="K30" t="s">
        <v>71</v>
      </c>
      <c r="L30">
        <v>0.1</v>
      </c>
      <c r="M30">
        <v>10</v>
      </c>
      <c r="N30">
        <v>98.445595854922303</v>
      </c>
    </row>
    <row r="31" spans="1:14" x14ac:dyDescent="0.3">
      <c r="A31" t="s">
        <v>14</v>
      </c>
      <c r="B31" t="s">
        <v>50</v>
      </c>
      <c r="C31">
        <v>15573</v>
      </c>
      <c r="D31">
        <v>45751</v>
      </c>
      <c r="E31">
        <v>1541</v>
      </c>
      <c r="F31">
        <v>3.3682323883630998</v>
      </c>
      <c r="G31">
        <v>16443</v>
      </c>
      <c r="H31" t="s">
        <v>51</v>
      </c>
      <c r="I31" t="s">
        <v>17</v>
      </c>
      <c r="J31" t="s">
        <v>22</v>
      </c>
      <c r="K31" t="s">
        <v>52</v>
      </c>
      <c r="L31">
        <v>0.1</v>
      </c>
      <c r="M31">
        <v>10</v>
      </c>
      <c r="N31">
        <v>94.708994708994695</v>
      </c>
    </row>
    <row r="32" spans="1:14" x14ac:dyDescent="0.3">
      <c r="A32" t="s">
        <v>14</v>
      </c>
      <c r="B32" t="s">
        <v>72</v>
      </c>
      <c r="C32">
        <v>14310</v>
      </c>
      <c r="D32">
        <v>40872</v>
      </c>
      <c r="E32">
        <v>1222</v>
      </c>
      <c r="F32">
        <v>2.9898218829516501</v>
      </c>
      <c r="G32">
        <v>16443</v>
      </c>
      <c r="H32" t="s">
        <v>73</v>
      </c>
      <c r="I32" t="s">
        <v>17</v>
      </c>
      <c r="J32" t="s">
        <v>49</v>
      </c>
      <c r="L32">
        <v>0.1</v>
      </c>
      <c r="M32">
        <v>100</v>
      </c>
      <c r="N32">
        <v>87.027914614121499</v>
      </c>
    </row>
    <row r="33" spans="1:14" x14ac:dyDescent="0.3">
      <c r="A33" t="s">
        <v>14</v>
      </c>
      <c r="B33" t="s">
        <v>74</v>
      </c>
      <c r="C33">
        <v>15297</v>
      </c>
      <c r="D33">
        <v>86792</v>
      </c>
      <c r="E33">
        <v>2578</v>
      </c>
      <c r="F33">
        <v>2.9703198451470199</v>
      </c>
      <c r="G33">
        <v>16443</v>
      </c>
      <c r="H33" t="s">
        <v>75</v>
      </c>
      <c r="I33" t="s">
        <v>17</v>
      </c>
      <c r="J33" t="s">
        <v>22</v>
      </c>
      <c r="L33">
        <v>0.1</v>
      </c>
      <c r="M33">
        <v>100</v>
      </c>
      <c r="N33">
        <v>93.030468892537897</v>
      </c>
    </row>
    <row r="34" spans="1:14" x14ac:dyDescent="0.3">
      <c r="A34" t="s">
        <v>19</v>
      </c>
      <c r="B34" t="s">
        <v>76</v>
      </c>
      <c r="C34">
        <v>191</v>
      </c>
      <c r="D34">
        <v>950</v>
      </c>
      <c r="E34">
        <v>26</v>
      </c>
      <c r="F34">
        <v>2.7368421052631602</v>
      </c>
      <c r="G34">
        <v>193</v>
      </c>
      <c r="H34" t="s">
        <v>77</v>
      </c>
      <c r="I34" t="s">
        <v>17</v>
      </c>
      <c r="J34" t="s">
        <v>18</v>
      </c>
      <c r="L34">
        <v>0.1</v>
      </c>
      <c r="M34">
        <v>10</v>
      </c>
      <c r="N34">
        <v>98.963730569948197</v>
      </c>
    </row>
    <row r="35" spans="1:14" x14ac:dyDescent="0.3">
      <c r="A35" t="s">
        <v>14</v>
      </c>
      <c r="B35" t="s">
        <v>78</v>
      </c>
      <c r="C35">
        <v>14342</v>
      </c>
      <c r="D35">
        <v>41546</v>
      </c>
      <c r="E35">
        <v>973</v>
      </c>
      <c r="F35">
        <v>2.3419823809753</v>
      </c>
      <c r="G35">
        <v>16443</v>
      </c>
      <c r="H35" t="s">
        <v>79</v>
      </c>
      <c r="I35" t="s">
        <v>17</v>
      </c>
      <c r="J35" t="s">
        <v>22</v>
      </c>
      <c r="L35">
        <v>0.1</v>
      </c>
      <c r="M35">
        <v>10</v>
      </c>
      <c r="N35">
        <v>87.222526302986097</v>
      </c>
    </row>
    <row r="36" spans="1:14" x14ac:dyDescent="0.3">
      <c r="A36" t="s">
        <v>14</v>
      </c>
      <c r="B36" t="s">
        <v>80</v>
      </c>
      <c r="C36">
        <v>14525</v>
      </c>
      <c r="D36">
        <v>39929</v>
      </c>
      <c r="E36">
        <v>929</v>
      </c>
      <c r="F36">
        <v>2.3266297678379102</v>
      </c>
      <c r="G36">
        <v>16443</v>
      </c>
      <c r="H36" t="s">
        <v>81</v>
      </c>
      <c r="I36" t="s">
        <v>17</v>
      </c>
      <c r="J36" t="s">
        <v>22</v>
      </c>
      <c r="L36">
        <v>0.1</v>
      </c>
      <c r="M36">
        <v>10</v>
      </c>
      <c r="N36">
        <v>88.335461898680293</v>
      </c>
    </row>
    <row r="37" spans="1:14" x14ac:dyDescent="0.3">
      <c r="A37" t="s">
        <v>14</v>
      </c>
      <c r="B37" t="s">
        <v>35</v>
      </c>
      <c r="C37">
        <v>15149</v>
      </c>
      <c r="D37">
        <v>43949</v>
      </c>
      <c r="E37">
        <v>976</v>
      </c>
      <c r="F37">
        <v>2.2207558761291502</v>
      </c>
      <c r="G37">
        <v>16443</v>
      </c>
      <c r="H37" t="s">
        <v>36</v>
      </c>
      <c r="I37" t="s">
        <v>17</v>
      </c>
      <c r="J37" t="s">
        <v>22</v>
      </c>
      <c r="L37">
        <v>0.1</v>
      </c>
      <c r="M37">
        <v>10</v>
      </c>
      <c r="N37">
        <v>92.130389831539304</v>
      </c>
    </row>
    <row r="38" spans="1:14" x14ac:dyDescent="0.3">
      <c r="A38" t="s">
        <v>19</v>
      </c>
      <c r="B38" t="s">
        <v>82</v>
      </c>
      <c r="C38">
        <v>171</v>
      </c>
      <c r="D38">
        <v>1804</v>
      </c>
      <c r="E38">
        <v>38</v>
      </c>
      <c r="F38">
        <v>2.1064301552106399</v>
      </c>
      <c r="G38">
        <v>193</v>
      </c>
      <c r="H38" t="s">
        <v>83</v>
      </c>
      <c r="I38" t="s">
        <v>17</v>
      </c>
      <c r="J38" t="s">
        <v>22</v>
      </c>
      <c r="L38">
        <v>0.1</v>
      </c>
      <c r="M38">
        <v>10</v>
      </c>
      <c r="N38">
        <v>88.601036269430097</v>
      </c>
    </row>
    <row r="39" spans="1:14" x14ac:dyDescent="0.3">
      <c r="A39" t="s">
        <v>14</v>
      </c>
      <c r="B39" t="s">
        <v>41</v>
      </c>
      <c r="C39">
        <v>15019</v>
      </c>
      <c r="D39">
        <v>42319</v>
      </c>
      <c r="E39">
        <v>871</v>
      </c>
      <c r="F39">
        <v>2.0581771780996698</v>
      </c>
      <c r="G39">
        <v>16443</v>
      </c>
      <c r="H39" t="s">
        <v>42</v>
      </c>
      <c r="I39" t="s">
        <v>17</v>
      </c>
      <c r="J39" t="s">
        <v>22</v>
      </c>
      <c r="L39">
        <v>0.1</v>
      </c>
      <c r="M39">
        <v>10</v>
      </c>
      <c r="N39">
        <v>91.339779845527005</v>
      </c>
    </row>
    <row r="40" spans="1:14" x14ac:dyDescent="0.3">
      <c r="A40" t="s">
        <v>14</v>
      </c>
      <c r="B40" t="s">
        <v>84</v>
      </c>
      <c r="C40">
        <v>16015</v>
      </c>
      <c r="D40">
        <v>45600</v>
      </c>
      <c r="E40">
        <v>887</v>
      </c>
      <c r="F40">
        <v>1.9451754385964899</v>
      </c>
      <c r="G40">
        <v>16443</v>
      </c>
      <c r="H40" t="s">
        <v>85</v>
      </c>
      <c r="I40" t="s">
        <v>17</v>
      </c>
      <c r="J40" t="s">
        <v>18</v>
      </c>
      <c r="L40">
        <v>0.1</v>
      </c>
      <c r="N40">
        <v>97.397068661436506</v>
      </c>
    </row>
    <row r="41" spans="1:14" x14ac:dyDescent="0.3">
      <c r="A41" t="s">
        <v>14</v>
      </c>
      <c r="B41" t="s">
        <v>86</v>
      </c>
      <c r="C41">
        <v>14300</v>
      </c>
      <c r="D41">
        <v>40537</v>
      </c>
      <c r="E41">
        <v>774</v>
      </c>
      <c r="F41">
        <v>1.90936675136295</v>
      </c>
      <c r="G41">
        <v>16443</v>
      </c>
      <c r="H41" t="s">
        <v>87</v>
      </c>
      <c r="I41" t="s">
        <v>17</v>
      </c>
      <c r="J41" t="s">
        <v>22</v>
      </c>
      <c r="L41">
        <v>0.1</v>
      </c>
      <c r="M41">
        <v>100</v>
      </c>
      <c r="N41">
        <v>86.967098461351299</v>
      </c>
    </row>
    <row r="42" spans="1:14" x14ac:dyDescent="0.3">
      <c r="A42" t="s">
        <v>19</v>
      </c>
      <c r="B42" t="s">
        <v>88</v>
      </c>
      <c r="C42">
        <v>168</v>
      </c>
      <c r="D42">
        <v>848</v>
      </c>
      <c r="E42">
        <v>16</v>
      </c>
      <c r="F42">
        <v>1.88679245283019</v>
      </c>
      <c r="G42">
        <v>193</v>
      </c>
      <c r="H42" t="s">
        <v>89</v>
      </c>
      <c r="I42" t="s">
        <v>17</v>
      </c>
      <c r="J42" t="s">
        <v>22</v>
      </c>
      <c r="L42">
        <v>0.1</v>
      </c>
      <c r="M42">
        <v>100</v>
      </c>
      <c r="N42">
        <v>87.0466321243523</v>
      </c>
    </row>
    <row r="43" spans="1:14" x14ac:dyDescent="0.3">
      <c r="A43" t="s">
        <v>14</v>
      </c>
      <c r="B43" t="s">
        <v>90</v>
      </c>
      <c r="C43">
        <v>15566</v>
      </c>
      <c r="D43">
        <v>46014</v>
      </c>
      <c r="E43">
        <v>758</v>
      </c>
      <c r="F43">
        <v>1.64732472725692</v>
      </c>
      <c r="G43">
        <v>16443</v>
      </c>
      <c r="H43" t="s">
        <v>91</v>
      </c>
      <c r="I43" t="s">
        <v>17</v>
      </c>
      <c r="J43" t="s">
        <v>22</v>
      </c>
      <c r="L43">
        <v>0.1</v>
      </c>
      <c r="M43">
        <v>10</v>
      </c>
      <c r="N43">
        <v>94.666423402055599</v>
      </c>
    </row>
    <row r="44" spans="1:14" x14ac:dyDescent="0.3">
      <c r="A44" t="s">
        <v>14</v>
      </c>
      <c r="B44" t="s">
        <v>92</v>
      </c>
      <c r="C44">
        <v>14868</v>
      </c>
      <c r="D44">
        <v>42005</v>
      </c>
      <c r="E44">
        <v>579</v>
      </c>
      <c r="F44">
        <v>1.37840733246042</v>
      </c>
      <c r="G44">
        <v>16443</v>
      </c>
      <c r="H44" t="s">
        <v>93</v>
      </c>
      <c r="I44" t="s">
        <v>17</v>
      </c>
      <c r="J44" t="s">
        <v>49</v>
      </c>
      <c r="K44" t="s">
        <v>71</v>
      </c>
      <c r="L44">
        <v>0.1</v>
      </c>
      <c r="M44">
        <v>10</v>
      </c>
      <c r="N44">
        <v>90.421455938697306</v>
      </c>
    </row>
    <row r="45" spans="1:14" x14ac:dyDescent="0.3">
      <c r="A45" t="s">
        <v>14</v>
      </c>
      <c r="B45" t="s">
        <v>94</v>
      </c>
      <c r="C45">
        <v>13203</v>
      </c>
      <c r="D45">
        <v>39021</v>
      </c>
      <c r="E45">
        <v>516</v>
      </c>
      <c r="F45">
        <v>1.32236488044899</v>
      </c>
      <c r="G45">
        <v>16443</v>
      </c>
      <c r="H45" t="s">
        <v>95</v>
      </c>
      <c r="I45" t="s">
        <v>17</v>
      </c>
      <c r="J45" t="s">
        <v>22</v>
      </c>
      <c r="L45">
        <v>0.1</v>
      </c>
      <c r="N45">
        <v>80.295566502463103</v>
      </c>
    </row>
    <row r="46" spans="1:14" x14ac:dyDescent="0.3">
      <c r="A46" t="s">
        <v>14</v>
      </c>
      <c r="B46" t="s">
        <v>96</v>
      </c>
      <c r="C46">
        <v>15659</v>
      </c>
      <c r="D46">
        <v>43237</v>
      </c>
      <c r="E46">
        <v>560</v>
      </c>
      <c r="F46">
        <v>1.2951869926220601</v>
      </c>
      <c r="G46">
        <v>16443</v>
      </c>
      <c r="H46" t="s">
        <v>97</v>
      </c>
      <c r="I46" t="s">
        <v>17</v>
      </c>
      <c r="J46" t="s">
        <v>49</v>
      </c>
      <c r="K46" t="s">
        <v>71</v>
      </c>
      <c r="L46">
        <v>0.1</v>
      </c>
      <c r="M46">
        <v>10</v>
      </c>
      <c r="N46">
        <v>95.232013622818201</v>
      </c>
    </row>
    <row r="47" spans="1:14" x14ac:dyDescent="0.3">
      <c r="A47" t="s">
        <v>19</v>
      </c>
      <c r="B47" t="s">
        <v>98</v>
      </c>
      <c r="C47">
        <v>168</v>
      </c>
      <c r="D47">
        <v>866</v>
      </c>
      <c r="E47">
        <v>10</v>
      </c>
      <c r="F47">
        <v>1.1547344110854501</v>
      </c>
      <c r="G47">
        <v>193</v>
      </c>
      <c r="H47" t="s">
        <v>99</v>
      </c>
      <c r="I47" t="s">
        <v>17</v>
      </c>
      <c r="J47" t="s">
        <v>18</v>
      </c>
      <c r="L47">
        <v>0.1</v>
      </c>
      <c r="M47">
        <v>10</v>
      </c>
      <c r="N47">
        <v>87.0466321243523</v>
      </c>
    </row>
    <row r="48" spans="1:14" x14ac:dyDescent="0.3">
      <c r="A48" t="s">
        <v>19</v>
      </c>
      <c r="B48" t="s">
        <v>47</v>
      </c>
      <c r="C48">
        <v>168</v>
      </c>
      <c r="D48">
        <v>712</v>
      </c>
      <c r="E48">
        <v>8</v>
      </c>
      <c r="F48">
        <v>1.1235955056179801</v>
      </c>
      <c r="G48">
        <v>193</v>
      </c>
      <c r="H48" t="s">
        <v>48</v>
      </c>
      <c r="I48" t="s">
        <v>17</v>
      </c>
      <c r="J48" t="s">
        <v>49</v>
      </c>
      <c r="L48">
        <v>0.1</v>
      </c>
      <c r="M48">
        <v>100</v>
      </c>
      <c r="N48">
        <v>87.0466321243523</v>
      </c>
    </row>
    <row r="49" spans="1:14" x14ac:dyDescent="0.3">
      <c r="A49" t="s">
        <v>14</v>
      </c>
      <c r="B49" t="s">
        <v>100</v>
      </c>
      <c r="C49">
        <v>14632</v>
      </c>
      <c r="D49">
        <v>42405</v>
      </c>
      <c r="E49">
        <v>469</v>
      </c>
      <c r="F49">
        <v>1.10600165074873</v>
      </c>
      <c r="G49">
        <v>16443</v>
      </c>
      <c r="H49" t="s">
        <v>101</v>
      </c>
      <c r="I49" t="s">
        <v>17</v>
      </c>
      <c r="J49" t="s">
        <v>22</v>
      </c>
      <c r="L49">
        <v>0.1</v>
      </c>
      <c r="M49">
        <v>10</v>
      </c>
      <c r="N49">
        <v>88.986194733321199</v>
      </c>
    </row>
    <row r="50" spans="1:14" x14ac:dyDescent="0.3">
      <c r="A50" t="s">
        <v>14</v>
      </c>
      <c r="B50" t="s">
        <v>102</v>
      </c>
      <c r="C50">
        <v>15186</v>
      </c>
      <c r="D50">
        <v>42244</v>
      </c>
      <c r="E50">
        <v>462</v>
      </c>
      <c r="F50">
        <v>1.0936464349966899</v>
      </c>
      <c r="G50">
        <v>16443</v>
      </c>
      <c r="H50" t="s">
        <v>103</v>
      </c>
      <c r="I50" t="s">
        <v>17</v>
      </c>
      <c r="J50" t="s">
        <v>22</v>
      </c>
      <c r="K50" t="s">
        <v>52</v>
      </c>
      <c r="L50">
        <v>0.1</v>
      </c>
      <c r="M50">
        <v>10</v>
      </c>
      <c r="N50">
        <v>92.355409596788903</v>
      </c>
    </row>
    <row r="51" spans="1:14" x14ac:dyDescent="0.3">
      <c r="A51" t="s">
        <v>14</v>
      </c>
      <c r="B51" t="s">
        <v>104</v>
      </c>
      <c r="C51">
        <v>14485</v>
      </c>
      <c r="D51">
        <v>41202</v>
      </c>
      <c r="E51">
        <v>438</v>
      </c>
      <c r="F51">
        <v>1.0630551914955599</v>
      </c>
      <c r="G51">
        <v>16443</v>
      </c>
      <c r="H51" t="s">
        <v>105</v>
      </c>
      <c r="I51" t="s">
        <v>17</v>
      </c>
      <c r="J51" t="s">
        <v>49</v>
      </c>
      <c r="K51" t="s">
        <v>71</v>
      </c>
      <c r="L51">
        <v>0.1</v>
      </c>
      <c r="M51">
        <v>100</v>
      </c>
      <c r="N51">
        <v>88.092197287599603</v>
      </c>
    </row>
    <row r="52" spans="1:14" x14ac:dyDescent="0.3">
      <c r="A52" t="s">
        <v>14</v>
      </c>
      <c r="B52" t="s">
        <v>82</v>
      </c>
      <c r="C52">
        <v>16038</v>
      </c>
      <c r="D52">
        <v>91462</v>
      </c>
      <c r="E52">
        <v>950</v>
      </c>
      <c r="F52">
        <v>1.0386827316262499</v>
      </c>
      <c r="G52">
        <v>16443</v>
      </c>
      <c r="H52" t="s">
        <v>83</v>
      </c>
      <c r="I52" t="s">
        <v>17</v>
      </c>
      <c r="J52" t="s">
        <v>22</v>
      </c>
      <c r="L52">
        <v>0.1</v>
      </c>
      <c r="M52">
        <v>10</v>
      </c>
      <c r="N52">
        <v>97.5369458128079</v>
      </c>
    </row>
    <row r="53" spans="1:14" x14ac:dyDescent="0.3">
      <c r="A53" t="s">
        <v>14</v>
      </c>
      <c r="B53" t="s">
        <v>106</v>
      </c>
      <c r="C53">
        <v>15465</v>
      </c>
      <c r="D53">
        <v>44944</v>
      </c>
      <c r="E53">
        <v>462</v>
      </c>
      <c r="F53">
        <v>1.0279458882164501</v>
      </c>
      <c r="G53">
        <v>16443</v>
      </c>
      <c r="H53" t="s">
        <v>107</v>
      </c>
      <c r="I53" t="s">
        <v>17</v>
      </c>
      <c r="J53" t="s">
        <v>22</v>
      </c>
      <c r="K53" t="s">
        <v>52</v>
      </c>
      <c r="L53">
        <v>0.1</v>
      </c>
      <c r="M53">
        <v>10</v>
      </c>
      <c r="N53">
        <v>94.052180259076806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62AB-234E-4DAC-8FCF-07059AF80A26}">
  <dimension ref="A1:Q68"/>
  <sheetViews>
    <sheetView showGridLines="0" topLeftCell="A37" workbookViewId="0">
      <selection activeCell="O56" sqref="O56"/>
    </sheetView>
  </sheetViews>
  <sheetFormatPr baseColWidth="10" defaultRowHeight="14.4" x14ac:dyDescent="0.3"/>
  <cols>
    <col min="2" max="2" width="16.21875" customWidth="1"/>
    <col min="11" max="11" width="16.21875" customWidth="1"/>
  </cols>
  <sheetData>
    <row r="1" spans="1:17" x14ac:dyDescent="0.3">
      <c r="A1" t="s">
        <v>0</v>
      </c>
      <c r="B1" t="s">
        <v>7</v>
      </c>
      <c r="C1" t="s">
        <v>5</v>
      </c>
      <c r="D1" t="s">
        <v>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 t="s">
        <v>14</v>
      </c>
      <c r="B2" t="s">
        <v>16</v>
      </c>
      <c r="C2">
        <v>44.535259456377098</v>
      </c>
      <c r="D2" t="s">
        <v>18</v>
      </c>
      <c r="E2" t="s">
        <v>15</v>
      </c>
      <c r="F2">
        <v>16149</v>
      </c>
      <c r="G2">
        <v>47349</v>
      </c>
      <c r="H2">
        <v>21087</v>
      </c>
      <c r="I2">
        <v>44.535259456377098</v>
      </c>
      <c r="J2">
        <v>16443</v>
      </c>
      <c r="K2" t="s">
        <v>16</v>
      </c>
      <c r="L2" t="s">
        <v>17</v>
      </c>
      <c r="M2" t="s">
        <v>18</v>
      </c>
      <c r="O2">
        <v>0.1</v>
      </c>
      <c r="P2">
        <v>10</v>
      </c>
      <c r="Q2">
        <v>98.212005108556795</v>
      </c>
    </row>
    <row r="3" spans="1:17" x14ac:dyDescent="0.3">
      <c r="A3" t="s">
        <v>14</v>
      </c>
      <c r="B3" t="s">
        <v>21</v>
      </c>
      <c r="C3">
        <v>32.059564913469899</v>
      </c>
      <c r="D3" t="s">
        <v>22</v>
      </c>
      <c r="E3" t="s">
        <v>20</v>
      </c>
      <c r="F3">
        <v>16130</v>
      </c>
      <c r="G3">
        <v>47209</v>
      </c>
      <c r="H3">
        <v>15135</v>
      </c>
      <c r="I3">
        <v>32.059564913469899</v>
      </c>
      <c r="J3">
        <v>16443</v>
      </c>
      <c r="K3" t="s">
        <v>21</v>
      </c>
      <c r="L3" t="s">
        <v>17</v>
      </c>
      <c r="M3" t="s">
        <v>22</v>
      </c>
      <c r="O3">
        <v>0.1</v>
      </c>
      <c r="P3">
        <v>10</v>
      </c>
      <c r="Q3">
        <v>98.096454418293504</v>
      </c>
    </row>
    <row r="4" spans="1:17" x14ac:dyDescent="0.3">
      <c r="A4" t="s">
        <v>14</v>
      </c>
      <c r="B4" t="s">
        <v>24</v>
      </c>
      <c r="C4">
        <v>26.382430789040701</v>
      </c>
      <c r="D4" t="s">
        <v>18</v>
      </c>
      <c r="E4" t="s">
        <v>23</v>
      </c>
      <c r="F4">
        <v>13481</v>
      </c>
      <c r="G4">
        <v>41937</v>
      </c>
      <c r="H4">
        <v>11064</v>
      </c>
      <c r="I4">
        <v>26.382430789040701</v>
      </c>
      <c r="J4">
        <v>16443</v>
      </c>
      <c r="K4" t="s">
        <v>24</v>
      </c>
      <c r="L4" t="s">
        <v>17</v>
      </c>
      <c r="M4" t="s">
        <v>18</v>
      </c>
      <c r="O4">
        <v>0.1</v>
      </c>
      <c r="P4">
        <v>10</v>
      </c>
      <c r="Q4">
        <v>81.986255549473896</v>
      </c>
    </row>
    <row r="5" spans="1:17" x14ac:dyDescent="0.3">
      <c r="A5" t="s">
        <v>14</v>
      </c>
      <c r="B5" t="s">
        <v>29</v>
      </c>
      <c r="C5">
        <v>14.9486722660558</v>
      </c>
      <c r="D5" t="s">
        <v>22</v>
      </c>
      <c r="E5" t="s">
        <v>28</v>
      </c>
      <c r="F5">
        <v>16134</v>
      </c>
      <c r="G5">
        <v>47148</v>
      </c>
      <c r="H5">
        <v>7048</v>
      </c>
      <c r="I5">
        <v>14.9486722660558</v>
      </c>
      <c r="J5">
        <v>16443</v>
      </c>
      <c r="K5" t="s">
        <v>29</v>
      </c>
      <c r="L5" t="s">
        <v>17</v>
      </c>
      <c r="M5" t="s">
        <v>22</v>
      </c>
      <c r="O5">
        <v>0.1</v>
      </c>
      <c r="P5">
        <v>10</v>
      </c>
      <c r="Q5">
        <v>98.120780879401593</v>
      </c>
    </row>
    <row r="6" spans="1:17" x14ac:dyDescent="0.3">
      <c r="A6" t="s">
        <v>14</v>
      </c>
      <c r="B6" t="s">
        <v>31</v>
      </c>
      <c r="C6">
        <v>13.4760332460435</v>
      </c>
      <c r="D6" t="s">
        <v>32</v>
      </c>
      <c r="E6" t="s">
        <v>30</v>
      </c>
      <c r="F6">
        <v>14273</v>
      </c>
      <c r="G6">
        <v>43915</v>
      </c>
      <c r="H6">
        <v>5918</v>
      </c>
      <c r="I6">
        <v>13.4760332460435</v>
      </c>
      <c r="J6">
        <v>16443</v>
      </c>
      <c r="K6" t="s">
        <v>31</v>
      </c>
      <c r="L6" t="s">
        <v>17</v>
      </c>
      <c r="M6" t="s">
        <v>32</v>
      </c>
      <c r="O6">
        <v>0.1</v>
      </c>
      <c r="P6">
        <v>10</v>
      </c>
      <c r="Q6">
        <v>86.802894848871901</v>
      </c>
    </row>
    <row r="7" spans="1:17" x14ac:dyDescent="0.3">
      <c r="A7" t="s">
        <v>14</v>
      </c>
      <c r="B7" t="s">
        <v>40</v>
      </c>
      <c r="C7">
        <v>10.5461312099706</v>
      </c>
      <c r="D7" t="s">
        <v>18</v>
      </c>
      <c r="E7" t="s">
        <v>39</v>
      </c>
      <c r="F7">
        <v>15936</v>
      </c>
      <c r="G7">
        <v>46216</v>
      </c>
      <c r="H7">
        <v>4874</v>
      </c>
      <c r="I7">
        <v>10.5461312099706</v>
      </c>
      <c r="J7">
        <v>16443</v>
      </c>
      <c r="K7" t="s">
        <v>40</v>
      </c>
      <c r="L7" t="s">
        <v>17</v>
      </c>
      <c r="M7" t="s">
        <v>18</v>
      </c>
      <c r="O7">
        <v>0.1</v>
      </c>
      <c r="P7">
        <v>10</v>
      </c>
      <c r="Q7">
        <v>96.916621054552095</v>
      </c>
    </row>
    <row r="8" spans="1:17" x14ac:dyDescent="0.3">
      <c r="A8" t="s">
        <v>14</v>
      </c>
      <c r="B8" t="s">
        <v>46</v>
      </c>
      <c r="C8">
        <v>9.8210829641735806</v>
      </c>
      <c r="D8" t="s">
        <v>18</v>
      </c>
      <c r="E8" t="s">
        <v>45</v>
      </c>
      <c r="F8">
        <v>15600</v>
      </c>
      <c r="G8">
        <v>46502</v>
      </c>
      <c r="H8">
        <v>4567</v>
      </c>
      <c r="I8">
        <v>9.8210829641735806</v>
      </c>
      <c r="J8">
        <v>16443</v>
      </c>
      <c r="K8" t="s">
        <v>46</v>
      </c>
      <c r="L8" t="s">
        <v>17</v>
      </c>
      <c r="M8" t="s">
        <v>18</v>
      </c>
      <c r="O8">
        <v>0.1</v>
      </c>
      <c r="P8">
        <v>10</v>
      </c>
      <c r="Q8">
        <v>94.873198321474206</v>
      </c>
    </row>
    <row r="9" spans="1:17" x14ac:dyDescent="0.3">
      <c r="A9" t="s">
        <v>14</v>
      </c>
      <c r="B9" t="s">
        <v>48</v>
      </c>
      <c r="C9">
        <v>7.8612610963667997</v>
      </c>
      <c r="D9" t="s">
        <v>49</v>
      </c>
      <c r="E9" t="s">
        <v>47</v>
      </c>
      <c r="F9">
        <v>14626</v>
      </c>
      <c r="G9">
        <v>43708</v>
      </c>
      <c r="H9">
        <v>3436</v>
      </c>
      <c r="I9">
        <v>7.8612610963667997</v>
      </c>
      <c r="J9">
        <v>16443</v>
      </c>
      <c r="K9" t="s">
        <v>48</v>
      </c>
      <c r="L9" t="s">
        <v>17</v>
      </c>
      <c r="M9" t="s">
        <v>49</v>
      </c>
      <c r="O9">
        <v>0.1</v>
      </c>
      <c r="P9">
        <v>100</v>
      </c>
      <c r="Q9">
        <v>88.949705041659101</v>
      </c>
    </row>
    <row r="10" spans="1:17" x14ac:dyDescent="0.3">
      <c r="A10" t="s">
        <v>14</v>
      </c>
      <c r="B10" t="s">
        <v>54</v>
      </c>
      <c r="C10">
        <v>7.7180788559141904</v>
      </c>
      <c r="D10" t="s">
        <v>32</v>
      </c>
      <c r="E10" t="s">
        <v>53</v>
      </c>
      <c r="F10">
        <v>13679</v>
      </c>
      <c r="G10">
        <v>39997</v>
      </c>
      <c r="H10">
        <v>3087</v>
      </c>
      <c r="I10">
        <v>7.7180788559141904</v>
      </c>
      <c r="J10">
        <v>16443</v>
      </c>
      <c r="K10" t="s">
        <v>54</v>
      </c>
      <c r="L10" t="s">
        <v>17</v>
      </c>
      <c r="M10" t="s">
        <v>32</v>
      </c>
      <c r="O10">
        <v>0.1</v>
      </c>
      <c r="P10">
        <v>10</v>
      </c>
      <c r="Q10">
        <v>83.190415374323393</v>
      </c>
    </row>
    <row r="11" spans="1:17" x14ac:dyDescent="0.3">
      <c r="A11" t="s">
        <v>14</v>
      </c>
      <c r="B11" t="s">
        <v>38</v>
      </c>
      <c r="C11">
        <v>5.8000216661250104</v>
      </c>
      <c r="D11" t="s">
        <v>22</v>
      </c>
      <c r="E11" t="s">
        <v>37</v>
      </c>
      <c r="F11">
        <v>15363</v>
      </c>
      <c r="G11">
        <v>46155</v>
      </c>
      <c r="H11">
        <v>2677</v>
      </c>
      <c r="I11">
        <v>5.8000216661250104</v>
      </c>
      <c r="J11">
        <v>16443</v>
      </c>
      <c r="K11" t="s">
        <v>38</v>
      </c>
      <c r="L11" t="s">
        <v>17</v>
      </c>
      <c r="M11" t="s">
        <v>22</v>
      </c>
      <c r="O11">
        <v>0.1</v>
      </c>
      <c r="P11">
        <v>10</v>
      </c>
      <c r="Q11">
        <v>93.431855500821001</v>
      </c>
    </row>
    <row r="12" spans="1:17" x14ac:dyDescent="0.3">
      <c r="A12" t="s">
        <v>14</v>
      </c>
      <c r="B12" t="s">
        <v>56</v>
      </c>
      <c r="C12">
        <v>5.5351217881118302</v>
      </c>
      <c r="D12" t="s">
        <v>18</v>
      </c>
      <c r="E12" t="s">
        <v>55</v>
      </c>
      <c r="F12">
        <v>13375</v>
      </c>
      <c r="G12">
        <v>38879</v>
      </c>
      <c r="H12">
        <v>2152</v>
      </c>
      <c r="I12">
        <v>5.5351217881118302</v>
      </c>
      <c r="J12">
        <v>16443</v>
      </c>
      <c r="K12" t="s">
        <v>56</v>
      </c>
      <c r="L12" t="s">
        <v>17</v>
      </c>
      <c r="M12" t="s">
        <v>18</v>
      </c>
      <c r="O12">
        <v>0.1</v>
      </c>
      <c r="P12">
        <v>10</v>
      </c>
      <c r="Q12">
        <v>81.341604330110101</v>
      </c>
    </row>
    <row r="13" spans="1:17" x14ac:dyDescent="0.3">
      <c r="A13" t="s">
        <v>14</v>
      </c>
      <c r="B13" t="s">
        <v>58</v>
      </c>
      <c r="C13">
        <v>4.9542750599307501</v>
      </c>
      <c r="D13" t="s">
        <v>32</v>
      </c>
      <c r="E13" t="s">
        <v>57</v>
      </c>
      <c r="F13">
        <v>15236</v>
      </c>
      <c r="G13">
        <v>45052</v>
      </c>
      <c r="H13">
        <v>2232</v>
      </c>
      <c r="I13">
        <v>4.9542750599307501</v>
      </c>
      <c r="J13">
        <v>16443</v>
      </c>
      <c r="K13" t="s">
        <v>58</v>
      </c>
      <c r="L13" t="s">
        <v>17</v>
      </c>
      <c r="M13" t="s">
        <v>32</v>
      </c>
      <c r="O13">
        <v>0.1</v>
      </c>
      <c r="P13">
        <v>10</v>
      </c>
      <c r="Q13">
        <v>92.659490360639793</v>
      </c>
    </row>
    <row r="14" spans="1:17" x14ac:dyDescent="0.3">
      <c r="A14" t="s">
        <v>14</v>
      </c>
      <c r="B14" t="s">
        <v>60</v>
      </c>
      <c r="C14">
        <v>4.39274223554904</v>
      </c>
      <c r="D14" t="s">
        <v>22</v>
      </c>
      <c r="E14" t="s">
        <v>59</v>
      </c>
      <c r="F14">
        <v>15311</v>
      </c>
      <c r="G14">
        <v>45689</v>
      </c>
      <c r="H14">
        <v>2007</v>
      </c>
      <c r="I14">
        <v>4.39274223554904</v>
      </c>
      <c r="J14">
        <v>16443</v>
      </c>
      <c r="K14" t="s">
        <v>60</v>
      </c>
      <c r="L14" t="s">
        <v>17</v>
      </c>
      <c r="M14" t="s">
        <v>22</v>
      </c>
      <c r="N14" t="s">
        <v>52</v>
      </c>
      <c r="O14">
        <v>0.1</v>
      </c>
      <c r="P14">
        <v>10</v>
      </c>
      <c r="Q14">
        <v>93.115611506416101</v>
      </c>
    </row>
    <row r="15" spans="1:17" x14ac:dyDescent="0.3">
      <c r="A15" t="s">
        <v>14</v>
      </c>
      <c r="B15" t="s">
        <v>62</v>
      </c>
      <c r="C15">
        <v>4.0599276400456503</v>
      </c>
      <c r="D15" t="s">
        <v>22</v>
      </c>
      <c r="E15" t="s">
        <v>61</v>
      </c>
      <c r="F15">
        <v>13764</v>
      </c>
      <c r="G15">
        <v>41183</v>
      </c>
      <c r="H15">
        <v>1672</v>
      </c>
      <c r="I15">
        <v>4.0599276400456503</v>
      </c>
      <c r="J15">
        <v>16443</v>
      </c>
      <c r="K15" t="s">
        <v>62</v>
      </c>
      <c r="L15" t="s">
        <v>17</v>
      </c>
      <c r="M15" t="s">
        <v>22</v>
      </c>
      <c r="O15">
        <v>0.1</v>
      </c>
      <c r="Q15">
        <v>83.707352672869902</v>
      </c>
    </row>
    <row r="16" spans="1:17" x14ac:dyDescent="0.3">
      <c r="A16" t="s">
        <v>14</v>
      </c>
      <c r="B16" t="s">
        <v>64</v>
      </c>
      <c r="C16">
        <v>3.9002605135839201</v>
      </c>
      <c r="D16" t="s">
        <v>32</v>
      </c>
      <c r="E16" t="s">
        <v>63</v>
      </c>
      <c r="F16">
        <v>13409</v>
      </c>
      <c r="G16">
        <v>40305</v>
      </c>
      <c r="H16">
        <v>1572</v>
      </c>
      <c r="I16">
        <v>3.9002605135839201</v>
      </c>
      <c r="J16">
        <v>16443</v>
      </c>
      <c r="K16" t="s">
        <v>64</v>
      </c>
      <c r="L16" t="s">
        <v>17</v>
      </c>
      <c r="M16" t="s">
        <v>32</v>
      </c>
      <c r="O16">
        <v>0.1</v>
      </c>
      <c r="Q16">
        <v>81.548379249528693</v>
      </c>
    </row>
    <row r="17" spans="1:17" x14ac:dyDescent="0.3">
      <c r="A17" t="s">
        <v>14</v>
      </c>
      <c r="B17" t="s">
        <v>66</v>
      </c>
      <c r="C17">
        <v>3.68013675863051</v>
      </c>
      <c r="D17" t="s">
        <v>32</v>
      </c>
      <c r="E17" t="s">
        <v>65</v>
      </c>
      <c r="F17">
        <v>13678</v>
      </c>
      <c r="G17">
        <v>42118</v>
      </c>
      <c r="H17">
        <v>1550</v>
      </c>
      <c r="I17">
        <v>3.68013675863051</v>
      </c>
      <c r="J17">
        <v>16443</v>
      </c>
      <c r="K17" t="s">
        <v>66</v>
      </c>
      <c r="L17" t="s">
        <v>17</v>
      </c>
      <c r="M17" t="s">
        <v>32</v>
      </c>
      <c r="O17">
        <v>0.1</v>
      </c>
      <c r="P17">
        <v>10</v>
      </c>
      <c r="Q17">
        <v>83.184333759046396</v>
      </c>
    </row>
    <row r="18" spans="1:17" x14ac:dyDescent="0.3">
      <c r="A18" t="s">
        <v>14</v>
      </c>
      <c r="B18" t="s">
        <v>68</v>
      </c>
      <c r="C18">
        <v>3.5709594079782798</v>
      </c>
      <c r="D18" t="s">
        <v>22</v>
      </c>
      <c r="E18" t="s">
        <v>67</v>
      </c>
      <c r="F18">
        <v>15583</v>
      </c>
      <c r="G18">
        <v>45674</v>
      </c>
      <c r="H18">
        <v>1631</v>
      </c>
      <c r="I18">
        <v>3.5709594079782798</v>
      </c>
      <c r="J18">
        <v>16443</v>
      </c>
      <c r="K18" t="s">
        <v>68</v>
      </c>
      <c r="L18" t="s">
        <v>17</v>
      </c>
      <c r="M18" t="s">
        <v>22</v>
      </c>
      <c r="N18" t="s">
        <v>52</v>
      </c>
      <c r="O18">
        <v>0.1</v>
      </c>
      <c r="P18">
        <v>10</v>
      </c>
      <c r="Q18">
        <v>94.769810861764896</v>
      </c>
    </row>
    <row r="19" spans="1:17" x14ac:dyDescent="0.3">
      <c r="A19" t="s">
        <v>14</v>
      </c>
      <c r="B19" t="s">
        <v>51</v>
      </c>
      <c r="C19">
        <v>3.3682323883630998</v>
      </c>
      <c r="D19" t="s">
        <v>22</v>
      </c>
      <c r="E19" t="s">
        <v>50</v>
      </c>
      <c r="F19">
        <v>15573</v>
      </c>
      <c r="G19">
        <v>45751</v>
      </c>
      <c r="H19">
        <v>1541</v>
      </c>
      <c r="I19">
        <v>3.3682323883630998</v>
      </c>
      <c r="J19">
        <v>16443</v>
      </c>
      <c r="K19" t="s">
        <v>51</v>
      </c>
      <c r="L19" t="s">
        <v>17</v>
      </c>
      <c r="M19" t="s">
        <v>22</v>
      </c>
      <c r="N19" t="s">
        <v>52</v>
      </c>
      <c r="O19">
        <v>0.1</v>
      </c>
      <c r="P19">
        <v>10</v>
      </c>
      <c r="Q19">
        <v>94.708994708994695</v>
      </c>
    </row>
    <row r="20" spans="1:17" x14ac:dyDescent="0.3">
      <c r="A20" t="s">
        <v>14</v>
      </c>
      <c r="B20" t="s">
        <v>73</v>
      </c>
      <c r="C20">
        <v>2.9898218829516501</v>
      </c>
      <c r="D20" t="s">
        <v>49</v>
      </c>
      <c r="E20" t="s">
        <v>72</v>
      </c>
      <c r="F20">
        <v>14310</v>
      </c>
      <c r="G20">
        <v>40872</v>
      </c>
      <c r="H20">
        <v>1222</v>
      </c>
      <c r="I20">
        <v>2.9898218829516501</v>
      </c>
      <c r="J20">
        <v>16443</v>
      </c>
      <c r="K20" t="s">
        <v>73</v>
      </c>
      <c r="L20" t="s">
        <v>17</v>
      </c>
      <c r="M20" t="s">
        <v>49</v>
      </c>
      <c r="O20">
        <v>0.1</v>
      </c>
      <c r="P20">
        <v>100</v>
      </c>
      <c r="Q20">
        <v>87.027914614121499</v>
      </c>
    </row>
    <row r="21" spans="1:17" x14ac:dyDescent="0.3">
      <c r="A21" t="s">
        <v>14</v>
      </c>
      <c r="B21" t="s">
        <v>75</v>
      </c>
      <c r="C21">
        <v>2.9703198451470199</v>
      </c>
      <c r="D21" t="s">
        <v>22</v>
      </c>
      <c r="E21" t="s">
        <v>74</v>
      </c>
      <c r="F21">
        <v>15297</v>
      </c>
      <c r="G21">
        <v>86792</v>
      </c>
      <c r="H21">
        <v>2578</v>
      </c>
      <c r="I21">
        <v>2.9703198451470199</v>
      </c>
      <c r="J21">
        <v>16443</v>
      </c>
      <c r="K21" t="s">
        <v>75</v>
      </c>
      <c r="L21" t="s">
        <v>17</v>
      </c>
      <c r="M21" t="s">
        <v>22</v>
      </c>
      <c r="O21">
        <v>0.1</v>
      </c>
      <c r="P21">
        <v>100</v>
      </c>
      <c r="Q21">
        <v>93.030468892537897</v>
      </c>
    </row>
    <row r="22" spans="1:17" x14ac:dyDescent="0.3">
      <c r="A22" t="s">
        <v>14</v>
      </c>
      <c r="B22" t="s">
        <v>79</v>
      </c>
      <c r="C22">
        <v>2.3419823809753</v>
      </c>
      <c r="D22" t="s">
        <v>22</v>
      </c>
      <c r="E22" t="s">
        <v>78</v>
      </c>
      <c r="F22">
        <v>14342</v>
      </c>
      <c r="G22">
        <v>41546</v>
      </c>
      <c r="H22">
        <v>973</v>
      </c>
      <c r="I22">
        <v>2.3419823809753</v>
      </c>
      <c r="J22">
        <v>16443</v>
      </c>
      <c r="K22" t="s">
        <v>79</v>
      </c>
      <c r="L22" t="s">
        <v>17</v>
      </c>
      <c r="M22" t="s">
        <v>22</v>
      </c>
      <c r="O22">
        <v>0.1</v>
      </c>
      <c r="P22">
        <v>10</v>
      </c>
      <c r="Q22">
        <v>87.222526302986097</v>
      </c>
    </row>
    <row r="23" spans="1:17" x14ac:dyDescent="0.3">
      <c r="A23" t="s">
        <v>14</v>
      </c>
      <c r="B23" t="s">
        <v>81</v>
      </c>
      <c r="C23">
        <v>2.3266297678379102</v>
      </c>
      <c r="D23" t="s">
        <v>22</v>
      </c>
      <c r="E23" t="s">
        <v>80</v>
      </c>
      <c r="F23">
        <v>14525</v>
      </c>
      <c r="G23">
        <v>39929</v>
      </c>
      <c r="H23">
        <v>929</v>
      </c>
      <c r="I23">
        <v>2.3266297678379102</v>
      </c>
      <c r="J23">
        <v>16443</v>
      </c>
      <c r="K23" t="s">
        <v>81</v>
      </c>
      <c r="L23" t="s">
        <v>17</v>
      </c>
      <c r="M23" t="s">
        <v>22</v>
      </c>
      <c r="O23">
        <v>0.1</v>
      </c>
      <c r="P23">
        <v>10</v>
      </c>
      <c r="Q23">
        <v>88.335461898680293</v>
      </c>
    </row>
    <row r="24" spans="1:17" x14ac:dyDescent="0.3">
      <c r="A24" t="s">
        <v>14</v>
      </c>
      <c r="B24" t="s">
        <v>36</v>
      </c>
      <c r="C24">
        <v>2.2207558761291502</v>
      </c>
      <c r="D24" t="s">
        <v>22</v>
      </c>
      <c r="E24" t="s">
        <v>35</v>
      </c>
      <c r="F24">
        <v>15149</v>
      </c>
      <c r="G24">
        <v>43949</v>
      </c>
      <c r="H24">
        <v>976</v>
      </c>
      <c r="I24">
        <v>2.2207558761291502</v>
      </c>
      <c r="J24">
        <v>16443</v>
      </c>
      <c r="K24" t="s">
        <v>36</v>
      </c>
      <c r="L24" t="s">
        <v>17</v>
      </c>
      <c r="M24" t="s">
        <v>22</v>
      </c>
      <c r="O24">
        <v>0.1</v>
      </c>
      <c r="P24">
        <v>10</v>
      </c>
      <c r="Q24">
        <v>92.130389831539304</v>
      </c>
    </row>
    <row r="25" spans="1:17" x14ac:dyDescent="0.3">
      <c r="A25" t="s">
        <v>14</v>
      </c>
      <c r="B25" t="s">
        <v>42</v>
      </c>
      <c r="C25">
        <v>2.0581771780996698</v>
      </c>
      <c r="D25" t="s">
        <v>22</v>
      </c>
      <c r="E25" t="s">
        <v>41</v>
      </c>
      <c r="F25">
        <v>15019</v>
      </c>
      <c r="G25">
        <v>42319</v>
      </c>
      <c r="H25">
        <v>871</v>
      </c>
      <c r="I25">
        <v>2.0581771780996698</v>
      </c>
      <c r="J25">
        <v>16443</v>
      </c>
      <c r="K25" t="s">
        <v>42</v>
      </c>
      <c r="L25" t="s">
        <v>17</v>
      </c>
      <c r="M25" t="s">
        <v>22</v>
      </c>
      <c r="O25">
        <v>0.1</v>
      </c>
      <c r="P25">
        <v>10</v>
      </c>
      <c r="Q25">
        <v>91.339779845527005</v>
      </c>
    </row>
    <row r="26" spans="1:17" x14ac:dyDescent="0.3">
      <c r="A26" t="s">
        <v>14</v>
      </c>
      <c r="B26" t="s">
        <v>85</v>
      </c>
      <c r="C26">
        <v>1.9451754385964899</v>
      </c>
      <c r="D26" t="s">
        <v>18</v>
      </c>
      <c r="E26" t="s">
        <v>84</v>
      </c>
      <c r="F26">
        <v>16015</v>
      </c>
      <c r="G26">
        <v>45600</v>
      </c>
      <c r="H26">
        <v>887</v>
      </c>
      <c r="I26">
        <v>1.9451754385964899</v>
      </c>
      <c r="J26">
        <v>16443</v>
      </c>
      <c r="K26" t="s">
        <v>85</v>
      </c>
      <c r="L26" t="s">
        <v>17</v>
      </c>
      <c r="M26" t="s">
        <v>18</v>
      </c>
      <c r="O26">
        <v>0.1</v>
      </c>
      <c r="Q26">
        <v>97.397068661436506</v>
      </c>
    </row>
    <row r="27" spans="1:17" x14ac:dyDescent="0.3">
      <c r="A27" t="s">
        <v>14</v>
      </c>
      <c r="B27" t="s">
        <v>87</v>
      </c>
      <c r="C27">
        <v>1.90936675136295</v>
      </c>
      <c r="D27" t="s">
        <v>22</v>
      </c>
      <c r="E27" t="s">
        <v>86</v>
      </c>
      <c r="F27">
        <v>14300</v>
      </c>
      <c r="G27">
        <v>40537</v>
      </c>
      <c r="H27">
        <v>774</v>
      </c>
      <c r="I27">
        <v>1.90936675136295</v>
      </c>
      <c r="J27">
        <v>16443</v>
      </c>
      <c r="K27" t="s">
        <v>87</v>
      </c>
      <c r="L27" t="s">
        <v>17</v>
      </c>
      <c r="M27" t="s">
        <v>22</v>
      </c>
      <c r="O27">
        <v>0.1</v>
      </c>
      <c r="P27">
        <v>100</v>
      </c>
      <c r="Q27">
        <v>86.967098461351299</v>
      </c>
    </row>
    <row r="28" spans="1:17" x14ac:dyDescent="0.3">
      <c r="A28" t="s">
        <v>14</v>
      </c>
      <c r="B28" t="s">
        <v>91</v>
      </c>
      <c r="C28">
        <v>1.64732472725692</v>
      </c>
      <c r="D28" t="s">
        <v>22</v>
      </c>
      <c r="E28" t="s">
        <v>90</v>
      </c>
      <c r="F28">
        <v>15566</v>
      </c>
      <c r="G28">
        <v>46014</v>
      </c>
      <c r="H28">
        <v>758</v>
      </c>
      <c r="I28">
        <v>1.64732472725692</v>
      </c>
      <c r="J28">
        <v>16443</v>
      </c>
      <c r="K28" t="s">
        <v>91</v>
      </c>
      <c r="L28" t="s">
        <v>17</v>
      </c>
      <c r="M28" t="s">
        <v>22</v>
      </c>
      <c r="O28">
        <v>0.1</v>
      </c>
      <c r="P28">
        <v>10</v>
      </c>
      <c r="Q28">
        <v>94.666423402055599</v>
      </c>
    </row>
    <row r="29" spans="1:17" x14ac:dyDescent="0.3">
      <c r="A29" t="s">
        <v>14</v>
      </c>
      <c r="B29" t="s">
        <v>93</v>
      </c>
      <c r="C29">
        <v>1.37840733246042</v>
      </c>
      <c r="D29" t="s">
        <v>49</v>
      </c>
      <c r="E29" t="s">
        <v>92</v>
      </c>
      <c r="F29">
        <v>14868</v>
      </c>
      <c r="G29">
        <v>42005</v>
      </c>
      <c r="H29">
        <v>579</v>
      </c>
      <c r="I29">
        <v>1.37840733246042</v>
      </c>
      <c r="J29">
        <v>16443</v>
      </c>
      <c r="K29" t="s">
        <v>93</v>
      </c>
      <c r="L29" t="s">
        <v>17</v>
      </c>
      <c r="M29" t="s">
        <v>49</v>
      </c>
      <c r="N29" t="s">
        <v>71</v>
      </c>
      <c r="O29">
        <v>0.1</v>
      </c>
      <c r="P29">
        <v>10</v>
      </c>
      <c r="Q29">
        <v>90.421455938697306</v>
      </c>
    </row>
    <row r="30" spans="1:17" x14ac:dyDescent="0.3">
      <c r="A30" t="s">
        <v>14</v>
      </c>
      <c r="B30" t="s">
        <v>95</v>
      </c>
      <c r="C30">
        <v>1.32236488044899</v>
      </c>
      <c r="D30" t="s">
        <v>22</v>
      </c>
      <c r="E30" t="s">
        <v>94</v>
      </c>
      <c r="F30">
        <v>13203</v>
      </c>
      <c r="G30">
        <v>39021</v>
      </c>
      <c r="H30">
        <v>516</v>
      </c>
      <c r="I30">
        <v>1.32236488044899</v>
      </c>
      <c r="J30">
        <v>16443</v>
      </c>
      <c r="K30" t="s">
        <v>95</v>
      </c>
      <c r="L30" t="s">
        <v>17</v>
      </c>
      <c r="M30" t="s">
        <v>22</v>
      </c>
      <c r="O30">
        <v>0.1</v>
      </c>
      <c r="Q30">
        <v>80.295566502463103</v>
      </c>
    </row>
    <row r="31" spans="1:17" x14ac:dyDescent="0.3">
      <c r="A31" t="s">
        <v>14</v>
      </c>
      <c r="B31" t="s">
        <v>97</v>
      </c>
      <c r="C31">
        <v>1.2951869926220601</v>
      </c>
      <c r="D31" t="s">
        <v>49</v>
      </c>
      <c r="E31" t="s">
        <v>96</v>
      </c>
      <c r="F31">
        <v>15659</v>
      </c>
      <c r="G31">
        <v>43237</v>
      </c>
      <c r="H31">
        <v>560</v>
      </c>
      <c r="I31">
        <v>1.2951869926220601</v>
      </c>
      <c r="J31">
        <v>16443</v>
      </c>
      <c r="K31" t="s">
        <v>97</v>
      </c>
      <c r="L31" t="s">
        <v>17</v>
      </c>
      <c r="M31" t="s">
        <v>49</v>
      </c>
      <c r="N31" t="s">
        <v>71</v>
      </c>
      <c r="O31">
        <v>0.1</v>
      </c>
      <c r="P31">
        <v>10</v>
      </c>
      <c r="Q31">
        <v>95.232013622818201</v>
      </c>
    </row>
    <row r="32" spans="1:17" x14ac:dyDescent="0.3">
      <c r="A32" t="s">
        <v>14</v>
      </c>
      <c r="B32" t="s">
        <v>101</v>
      </c>
      <c r="C32">
        <v>1.10600165074873</v>
      </c>
      <c r="D32" t="s">
        <v>22</v>
      </c>
      <c r="E32" t="s">
        <v>100</v>
      </c>
      <c r="F32">
        <v>14632</v>
      </c>
      <c r="G32">
        <v>42405</v>
      </c>
      <c r="H32">
        <v>469</v>
      </c>
      <c r="I32">
        <v>1.10600165074873</v>
      </c>
      <c r="J32">
        <v>16443</v>
      </c>
      <c r="K32" t="s">
        <v>101</v>
      </c>
      <c r="L32" t="s">
        <v>17</v>
      </c>
      <c r="M32" t="s">
        <v>22</v>
      </c>
      <c r="O32">
        <v>0.1</v>
      </c>
      <c r="P32">
        <v>10</v>
      </c>
      <c r="Q32">
        <v>88.986194733321199</v>
      </c>
    </row>
    <row r="33" spans="1:17" x14ac:dyDescent="0.3">
      <c r="A33" t="s">
        <v>14</v>
      </c>
      <c r="B33" t="s">
        <v>103</v>
      </c>
      <c r="C33">
        <v>1.0936464349966899</v>
      </c>
      <c r="D33" t="s">
        <v>22</v>
      </c>
      <c r="E33" t="s">
        <v>102</v>
      </c>
      <c r="F33">
        <v>15186</v>
      </c>
      <c r="G33">
        <v>42244</v>
      </c>
      <c r="H33">
        <v>462</v>
      </c>
      <c r="I33">
        <v>1.0936464349966899</v>
      </c>
      <c r="J33">
        <v>16443</v>
      </c>
      <c r="K33" t="s">
        <v>103</v>
      </c>
      <c r="L33" t="s">
        <v>17</v>
      </c>
      <c r="M33" t="s">
        <v>22</v>
      </c>
      <c r="N33" t="s">
        <v>52</v>
      </c>
      <c r="O33">
        <v>0.1</v>
      </c>
      <c r="P33">
        <v>10</v>
      </c>
      <c r="Q33">
        <v>92.355409596788903</v>
      </c>
    </row>
    <row r="34" spans="1:17" x14ac:dyDescent="0.3">
      <c r="A34" t="s">
        <v>14</v>
      </c>
      <c r="B34" t="s">
        <v>105</v>
      </c>
      <c r="C34">
        <v>1.0630551914955599</v>
      </c>
      <c r="D34" t="s">
        <v>49</v>
      </c>
      <c r="E34" t="s">
        <v>104</v>
      </c>
      <c r="F34">
        <v>14485</v>
      </c>
      <c r="G34">
        <v>41202</v>
      </c>
      <c r="H34">
        <v>438</v>
      </c>
      <c r="I34">
        <v>1.0630551914955599</v>
      </c>
      <c r="J34">
        <v>16443</v>
      </c>
      <c r="K34" t="s">
        <v>105</v>
      </c>
      <c r="L34" t="s">
        <v>17</v>
      </c>
      <c r="M34" t="s">
        <v>49</v>
      </c>
      <c r="N34" t="s">
        <v>71</v>
      </c>
      <c r="O34">
        <v>0.1</v>
      </c>
      <c r="P34">
        <v>100</v>
      </c>
      <c r="Q34">
        <v>88.092197287599603</v>
      </c>
    </row>
    <row r="35" spans="1:17" x14ac:dyDescent="0.3">
      <c r="A35" t="s">
        <v>14</v>
      </c>
      <c r="B35" t="s">
        <v>83</v>
      </c>
      <c r="C35">
        <v>1.0386827316262499</v>
      </c>
      <c r="D35" t="s">
        <v>22</v>
      </c>
      <c r="E35" t="s">
        <v>82</v>
      </c>
      <c r="F35">
        <v>16038</v>
      </c>
      <c r="G35">
        <v>91462</v>
      </c>
      <c r="H35">
        <v>950</v>
      </c>
      <c r="I35">
        <v>1.0386827316262499</v>
      </c>
      <c r="J35">
        <v>16443</v>
      </c>
      <c r="K35" t="s">
        <v>83</v>
      </c>
      <c r="L35" t="s">
        <v>17</v>
      </c>
      <c r="M35" t="s">
        <v>22</v>
      </c>
      <c r="O35">
        <v>0.1</v>
      </c>
      <c r="P35">
        <v>10</v>
      </c>
      <c r="Q35">
        <v>97.5369458128079</v>
      </c>
    </row>
    <row r="36" spans="1:17" x14ac:dyDescent="0.3">
      <c r="A36" t="s">
        <v>14</v>
      </c>
      <c r="B36" t="s">
        <v>107</v>
      </c>
      <c r="C36">
        <v>1.0279458882164501</v>
      </c>
      <c r="D36" t="s">
        <v>22</v>
      </c>
      <c r="E36" t="s">
        <v>106</v>
      </c>
      <c r="F36">
        <v>15465</v>
      </c>
      <c r="G36">
        <v>44944</v>
      </c>
      <c r="H36">
        <v>462</v>
      </c>
      <c r="I36">
        <v>1.0279458882164501</v>
      </c>
      <c r="J36">
        <v>16443</v>
      </c>
      <c r="K36" t="s">
        <v>107</v>
      </c>
      <c r="L36" t="s">
        <v>17</v>
      </c>
      <c r="M36" t="s">
        <v>22</v>
      </c>
      <c r="N36" t="s">
        <v>52</v>
      </c>
      <c r="O36">
        <v>0.1</v>
      </c>
      <c r="P36">
        <v>10</v>
      </c>
      <c r="Q36">
        <v>94.052180259076806</v>
      </c>
    </row>
    <row r="38" spans="1:17" x14ac:dyDescent="0.3">
      <c r="B38" t="s">
        <v>108</v>
      </c>
    </row>
    <row r="39" spans="1:17" x14ac:dyDescent="0.3">
      <c r="A39" t="s">
        <v>7</v>
      </c>
      <c r="B39" t="s">
        <v>5</v>
      </c>
      <c r="C39" t="s">
        <v>9</v>
      </c>
      <c r="D39" t="s">
        <v>111</v>
      </c>
    </row>
    <row r="40" spans="1:17" x14ac:dyDescent="0.3">
      <c r="A40" t="s">
        <v>75</v>
      </c>
      <c r="B40">
        <v>2.9703198451470199</v>
      </c>
      <c r="C40" t="s">
        <v>22</v>
      </c>
      <c r="D40" t="s">
        <v>22</v>
      </c>
    </row>
    <row r="41" spans="1:17" x14ac:dyDescent="0.3">
      <c r="A41" t="s">
        <v>73</v>
      </c>
      <c r="B41">
        <v>2.9898218829516501</v>
      </c>
      <c r="C41" t="s">
        <v>49</v>
      </c>
      <c r="D41" t="s">
        <v>49</v>
      </c>
    </row>
    <row r="42" spans="1:17" x14ac:dyDescent="0.3">
      <c r="A42" t="s">
        <v>51</v>
      </c>
      <c r="B42">
        <v>3.3682323883630998</v>
      </c>
      <c r="C42" t="s">
        <v>22</v>
      </c>
      <c r="D42" t="s">
        <v>22</v>
      </c>
    </row>
    <row r="43" spans="1:17" x14ac:dyDescent="0.3">
      <c r="A43" t="s">
        <v>68</v>
      </c>
      <c r="B43">
        <v>3.5709594079782798</v>
      </c>
      <c r="C43" t="s">
        <v>22</v>
      </c>
      <c r="D43" t="s">
        <v>22</v>
      </c>
    </row>
    <row r="44" spans="1:17" x14ac:dyDescent="0.3">
      <c r="A44" t="s">
        <v>66</v>
      </c>
      <c r="B44">
        <v>3.68013675863051</v>
      </c>
      <c r="C44" t="s">
        <v>109</v>
      </c>
      <c r="D44" t="s">
        <v>109</v>
      </c>
    </row>
    <row r="45" spans="1:17" x14ac:dyDescent="0.3">
      <c r="A45" t="s">
        <v>64</v>
      </c>
      <c r="B45">
        <v>3.9002605135839201</v>
      </c>
      <c r="C45" t="s">
        <v>109</v>
      </c>
      <c r="D45" t="s">
        <v>109</v>
      </c>
    </row>
    <row r="46" spans="1:17" x14ac:dyDescent="0.3">
      <c r="A46" t="s">
        <v>62</v>
      </c>
      <c r="B46">
        <v>4.0599276400456503</v>
      </c>
      <c r="C46" t="s">
        <v>112</v>
      </c>
      <c r="D46" t="s">
        <v>22</v>
      </c>
    </row>
    <row r="47" spans="1:17" x14ac:dyDescent="0.3">
      <c r="A47" t="s">
        <v>60</v>
      </c>
      <c r="B47">
        <v>4.39274223554904</v>
      </c>
      <c r="C47" t="s">
        <v>112</v>
      </c>
      <c r="D47" t="s">
        <v>22</v>
      </c>
    </row>
    <row r="48" spans="1:17" x14ac:dyDescent="0.3">
      <c r="A48" t="s">
        <v>58</v>
      </c>
      <c r="B48">
        <v>4.9542750599307501</v>
      </c>
      <c r="C48" t="s">
        <v>109</v>
      </c>
      <c r="D48" t="s">
        <v>109</v>
      </c>
    </row>
    <row r="49" spans="1:4" x14ac:dyDescent="0.3">
      <c r="A49" t="s">
        <v>56</v>
      </c>
      <c r="B49">
        <v>5.5351217881118302</v>
      </c>
      <c r="C49" t="s">
        <v>112</v>
      </c>
      <c r="D49" t="s">
        <v>22</v>
      </c>
    </row>
    <row r="50" spans="1:4" x14ac:dyDescent="0.3">
      <c r="A50" t="s">
        <v>38</v>
      </c>
      <c r="B50">
        <v>5.8000216661250104</v>
      </c>
      <c r="C50" t="s">
        <v>112</v>
      </c>
      <c r="D50" t="s">
        <v>22</v>
      </c>
    </row>
    <row r="51" spans="1:4" x14ac:dyDescent="0.3">
      <c r="A51" t="s">
        <v>54</v>
      </c>
      <c r="B51">
        <v>7.7180788559141904</v>
      </c>
      <c r="C51" t="s">
        <v>109</v>
      </c>
      <c r="D51" t="s">
        <v>109</v>
      </c>
    </row>
    <row r="52" spans="1:4" x14ac:dyDescent="0.3">
      <c r="A52" t="s">
        <v>48</v>
      </c>
      <c r="B52">
        <v>7.8612610963667997</v>
      </c>
      <c r="C52" t="s">
        <v>112</v>
      </c>
      <c r="D52" t="s">
        <v>49</v>
      </c>
    </row>
    <row r="53" spans="1:4" x14ac:dyDescent="0.3">
      <c r="A53" t="s">
        <v>46</v>
      </c>
      <c r="B53">
        <v>9.8210829641735806</v>
      </c>
      <c r="C53" t="s">
        <v>109</v>
      </c>
      <c r="D53" t="s">
        <v>109</v>
      </c>
    </row>
    <row r="54" spans="1:4" x14ac:dyDescent="0.3">
      <c r="A54" t="s">
        <v>40</v>
      </c>
      <c r="B54">
        <v>10.5461312099706</v>
      </c>
      <c r="C54" t="s">
        <v>112</v>
      </c>
      <c r="D54" t="s">
        <v>22</v>
      </c>
    </row>
    <row r="55" spans="1:4" x14ac:dyDescent="0.3">
      <c r="A55" t="s">
        <v>31</v>
      </c>
      <c r="B55">
        <v>13.4760332460435</v>
      </c>
      <c r="C55" t="s">
        <v>109</v>
      </c>
      <c r="D55" t="s">
        <v>109</v>
      </c>
    </row>
    <row r="56" spans="1:4" x14ac:dyDescent="0.3">
      <c r="A56" t="s">
        <v>29</v>
      </c>
      <c r="B56">
        <v>14.9486722660558</v>
      </c>
      <c r="C56" t="s">
        <v>112</v>
      </c>
      <c r="D56" t="s">
        <v>22</v>
      </c>
    </row>
    <row r="57" spans="1:4" x14ac:dyDescent="0.3">
      <c r="A57" t="s">
        <v>24</v>
      </c>
      <c r="B57">
        <v>26.382430789040701</v>
      </c>
      <c r="C57" t="s">
        <v>109</v>
      </c>
      <c r="D57" t="s">
        <v>109</v>
      </c>
    </row>
    <row r="58" spans="1:4" x14ac:dyDescent="0.3">
      <c r="A58" t="s">
        <v>21</v>
      </c>
      <c r="B58">
        <v>32.059564913469899</v>
      </c>
      <c r="C58" t="s">
        <v>112</v>
      </c>
      <c r="D58" t="s">
        <v>22</v>
      </c>
    </row>
    <row r="59" spans="1:4" x14ac:dyDescent="0.3">
      <c r="A59" t="s">
        <v>16</v>
      </c>
      <c r="B59">
        <v>44.535259456377098</v>
      </c>
      <c r="C59" t="s">
        <v>109</v>
      </c>
      <c r="D59" t="s">
        <v>109</v>
      </c>
    </row>
    <row r="65" customFormat="1" x14ac:dyDescent="0.3"/>
    <row r="66" customFormat="1" x14ac:dyDescent="0.3"/>
    <row r="67" customFormat="1" x14ac:dyDescent="0.3"/>
    <row r="68" customFormat="1" x14ac:dyDescent="0.3"/>
  </sheetData>
  <autoFilter ref="A1:Q36" xr:uid="{F2AC62AB-234E-4DAC-8FCF-07059AF80A26}"/>
  <sortState xmlns:xlrd2="http://schemas.microsoft.com/office/spreadsheetml/2017/richdata2" ref="A40:C59">
    <sortCondition ref="B40:B59"/>
  </sortState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D6CA-7ECD-49E8-AD2E-786A1AD8A967}">
  <dimension ref="A1:R40"/>
  <sheetViews>
    <sheetView showGridLines="0" topLeftCell="A10" workbookViewId="0">
      <selection activeCell="R27" sqref="R27"/>
    </sheetView>
  </sheetViews>
  <sheetFormatPr baseColWidth="10" defaultRowHeight="14.4" x14ac:dyDescent="0.3"/>
  <sheetData>
    <row r="1" spans="1:18" x14ac:dyDescent="0.3">
      <c r="A1" t="s">
        <v>0</v>
      </c>
      <c r="B1" t="s">
        <v>7</v>
      </c>
      <c r="D1" t="s">
        <v>5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">
      <c r="A2" t="s">
        <v>19</v>
      </c>
      <c r="B2" t="s">
        <v>16</v>
      </c>
      <c r="D2">
        <v>36.346691519105299</v>
      </c>
      <c r="E2" t="s">
        <v>18</v>
      </c>
      <c r="F2" t="s">
        <v>15</v>
      </c>
      <c r="G2">
        <v>189</v>
      </c>
      <c r="H2">
        <v>1073</v>
      </c>
      <c r="I2">
        <v>390</v>
      </c>
      <c r="J2">
        <v>36.346691519105299</v>
      </c>
      <c r="K2">
        <v>193</v>
      </c>
      <c r="L2" t="s">
        <v>16</v>
      </c>
      <c r="M2" t="s">
        <v>17</v>
      </c>
      <c r="N2" t="s">
        <v>18</v>
      </c>
      <c r="P2">
        <v>0.1</v>
      </c>
      <c r="Q2">
        <v>10</v>
      </c>
      <c r="R2">
        <v>97.927461139896394</v>
      </c>
    </row>
    <row r="3" spans="1:18" x14ac:dyDescent="0.3">
      <c r="A3" t="s">
        <v>19</v>
      </c>
      <c r="B3" t="s">
        <v>26</v>
      </c>
      <c r="D3">
        <v>20.424671385237598</v>
      </c>
      <c r="E3" t="s">
        <v>27</v>
      </c>
      <c r="F3" t="s">
        <v>25</v>
      </c>
      <c r="G3">
        <v>190</v>
      </c>
      <c r="H3">
        <v>989</v>
      </c>
      <c r="I3">
        <v>202</v>
      </c>
      <c r="J3">
        <v>20.424671385237598</v>
      </c>
      <c r="K3">
        <v>193</v>
      </c>
      <c r="L3" t="s">
        <v>26</v>
      </c>
      <c r="M3" t="s">
        <v>17</v>
      </c>
      <c r="N3" t="s">
        <v>27</v>
      </c>
      <c r="P3">
        <v>0.1</v>
      </c>
      <c r="Q3">
        <v>10</v>
      </c>
      <c r="R3">
        <v>98.445595854922303</v>
      </c>
    </row>
    <row r="4" spans="1:18" x14ac:dyDescent="0.3">
      <c r="A4" t="s">
        <v>19</v>
      </c>
      <c r="B4" t="s">
        <v>21</v>
      </c>
      <c r="D4">
        <v>20.240295748613701</v>
      </c>
      <c r="E4" t="s">
        <v>22</v>
      </c>
      <c r="F4" t="s">
        <v>20</v>
      </c>
      <c r="G4">
        <v>192</v>
      </c>
      <c r="H4">
        <v>1082</v>
      </c>
      <c r="I4">
        <v>219</v>
      </c>
      <c r="J4">
        <v>20.240295748613701</v>
      </c>
      <c r="K4">
        <v>193</v>
      </c>
      <c r="L4" t="s">
        <v>21</v>
      </c>
      <c r="M4" t="s">
        <v>17</v>
      </c>
      <c r="N4" t="s">
        <v>22</v>
      </c>
      <c r="P4">
        <v>0.1</v>
      </c>
      <c r="Q4">
        <v>10</v>
      </c>
      <c r="R4">
        <v>99.481865284974106</v>
      </c>
    </row>
    <row r="5" spans="1:18" x14ac:dyDescent="0.3">
      <c r="A5" t="s">
        <v>19</v>
      </c>
      <c r="B5" t="s">
        <v>34</v>
      </c>
      <c r="D5">
        <v>12.1495327102804</v>
      </c>
      <c r="E5" t="s">
        <v>27</v>
      </c>
      <c r="F5" t="s">
        <v>33</v>
      </c>
      <c r="G5">
        <v>190</v>
      </c>
      <c r="H5">
        <v>963</v>
      </c>
      <c r="I5">
        <v>117</v>
      </c>
      <c r="J5">
        <v>12.1495327102804</v>
      </c>
      <c r="K5">
        <v>193</v>
      </c>
      <c r="L5" t="s">
        <v>34</v>
      </c>
      <c r="M5" t="s">
        <v>17</v>
      </c>
      <c r="N5" t="s">
        <v>27</v>
      </c>
      <c r="P5">
        <v>0.1</v>
      </c>
      <c r="Q5">
        <v>10</v>
      </c>
      <c r="R5">
        <v>98.445595854922303</v>
      </c>
    </row>
    <row r="6" spans="1:18" x14ac:dyDescent="0.3">
      <c r="A6" t="s">
        <v>19</v>
      </c>
      <c r="B6" t="s">
        <v>36</v>
      </c>
      <c r="D6">
        <v>11.2750263435195</v>
      </c>
      <c r="E6" t="s">
        <v>22</v>
      </c>
      <c r="F6" t="s">
        <v>35</v>
      </c>
      <c r="G6">
        <v>191</v>
      </c>
      <c r="H6">
        <v>949</v>
      </c>
      <c r="I6">
        <v>107</v>
      </c>
      <c r="J6">
        <v>11.2750263435195</v>
      </c>
      <c r="K6">
        <v>193</v>
      </c>
      <c r="L6" t="s">
        <v>36</v>
      </c>
      <c r="M6" t="s">
        <v>17</v>
      </c>
      <c r="N6" t="s">
        <v>22</v>
      </c>
      <c r="P6">
        <v>0.1</v>
      </c>
      <c r="Q6">
        <v>10</v>
      </c>
      <c r="R6">
        <v>98.963730569948197</v>
      </c>
    </row>
    <row r="7" spans="1:18" x14ac:dyDescent="0.3">
      <c r="A7" t="s">
        <v>19</v>
      </c>
      <c r="B7" t="s">
        <v>38</v>
      </c>
      <c r="D7">
        <v>11.178861788617899</v>
      </c>
      <c r="E7" t="s">
        <v>22</v>
      </c>
      <c r="F7" t="s">
        <v>37</v>
      </c>
      <c r="G7">
        <v>193</v>
      </c>
      <c r="H7">
        <v>984</v>
      </c>
      <c r="I7">
        <v>110</v>
      </c>
      <c r="J7">
        <v>11.178861788617899</v>
      </c>
      <c r="K7">
        <v>193</v>
      </c>
      <c r="L7" t="s">
        <v>38</v>
      </c>
      <c r="M7" t="s">
        <v>17</v>
      </c>
      <c r="N7" t="s">
        <v>22</v>
      </c>
      <c r="P7">
        <v>0.1</v>
      </c>
      <c r="Q7">
        <v>10</v>
      </c>
      <c r="R7">
        <v>100</v>
      </c>
    </row>
    <row r="8" spans="1:18" x14ac:dyDescent="0.3">
      <c r="A8" t="s">
        <v>19</v>
      </c>
      <c r="B8" t="s">
        <v>42</v>
      </c>
      <c r="D8">
        <v>10.4952830188679</v>
      </c>
      <c r="E8" t="s">
        <v>22</v>
      </c>
      <c r="F8" t="s">
        <v>41</v>
      </c>
      <c r="G8">
        <v>168</v>
      </c>
      <c r="H8">
        <v>848</v>
      </c>
      <c r="I8">
        <v>89</v>
      </c>
      <c r="J8">
        <v>10.4952830188679</v>
      </c>
      <c r="K8">
        <v>193</v>
      </c>
      <c r="L8" t="s">
        <v>42</v>
      </c>
      <c r="M8" t="s">
        <v>17</v>
      </c>
      <c r="N8" t="s">
        <v>22</v>
      </c>
      <c r="P8">
        <v>0.1</v>
      </c>
      <c r="Q8">
        <v>10</v>
      </c>
      <c r="R8">
        <v>87.0466321243523</v>
      </c>
    </row>
    <row r="9" spans="1:18" x14ac:dyDescent="0.3">
      <c r="A9" t="s">
        <v>19</v>
      </c>
      <c r="B9" t="s">
        <v>44</v>
      </c>
      <c r="D9">
        <v>10.269709543568499</v>
      </c>
      <c r="E9" t="s">
        <v>27</v>
      </c>
      <c r="F9" t="s">
        <v>43</v>
      </c>
      <c r="G9">
        <v>191</v>
      </c>
      <c r="H9">
        <v>964</v>
      </c>
      <c r="I9">
        <v>99</v>
      </c>
      <c r="J9">
        <v>10.269709543568499</v>
      </c>
      <c r="K9">
        <v>193</v>
      </c>
      <c r="L9" t="s">
        <v>44</v>
      </c>
      <c r="M9" t="s">
        <v>17</v>
      </c>
      <c r="N9" t="s">
        <v>27</v>
      </c>
      <c r="P9">
        <v>0.03</v>
      </c>
      <c r="Q9">
        <v>10</v>
      </c>
      <c r="R9">
        <v>98.963730569948197</v>
      </c>
    </row>
    <row r="10" spans="1:18" x14ac:dyDescent="0.3">
      <c r="A10" t="s">
        <v>19</v>
      </c>
      <c r="B10" t="s">
        <v>51</v>
      </c>
      <c r="D10">
        <v>7.7235772357723604</v>
      </c>
      <c r="E10" t="s">
        <v>22</v>
      </c>
      <c r="F10" t="s">
        <v>50</v>
      </c>
      <c r="G10">
        <v>192</v>
      </c>
      <c r="H10">
        <v>984</v>
      </c>
      <c r="I10">
        <v>76</v>
      </c>
      <c r="J10">
        <v>7.7235772357723604</v>
      </c>
      <c r="K10">
        <v>193</v>
      </c>
      <c r="L10" t="s">
        <v>51</v>
      </c>
      <c r="M10" t="s">
        <v>17</v>
      </c>
      <c r="N10" t="s">
        <v>22</v>
      </c>
      <c r="O10" t="s">
        <v>52</v>
      </c>
      <c r="P10">
        <v>0.1</v>
      </c>
      <c r="Q10">
        <v>10</v>
      </c>
      <c r="R10">
        <v>99.481865284974106</v>
      </c>
    </row>
    <row r="11" spans="1:18" x14ac:dyDescent="0.3">
      <c r="A11" t="s">
        <v>19</v>
      </c>
      <c r="B11" t="s">
        <v>40</v>
      </c>
      <c r="D11">
        <v>4.6136101499423301</v>
      </c>
      <c r="E11" t="s">
        <v>18</v>
      </c>
      <c r="F11" t="s">
        <v>39</v>
      </c>
      <c r="G11">
        <v>169</v>
      </c>
      <c r="H11">
        <v>867</v>
      </c>
      <c r="I11">
        <v>40</v>
      </c>
      <c r="J11">
        <v>4.6136101499423301</v>
      </c>
      <c r="K11">
        <v>193</v>
      </c>
      <c r="L11" t="s">
        <v>40</v>
      </c>
      <c r="M11" t="s">
        <v>17</v>
      </c>
      <c r="N11" t="s">
        <v>18</v>
      </c>
      <c r="P11">
        <v>0.1</v>
      </c>
      <c r="Q11">
        <v>10</v>
      </c>
      <c r="R11">
        <v>87.564766839378194</v>
      </c>
    </row>
    <row r="12" spans="1:18" x14ac:dyDescent="0.3">
      <c r="A12" t="s">
        <v>19</v>
      </c>
      <c r="B12" t="s">
        <v>46</v>
      </c>
      <c r="D12">
        <v>4.4776119402985097</v>
      </c>
      <c r="E12" t="s">
        <v>18</v>
      </c>
      <c r="F12" t="s">
        <v>45</v>
      </c>
      <c r="G12">
        <v>189</v>
      </c>
      <c r="H12">
        <v>1072</v>
      </c>
      <c r="I12">
        <v>48</v>
      </c>
      <c r="J12">
        <v>4.4776119402985097</v>
      </c>
      <c r="K12">
        <v>193</v>
      </c>
      <c r="L12" t="s">
        <v>46</v>
      </c>
      <c r="M12" t="s">
        <v>17</v>
      </c>
      <c r="N12" t="s">
        <v>18</v>
      </c>
      <c r="P12">
        <v>0.1</v>
      </c>
      <c r="Q12">
        <v>10</v>
      </c>
      <c r="R12">
        <v>97.927461139896394</v>
      </c>
    </row>
    <row r="13" spans="1:18" x14ac:dyDescent="0.3">
      <c r="A13" t="s">
        <v>19</v>
      </c>
      <c r="B13" t="s">
        <v>70</v>
      </c>
      <c r="D13">
        <v>3.4594594594594601</v>
      </c>
      <c r="E13" t="s">
        <v>49</v>
      </c>
      <c r="F13" t="s">
        <v>69</v>
      </c>
      <c r="G13">
        <v>190</v>
      </c>
      <c r="H13">
        <v>925</v>
      </c>
      <c r="I13">
        <v>32</v>
      </c>
      <c r="J13">
        <v>3.4594594594594601</v>
      </c>
      <c r="K13">
        <v>193</v>
      </c>
      <c r="L13" t="s">
        <v>70</v>
      </c>
      <c r="M13" t="s">
        <v>17</v>
      </c>
      <c r="N13" t="s">
        <v>49</v>
      </c>
      <c r="O13" t="s">
        <v>71</v>
      </c>
      <c r="P13">
        <v>0.1</v>
      </c>
      <c r="Q13">
        <v>10</v>
      </c>
      <c r="R13">
        <v>98.445595854922303</v>
      </c>
    </row>
    <row r="14" spans="1:18" x14ac:dyDescent="0.3">
      <c r="A14" t="s">
        <v>19</v>
      </c>
      <c r="B14" t="s">
        <v>77</v>
      </c>
      <c r="D14">
        <v>2.7368421052631602</v>
      </c>
      <c r="E14" t="s">
        <v>18</v>
      </c>
      <c r="F14" t="s">
        <v>76</v>
      </c>
      <c r="G14">
        <v>191</v>
      </c>
      <c r="H14">
        <v>950</v>
      </c>
      <c r="I14">
        <v>26</v>
      </c>
      <c r="J14">
        <v>2.7368421052631602</v>
      </c>
      <c r="K14">
        <v>193</v>
      </c>
      <c r="L14" t="s">
        <v>77</v>
      </c>
      <c r="M14" t="s">
        <v>17</v>
      </c>
      <c r="N14" t="s">
        <v>18</v>
      </c>
      <c r="P14">
        <v>0.1</v>
      </c>
      <c r="Q14">
        <v>10</v>
      </c>
      <c r="R14">
        <v>98.963730569948197</v>
      </c>
    </row>
    <row r="15" spans="1:18" x14ac:dyDescent="0.3">
      <c r="A15" t="s">
        <v>19</v>
      </c>
      <c r="B15" t="s">
        <v>83</v>
      </c>
      <c r="D15">
        <v>2.1064301552106399</v>
      </c>
      <c r="E15" t="s">
        <v>22</v>
      </c>
      <c r="F15" t="s">
        <v>82</v>
      </c>
      <c r="G15">
        <v>171</v>
      </c>
      <c r="H15">
        <v>1804</v>
      </c>
      <c r="I15">
        <v>38</v>
      </c>
      <c r="J15">
        <v>2.1064301552106399</v>
      </c>
      <c r="K15">
        <v>193</v>
      </c>
      <c r="L15" t="s">
        <v>83</v>
      </c>
      <c r="M15" t="s">
        <v>17</v>
      </c>
      <c r="N15" t="s">
        <v>22</v>
      </c>
      <c r="P15">
        <v>0.1</v>
      </c>
      <c r="Q15">
        <v>10</v>
      </c>
      <c r="R15">
        <v>88.601036269430097</v>
      </c>
    </row>
    <row r="16" spans="1:18" x14ac:dyDescent="0.3">
      <c r="A16" t="s">
        <v>19</v>
      </c>
      <c r="B16" t="s">
        <v>89</v>
      </c>
      <c r="D16">
        <v>1.88679245283019</v>
      </c>
      <c r="E16" t="s">
        <v>22</v>
      </c>
      <c r="F16" t="s">
        <v>88</v>
      </c>
      <c r="G16">
        <v>168</v>
      </c>
      <c r="H16">
        <v>848</v>
      </c>
      <c r="I16">
        <v>16</v>
      </c>
      <c r="J16">
        <v>1.88679245283019</v>
      </c>
      <c r="K16">
        <v>193</v>
      </c>
      <c r="L16" t="s">
        <v>89</v>
      </c>
      <c r="M16" t="s">
        <v>17</v>
      </c>
      <c r="N16" t="s">
        <v>22</v>
      </c>
      <c r="P16">
        <v>0.1</v>
      </c>
      <c r="Q16">
        <v>100</v>
      </c>
      <c r="R16">
        <v>87.0466321243523</v>
      </c>
    </row>
    <row r="17" spans="1:18" x14ac:dyDescent="0.3">
      <c r="A17" t="s">
        <v>19</v>
      </c>
      <c r="B17" t="s">
        <v>99</v>
      </c>
      <c r="D17">
        <v>1.1547344110854501</v>
      </c>
      <c r="E17" t="s">
        <v>18</v>
      </c>
      <c r="F17" t="s">
        <v>98</v>
      </c>
      <c r="G17">
        <v>168</v>
      </c>
      <c r="H17">
        <v>866</v>
      </c>
      <c r="I17">
        <v>10</v>
      </c>
      <c r="J17">
        <v>1.1547344110854501</v>
      </c>
      <c r="K17">
        <v>193</v>
      </c>
      <c r="L17" t="s">
        <v>99</v>
      </c>
      <c r="M17" t="s">
        <v>17</v>
      </c>
      <c r="N17" t="s">
        <v>18</v>
      </c>
      <c r="P17">
        <v>0.1</v>
      </c>
      <c r="Q17">
        <v>10</v>
      </c>
      <c r="R17">
        <v>87.0466321243523</v>
      </c>
    </row>
    <row r="18" spans="1:18" x14ac:dyDescent="0.3">
      <c r="A18" t="s">
        <v>19</v>
      </c>
      <c r="B18" t="s">
        <v>48</v>
      </c>
      <c r="D18">
        <v>1.1235955056179801</v>
      </c>
      <c r="E18" t="s">
        <v>49</v>
      </c>
      <c r="F18" t="s">
        <v>47</v>
      </c>
      <c r="G18">
        <v>168</v>
      </c>
      <c r="H18">
        <v>712</v>
      </c>
      <c r="I18">
        <v>8</v>
      </c>
      <c r="J18">
        <v>1.1235955056179801</v>
      </c>
      <c r="K18">
        <v>193</v>
      </c>
      <c r="L18" t="s">
        <v>48</v>
      </c>
      <c r="M18" t="s">
        <v>17</v>
      </c>
      <c r="N18" t="s">
        <v>49</v>
      </c>
      <c r="P18">
        <v>0.1</v>
      </c>
      <c r="Q18">
        <v>100</v>
      </c>
      <c r="R18">
        <v>87.0466321243523</v>
      </c>
    </row>
    <row r="25" spans="1:18" x14ac:dyDescent="0.3">
      <c r="A25" t="s">
        <v>7</v>
      </c>
      <c r="C25" t="s">
        <v>5</v>
      </c>
      <c r="D25" t="s">
        <v>9</v>
      </c>
      <c r="E25" t="s">
        <v>111</v>
      </c>
    </row>
    <row r="26" spans="1:18" x14ac:dyDescent="0.3">
      <c r="A26" t="s">
        <v>110</v>
      </c>
      <c r="C26">
        <v>1.88679245283019</v>
      </c>
      <c r="D26" t="s">
        <v>112</v>
      </c>
      <c r="E26" t="s">
        <v>22</v>
      </c>
    </row>
    <row r="27" spans="1:18" x14ac:dyDescent="0.3">
      <c r="A27" t="s">
        <v>83</v>
      </c>
      <c r="C27">
        <v>2.1064301552106399</v>
      </c>
      <c r="D27" t="s">
        <v>112</v>
      </c>
      <c r="E27" t="s">
        <v>22</v>
      </c>
    </row>
    <row r="28" spans="1:18" x14ac:dyDescent="0.3">
      <c r="A28" t="s">
        <v>77</v>
      </c>
      <c r="C28">
        <v>2.7368421052631602</v>
      </c>
      <c r="D28" t="s">
        <v>112</v>
      </c>
      <c r="E28" t="s">
        <v>22</v>
      </c>
    </row>
    <row r="29" spans="1:18" x14ac:dyDescent="0.3">
      <c r="A29" t="s">
        <v>70</v>
      </c>
      <c r="C29">
        <v>3.4594594594594601</v>
      </c>
      <c r="D29" t="s">
        <v>112</v>
      </c>
      <c r="E29" t="s">
        <v>49</v>
      </c>
    </row>
    <row r="30" spans="1:18" x14ac:dyDescent="0.3">
      <c r="A30" t="s">
        <v>46</v>
      </c>
      <c r="C30">
        <v>4.4776119402985097</v>
      </c>
      <c r="D30" t="s">
        <v>109</v>
      </c>
      <c r="E30" t="s">
        <v>109</v>
      </c>
    </row>
    <row r="31" spans="1:18" x14ac:dyDescent="0.3">
      <c r="A31" t="s">
        <v>40</v>
      </c>
      <c r="C31">
        <v>4.6136101499423301</v>
      </c>
      <c r="D31" t="s">
        <v>112</v>
      </c>
      <c r="E31" t="s">
        <v>22</v>
      </c>
    </row>
    <row r="32" spans="1:18" x14ac:dyDescent="0.3">
      <c r="A32" t="s">
        <v>51</v>
      </c>
      <c r="C32">
        <v>7.7235772357723604</v>
      </c>
      <c r="D32" t="s">
        <v>112</v>
      </c>
      <c r="E32" t="s">
        <v>22</v>
      </c>
    </row>
    <row r="33" spans="1:5" x14ac:dyDescent="0.3">
      <c r="A33" t="s">
        <v>44</v>
      </c>
      <c r="C33">
        <v>10.269709543568499</v>
      </c>
      <c r="D33" t="s">
        <v>112</v>
      </c>
      <c r="E33" t="s">
        <v>27</v>
      </c>
    </row>
    <row r="34" spans="1:5" x14ac:dyDescent="0.3">
      <c r="A34" t="s">
        <v>42</v>
      </c>
      <c r="C34">
        <v>10.4952830188679</v>
      </c>
      <c r="D34" t="s">
        <v>112</v>
      </c>
      <c r="E34" t="s">
        <v>22</v>
      </c>
    </row>
    <row r="35" spans="1:5" x14ac:dyDescent="0.3">
      <c r="A35" t="s">
        <v>38</v>
      </c>
      <c r="C35">
        <v>11.178861788617899</v>
      </c>
      <c r="D35" t="s">
        <v>112</v>
      </c>
      <c r="E35" t="s">
        <v>22</v>
      </c>
    </row>
    <row r="36" spans="1:5" x14ac:dyDescent="0.3">
      <c r="A36" t="s">
        <v>36</v>
      </c>
      <c r="C36">
        <v>11.2750263435195</v>
      </c>
      <c r="D36" t="s">
        <v>112</v>
      </c>
      <c r="E36" t="s">
        <v>22</v>
      </c>
    </row>
    <row r="37" spans="1:5" x14ac:dyDescent="0.3">
      <c r="A37" t="s">
        <v>34</v>
      </c>
      <c r="C37">
        <v>12.1495327102804</v>
      </c>
      <c r="D37" t="s">
        <v>112</v>
      </c>
      <c r="E37" t="s">
        <v>27</v>
      </c>
    </row>
    <row r="38" spans="1:5" x14ac:dyDescent="0.3">
      <c r="A38" t="s">
        <v>21</v>
      </c>
      <c r="C38">
        <v>20.240295748613701</v>
      </c>
      <c r="D38" t="s">
        <v>112</v>
      </c>
      <c r="E38" t="s">
        <v>22</v>
      </c>
    </row>
    <row r="39" spans="1:5" x14ac:dyDescent="0.3">
      <c r="A39" t="s">
        <v>26</v>
      </c>
      <c r="C39">
        <v>20.424671385237598</v>
      </c>
      <c r="D39" t="s">
        <v>112</v>
      </c>
      <c r="E39" t="s">
        <v>27</v>
      </c>
    </row>
    <row r="40" spans="1:5" x14ac:dyDescent="0.3">
      <c r="A40" t="s">
        <v>16</v>
      </c>
      <c r="C40">
        <v>36.346691519105299</v>
      </c>
      <c r="D40" t="s">
        <v>109</v>
      </c>
      <c r="E40" t="s">
        <v>109</v>
      </c>
    </row>
  </sheetData>
  <autoFilter ref="A1:R18" xr:uid="{CF11D6CA-7ECD-49E8-AD2E-786A1AD8A967}"/>
  <sortState xmlns:xlrd2="http://schemas.microsoft.com/office/spreadsheetml/2017/richdata2" ref="A26:D40">
    <sortCondition ref="C26:C40"/>
  </sortState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255E-B301-48BA-A616-4CD306C16BCF}">
  <dimension ref="B1:J13"/>
  <sheetViews>
    <sheetView showGridLines="0" topLeftCell="E1" workbookViewId="0">
      <selection activeCell="N11" sqref="N11"/>
    </sheetView>
  </sheetViews>
  <sheetFormatPr baseColWidth="10" defaultRowHeight="14.4" x14ac:dyDescent="0.3"/>
  <sheetData>
    <row r="1" spans="2:10" x14ac:dyDescent="0.3">
      <c r="B1" t="s">
        <v>8</v>
      </c>
      <c r="C1" t="s">
        <v>0</v>
      </c>
      <c r="D1" t="s">
        <v>113</v>
      </c>
      <c r="E1" t="s">
        <v>114</v>
      </c>
      <c r="G1" t="s">
        <v>8</v>
      </c>
      <c r="H1" t="s">
        <v>0</v>
      </c>
      <c r="I1" t="s">
        <v>115</v>
      </c>
      <c r="J1" t="s">
        <v>116</v>
      </c>
    </row>
    <row r="2" spans="2:10" x14ac:dyDescent="0.3">
      <c r="B2" t="s">
        <v>117</v>
      </c>
      <c r="C2" t="s">
        <v>19</v>
      </c>
      <c r="D2">
        <v>10</v>
      </c>
      <c r="E2">
        <v>10</v>
      </c>
      <c r="G2" s="1" t="s">
        <v>117</v>
      </c>
      <c r="H2" t="s">
        <v>19</v>
      </c>
      <c r="I2">
        <v>10</v>
      </c>
      <c r="J2">
        <v>10</v>
      </c>
    </row>
    <row r="3" spans="2:10" x14ac:dyDescent="0.3">
      <c r="B3" t="s">
        <v>17</v>
      </c>
      <c r="C3" t="s">
        <v>19</v>
      </c>
      <c r="D3">
        <v>689</v>
      </c>
      <c r="E3">
        <v>160</v>
      </c>
      <c r="G3" s="1"/>
      <c r="H3" t="s">
        <v>14</v>
      </c>
      <c r="I3">
        <v>13</v>
      </c>
      <c r="J3">
        <v>13</v>
      </c>
    </row>
    <row r="4" spans="2:10" x14ac:dyDescent="0.3">
      <c r="B4" t="s">
        <v>118</v>
      </c>
      <c r="C4" t="s">
        <v>19</v>
      </c>
      <c r="D4">
        <v>28</v>
      </c>
      <c r="E4">
        <v>26</v>
      </c>
      <c r="G4" s="1" t="s">
        <v>17</v>
      </c>
      <c r="H4" t="s">
        <v>19</v>
      </c>
      <c r="I4">
        <v>689</v>
      </c>
      <c r="J4">
        <v>160</v>
      </c>
    </row>
    <row r="5" spans="2:10" x14ac:dyDescent="0.3">
      <c r="B5" t="s">
        <v>119</v>
      </c>
      <c r="C5" t="s">
        <v>19</v>
      </c>
      <c r="D5">
        <v>11</v>
      </c>
      <c r="E5">
        <v>8</v>
      </c>
      <c r="G5" s="1"/>
      <c r="H5" t="s">
        <v>14</v>
      </c>
      <c r="I5">
        <v>782</v>
      </c>
      <c r="J5">
        <v>588</v>
      </c>
    </row>
    <row r="6" spans="2:10" x14ac:dyDescent="0.3">
      <c r="B6" t="s">
        <v>120</v>
      </c>
      <c r="C6" t="s">
        <v>19</v>
      </c>
      <c r="D6">
        <v>69</v>
      </c>
      <c r="E6">
        <v>27</v>
      </c>
      <c r="G6" s="1" t="s">
        <v>121</v>
      </c>
      <c r="H6" t="s">
        <v>19</v>
      </c>
      <c r="I6">
        <v>28</v>
      </c>
      <c r="J6">
        <v>26</v>
      </c>
    </row>
    <row r="7" spans="2:10" x14ac:dyDescent="0.3">
      <c r="B7" t="s">
        <v>122</v>
      </c>
      <c r="C7" t="s">
        <v>19</v>
      </c>
      <c r="D7">
        <v>423</v>
      </c>
      <c r="E7">
        <v>124</v>
      </c>
      <c r="G7" s="1"/>
      <c r="H7" t="s">
        <v>14</v>
      </c>
      <c r="I7">
        <v>36</v>
      </c>
      <c r="J7">
        <v>35</v>
      </c>
    </row>
    <row r="8" spans="2:10" x14ac:dyDescent="0.3">
      <c r="B8" t="s">
        <v>117</v>
      </c>
      <c r="C8" t="s">
        <v>14</v>
      </c>
      <c r="D8">
        <v>13</v>
      </c>
      <c r="E8">
        <v>13</v>
      </c>
      <c r="G8" s="1" t="s">
        <v>119</v>
      </c>
      <c r="H8" t="s">
        <v>19</v>
      </c>
      <c r="I8">
        <v>11</v>
      </c>
      <c r="J8">
        <v>8</v>
      </c>
    </row>
    <row r="9" spans="2:10" x14ac:dyDescent="0.3">
      <c r="B9" t="s">
        <v>17</v>
      </c>
      <c r="C9" t="s">
        <v>14</v>
      </c>
      <c r="D9">
        <v>782</v>
      </c>
      <c r="E9">
        <v>588</v>
      </c>
      <c r="G9" s="1"/>
      <c r="H9" t="s">
        <v>14</v>
      </c>
      <c r="I9">
        <v>12</v>
      </c>
      <c r="J9">
        <v>12</v>
      </c>
    </row>
    <row r="10" spans="2:10" x14ac:dyDescent="0.3">
      <c r="B10" t="s">
        <v>118</v>
      </c>
      <c r="C10" t="s">
        <v>14</v>
      </c>
      <c r="D10">
        <v>36</v>
      </c>
      <c r="E10">
        <v>35</v>
      </c>
      <c r="G10" s="1" t="s">
        <v>123</v>
      </c>
      <c r="H10" t="s">
        <v>19</v>
      </c>
      <c r="I10">
        <v>69</v>
      </c>
      <c r="J10">
        <v>27</v>
      </c>
    </row>
    <row r="11" spans="2:10" x14ac:dyDescent="0.3">
      <c r="B11" t="s">
        <v>119</v>
      </c>
      <c r="C11" t="s">
        <v>14</v>
      </c>
      <c r="D11">
        <v>12</v>
      </c>
      <c r="E11">
        <v>12</v>
      </c>
      <c r="G11" s="1"/>
      <c r="H11" t="s">
        <v>14</v>
      </c>
      <c r="I11">
        <v>142</v>
      </c>
      <c r="J11">
        <v>70</v>
      </c>
    </row>
    <row r="12" spans="2:10" x14ac:dyDescent="0.3">
      <c r="B12" t="s">
        <v>120</v>
      </c>
      <c r="C12" t="s">
        <v>14</v>
      </c>
      <c r="D12">
        <v>142</v>
      </c>
      <c r="E12">
        <v>70</v>
      </c>
      <c r="G12" s="1" t="s">
        <v>122</v>
      </c>
      <c r="H12" t="s">
        <v>19</v>
      </c>
      <c r="I12">
        <v>423</v>
      </c>
      <c r="J12">
        <v>124</v>
      </c>
    </row>
    <row r="13" spans="2:10" x14ac:dyDescent="0.3">
      <c r="B13" t="s">
        <v>122</v>
      </c>
      <c r="C13" t="s">
        <v>14</v>
      </c>
      <c r="D13">
        <v>625</v>
      </c>
      <c r="E13">
        <v>444</v>
      </c>
      <c r="G13" s="1"/>
      <c r="H13" t="s">
        <v>14</v>
      </c>
      <c r="I13">
        <v>625</v>
      </c>
      <c r="J13">
        <v>444</v>
      </c>
    </row>
  </sheetData>
  <mergeCells count="6">
    <mergeCell ref="G12:G13"/>
    <mergeCell ref="G2:G3"/>
    <mergeCell ref="G4:G5"/>
    <mergeCell ref="G6:G7"/>
    <mergeCell ref="G8:G9"/>
    <mergeCell ref="G10:G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121D-9A2D-4729-8313-0C36C6038D4E}">
  <dimension ref="A1:AS31"/>
  <sheetViews>
    <sheetView showGridLines="0" zoomScaleNormal="100" workbookViewId="0"/>
  </sheetViews>
  <sheetFormatPr baseColWidth="10" defaultRowHeight="14.4" x14ac:dyDescent="0.3"/>
  <cols>
    <col min="1" max="1" width="25.109375" style="4" customWidth="1"/>
    <col min="2" max="16384" width="11.5546875" style="4"/>
  </cols>
  <sheetData>
    <row r="1" spans="1:45" x14ac:dyDescent="0.3">
      <c r="A1" s="8" t="s">
        <v>169</v>
      </c>
    </row>
    <row r="2" spans="1:45" x14ac:dyDescent="0.3">
      <c r="A2" s="4" t="s">
        <v>156</v>
      </c>
    </row>
    <row r="3" spans="1:45" x14ac:dyDescent="0.3">
      <c r="A3" s="4" t="s">
        <v>155</v>
      </c>
      <c r="B3" s="4">
        <v>1980</v>
      </c>
      <c r="C3" s="4">
        <v>1981</v>
      </c>
      <c r="D3" s="4">
        <v>1982</v>
      </c>
      <c r="E3" s="4">
        <v>1983</v>
      </c>
      <c r="F3" s="4">
        <v>1984</v>
      </c>
      <c r="G3" s="4">
        <v>1985</v>
      </c>
      <c r="H3" s="4">
        <v>1986</v>
      </c>
      <c r="I3" s="4">
        <v>1987</v>
      </c>
      <c r="J3" s="4">
        <v>1988</v>
      </c>
      <c r="K3" s="4">
        <v>1989</v>
      </c>
      <c r="L3" s="4">
        <v>1990</v>
      </c>
      <c r="M3" s="4">
        <v>1991</v>
      </c>
      <c r="N3" s="4">
        <v>1992</v>
      </c>
      <c r="O3" s="4">
        <v>1993</v>
      </c>
      <c r="P3" s="4">
        <v>1994</v>
      </c>
      <c r="Q3" s="4">
        <v>1995</v>
      </c>
      <c r="R3" s="4">
        <v>1996</v>
      </c>
      <c r="S3" s="4">
        <v>1997</v>
      </c>
      <c r="T3" s="4">
        <v>1998</v>
      </c>
      <c r="U3" s="4">
        <v>1999</v>
      </c>
      <c r="V3" s="4">
        <v>2000</v>
      </c>
      <c r="W3" s="4">
        <v>2001</v>
      </c>
      <c r="X3" s="4">
        <v>2002</v>
      </c>
      <c r="Y3" s="4">
        <v>2003</v>
      </c>
      <c r="Z3" s="4">
        <v>2004</v>
      </c>
      <c r="AA3" s="4">
        <v>2005</v>
      </c>
      <c r="AB3" s="4">
        <v>2006</v>
      </c>
      <c r="AC3" s="4">
        <v>2007</v>
      </c>
      <c r="AD3" s="4">
        <v>2008</v>
      </c>
      <c r="AE3" s="4">
        <v>2009</v>
      </c>
      <c r="AF3" s="4">
        <v>2010</v>
      </c>
      <c r="AG3" s="4">
        <v>2011</v>
      </c>
      <c r="AH3" s="4">
        <v>2012</v>
      </c>
      <c r="AI3" s="4">
        <v>2013</v>
      </c>
      <c r="AJ3" s="4">
        <v>2014</v>
      </c>
      <c r="AK3" s="4">
        <v>2015</v>
      </c>
      <c r="AL3" s="4">
        <v>2016</v>
      </c>
      <c r="AM3" s="4">
        <v>2017</v>
      </c>
      <c r="AN3" s="4">
        <v>2018</v>
      </c>
      <c r="AO3" s="4">
        <v>2019</v>
      </c>
      <c r="AP3" s="4">
        <v>2020</v>
      </c>
      <c r="AQ3" s="4">
        <v>2021</v>
      </c>
      <c r="AR3" s="4">
        <v>2022</v>
      </c>
      <c r="AS3" s="4" t="s">
        <v>154</v>
      </c>
    </row>
    <row r="4" spans="1:45" s="5" customFormat="1" x14ac:dyDescent="0.3">
      <c r="A4" s="5" t="s">
        <v>147</v>
      </c>
      <c r="B4" s="4">
        <v>9</v>
      </c>
      <c r="C4" s="4">
        <v>2</v>
      </c>
      <c r="D4" s="4">
        <v>6</v>
      </c>
      <c r="E4" s="4">
        <v>14</v>
      </c>
      <c r="F4" s="4">
        <v>3</v>
      </c>
      <c r="G4" s="4">
        <v>12</v>
      </c>
      <c r="H4" s="4">
        <v>7</v>
      </c>
      <c r="I4" s="4">
        <v>5</v>
      </c>
      <c r="J4" s="4">
        <v>39</v>
      </c>
      <c r="K4" s="4">
        <v>33</v>
      </c>
      <c r="L4" s="4">
        <v>28</v>
      </c>
      <c r="M4" s="4">
        <v>22</v>
      </c>
      <c r="N4" s="4">
        <v>36</v>
      </c>
      <c r="O4" s="4">
        <v>34</v>
      </c>
      <c r="P4" s="4">
        <v>40</v>
      </c>
      <c r="Q4" s="4">
        <v>53</v>
      </c>
      <c r="R4" s="4">
        <v>61</v>
      </c>
      <c r="S4" s="4">
        <v>68</v>
      </c>
      <c r="T4" s="4">
        <v>70</v>
      </c>
      <c r="U4" s="4">
        <v>70</v>
      </c>
      <c r="V4" s="4">
        <v>84</v>
      </c>
      <c r="W4" s="4">
        <v>78</v>
      </c>
      <c r="X4" s="4">
        <v>51</v>
      </c>
      <c r="Y4" s="4">
        <v>56</v>
      </c>
      <c r="Z4" s="4">
        <v>57</v>
      </c>
      <c r="AA4" s="4">
        <v>51</v>
      </c>
      <c r="AB4" s="4">
        <v>53</v>
      </c>
      <c r="AC4" s="4">
        <v>79</v>
      </c>
      <c r="AD4" s="4">
        <v>48</v>
      </c>
      <c r="AE4" s="4">
        <v>52</v>
      </c>
      <c r="AF4" s="4">
        <v>52</v>
      </c>
      <c r="AG4" s="4">
        <v>72</v>
      </c>
      <c r="AH4" s="4">
        <v>53</v>
      </c>
      <c r="AI4" s="4">
        <v>48</v>
      </c>
      <c r="AJ4" s="4">
        <v>38</v>
      </c>
      <c r="AK4" s="4">
        <v>33</v>
      </c>
      <c r="AL4" s="4">
        <v>22</v>
      </c>
      <c r="AM4" s="4">
        <v>32</v>
      </c>
      <c r="AN4" s="4">
        <v>27</v>
      </c>
      <c r="AO4" s="4">
        <v>34</v>
      </c>
      <c r="AP4" s="4">
        <v>26</v>
      </c>
      <c r="AQ4" s="4">
        <v>28</v>
      </c>
      <c r="AR4" s="4">
        <v>19</v>
      </c>
      <c r="AS4" s="5">
        <f>SUM(B4:AR4)</f>
        <v>1705</v>
      </c>
    </row>
    <row r="5" spans="1:45" s="5" customFormat="1" x14ac:dyDescent="0.3">
      <c r="A5" s="5" t="s">
        <v>144</v>
      </c>
      <c r="B5" s="4">
        <v>4</v>
      </c>
      <c r="F5" s="4">
        <v>2</v>
      </c>
      <c r="G5" s="4">
        <v>9</v>
      </c>
      <c r="H5" s="4">
        <v>3</v>
      </c>
      <c r="I5" s="4">
        <v>3</v>
      </c>
      <c r="J5" s="4">
        <v>6</v>
      </c>
      <c r="K5" s="4">
        <v>15</v>
      </c>
      <c r="L5" s="4">
        <v>7</v>
      </c>
      <c r="M5" s="4">
        <v>8</v>
      </c>
      <c r="N5" s="4">
        <v>5</v>
      </c>
      <c r="O5" s="4">
        <v>12</v>
      </c>
      <c r="P5" s="4">
        <v>21</v>
      </c>
      <c r="Q5" s="4">
        <v>39</v>
      </c>
      <c r="R5" s="4">
        <v>34</v>
      </c>
      <c r="S5" s="4">
        <v>64</v>
      </c>
      <c r="T5" s="4">
        <v>60</v>
      </c>
      <c r="U5" s="4">
        <v>42</v>
      </c>
      <c r="V5" s="4">
        <v>66</v>
      </c>
      <c r="W5" s="4">
        <v>40</v>
      </c>
      <c r="X5" s="4">
        <v>26</v>
      </c>
      <c r="Y5" s="4">
        <v>40</v>
      </c>
      <c r="Z5" s="4">
        <v>24</v>
      </c>
      <c r="AA5" s="4">
        <v>22</v>
      </c>
      <c r="AB5" s="4">
        <v>41</v>
      </c>
      <c r="AC5" s="4">
        <v>30</v>
      </c>
      <c r="AD5" s="4">
        <v>28</v>
      </c>
      <c r="AE5" s="4">
        <v>43</v>
      </c>
      <c r="AF5" s="4">
        <v>19</v>
      </c>
      <c r="AG5" s="4">
        <v>49</v>
      </c>
      <c r="AH5" s="4">
        <v>44</v>
      </c>
      <c r="AI5" s="4">
        <v>23</v>
      </c>
      <c r="AJ5" s="4">
        <v>33</v>
      </c>
      <c r="AK5" s="4">
        <v>18</v>
      </c>
      <c r="AL5" s="4">
        <v>30</v>
      </c>
      <c r="AM5" s="4">
        <v>19</v>
      </c>
      <c r="AN5" s="4">
        <v>17</v>
      </c>
      <c r="AO5" s="4">
        <v>14</v>
      </c>
      <c r="AP5" s="4">
        <v>22</v>
      </c>
      <c r="AQ5" s="4">
        <v>17</v>
      </c>
      <c r="AR5" s="4">
        <v>7</v>
      </c>
      <c r="AS5" s="5">
        <f>SUM(B5:AR5)</f>
        <v>1006</v>
      </c>
    </row>
    <row r="6" spans="1:45" s="5" customFormat="1" x14ac:dyDescent="0.3">
      <c r="A6" s="5" t="s">
        <v>141</v>
      </c>
      <c r="B6" s="4">
        <v>7</v>
      </c>
      <c r="C6" s="4">
        <v>1</v>
      </c>
      <c r="D6" s="4">
        <v>4</v>
      </c>
      <c r="E6" s="4">
        <v>8</v>
      </c>
      <c r="F6" s="4">
        <v>3</v>
      </c>
      <c r="G6" s="4">
        <v>10</v>
      </c>
      <c r="H6" s="4">
        <v>9</v>
      </c>
      <c r="I6" s="4">
        <v>4</v>
      </c>
      <c r="J6" s="4">
        <v>13</v>
      </c>
      <c r="K6" s="4">
        <v>13</v>
      </c>
      <c r="L6" s="4">
        <v>9</v>
      </c>
      <c r="M6" s="4">
        <v>23</v>
      </c>
      <c r="N6" s="4">
        <v>23</v>
      </c>
      <c r="O6" s="4">
        <v>28</v>
      </c>
      <c r="P6" s="4">
        <v>18</v>
      </c>
      <c r="Q6" s="4">
        <v>31</v>
      </c>
      <c r="R6" s="4">
        <v>46</v>
      </c>
      <c r="S6" s="4">
        <v>45</v>
      </c>
      <c r="T6" s="4">
        <v>70</v>
      </c>
      <c r="U6" s="4">
        <v>43</v>
      </c>
      <c r="V6" s="4">
        <v>51</v>
      </c>
      <c r="W6" s="4">
        <v>39</v>
      </c>
      <c r="X6" s="4">
        <v>50</v>
      </c>
      <c r="Y6" s="4">
        <v>43</v>
      </c>
      <c r="Z6" s="4">
        <v>42</v>
      </c>
      <c r="AA6" s="4">
        <v>47</v>
      </c>
      <c r="AB6" s="4">
        <v>46</v>
      </c>
      <c r="AC6" s="4">
        <v>36</v>
      </c>
      <c r="AD6" s="4">
        <v>24</v>
      </c>
      <c r="AE6" s="4">
        <v>152</v>
      </c>
      <c r="AF6" s="4">
        <v>36</v>
      </c>
      <c r="AG6" s="4">
        <v>84</v>
      </c>
      <c r="AH6" s="4">
        <v>72</v>
      </c>
      <c r="AI6" s="4">
        <v>38</v>
      </c>
      <c r="AJ6" s="4">
        <v>39</v>
      </c>
      <c r="AK6" s="4">
        <v>49</v>
      </c>
      <c r="AL6" s="4">
        <v>45</v>
      </c>
      <c r="AM6" s="4">
        <v>46</v>
      </c>
      <c r="AN6" s="4">
        <v>30</v>
      </c>
      <c r="AO6" s="4">
        <v>44</v>
      </c>
      <c r="AP6" s="4">
        <v>13</v>
      </c>
      <c r="AQ6" s="4">
        <v>21</v>
      </c>
      <c r="AR6" s="4">
        <v>17</v>
      </c>
      <c r="AS6" s="5">
        <f>SUM(B6:AR6)</f>
        <v>1472</v>
      </c>
    </row>
    <row r="7" spans="1:45" s="5" customFormat="1" x14ac:dyDescent="0.3">
      <c r="A7" s="5" t="s">
        <v>138</v>
      </c>
      <c r="B7" s="4">
        <v>7</v>
      </c>
      <c r="E7" s="4">
        <v>2</v>
      </c>
      <c r="F7" s="4">
        <v>1</v>
      </c>
      <c r="G7" s="4">
        <v>15</v>
      </c>
      <c r="H7" s="4">
        <v>3</v>
      </c>
      <c r="I7" s="4">
        <v>4</v>
      </c>
      <c r="J7" s="4">
        <v>2</v>
      </c>
      <c r="K7" s="4">
        <v>4</v>
      </c>
      <c r="L7" s="4">
        <v>29</v>
      </c>
      <c r="M7" s="4">
        <v>17</v>
      </c>
      <c r="N7" s="4">
        <v>11</v>
      </c>
      <c r="O7" s="4">
        <v>15</v>
      </c>
      <c r="P7" s="4">
        <v>20</v>
      </c>
      <c r="Q7" s="4">
        <v>46</v>
      </c>
      <c r="R7" s="4">
        <v>74</v>
      </c>
      <c r="S7" s="4">
        <v>95</v>
      </c>
      <c r="T7" s="4">
        <v>90</v>
      </c>
      <c r="U7" s="4">
        <v>80</v>
      </c>
      <c r="V7" s="4">
        <v>73</v>
      </c>
      <c r="W7" s="4">
        <v>62</v>
      </c>
      <c r="X7" s="4">
        <v>77</v>
      </c>
      <c r="Y7" s="4">
        <v>66</v>
      </c>
      <c r="Z7" s="4">
        <v>85</v>
      </c>
      <c r="AA7" s="4">
        <v>74</v>
      </c>
      <c r="AB7" s="4">
        <v>55</v>
      </c>
      <c r="AC7" s="4">
        <v>61</v>
      </c>
      <c r="AD7" s="4">
        <v>65</v>
      </c>
      <c r="AE7" s="4">
        <v>292</v>
      </c>
      <c r="AF7" s="4">
        <v>86</v>
      </c>
      <c r="AG7" s="4">
        <v>138</v>
      </c>
      <c r="AH7" s="4">
        <v>119</v>
      </c>
      <c r="AI7" s="4">
        <v>162</v>
      </c>
      <c r="AJ7" s="4">
        <v>136</v>
      </c>
      <c r="AK7" s="4">
        <v>269</v>
      </c>
      <c r="AL7" s="4">
        <v>150</v>
      </c>
      <c r="AM7" s="4">
        <v>137</v>
      </c>
      <c r="AN7" s="4">
        <v>133</v>
      </c>
      <c r="AO7" s="4">
        <v>116</v>
      </c>
      <c r="AP7" s="4">
        <v>75</v>
      </c>
      <c r="AQ7" s="4">
        <v>125</v>
      </c>
      <c r="AR7" s="4">
        <v>102</v>
      </c>
      <c r="AS7" s="5">
        <f>SUM(B7:AR7)</f>
        <v>3173</v>
      </c>
    </row>
    <row r="8" spans="1:45" s="5" customFormat="1" x14ac:dyDescent="0.3">
      <c r="A8" s="7" t="s">
        <v>135</v>
      </c>
      <c r="B8" s="4">
        <v>1</v>
      </c>
      <c r="C8" s="4">
        <v>2</v>
      </c>
      <c r="D8" s="4">
        <v>2</v>
      </c>
      <c r="E8" s="4">
        <v>1</v>
      </c>
      <c r="F8" s="4">
        <v>2</v>
      </c>
      <c r="G8" s="4">
        <v>3</v>
      </c>
      <c r="I8" s="4">
        <v>2</v>
      </c>
      <c r="J8" s="4">
        <v>2</v>
      </c>
      <c r="K8" s="4">
        <v>15</v>
      </c>
      <c r="L8" s="4">
        <v>10</v>
      </c>
      <c r="M8" s="4">
        <v>4</v>
      </c>
      <c r="N8" s="4">
        <v>9</v>
      </c>
      <c r="O8" s="4">
        <v>11</v>
      </c>
      <c r="P8" s="4">
        <v>8</v>
      </c>
      <c r="Q8" s="4">
        <v>8</v>
      </c>
      <c r="R8" s="4">
        <v>19</v>
      </c>
      <c r="S8" s="4">
        <v>38</v>
      </c>
      <c r="T8" s="4">
        <v>40</v>
      </c>
      <c r="U8" s="4">
        <v>31</v>
      </c>
      <c r="V8" s="4">
        <v>43</v>
      </c>
      <c r="W8" s="4">
        <v>25</v>
      </c>
      <c r="X8" s="4">
        <v>13</v>
      </c>
      <c r="Y8" s="4">
        <v>35</v>
      </c>
      <c r="Z8" s="4">
        <v>33</v>
      </c>
      <c r="AA8" s="4">
        <v>23</v>
      </c>
      <c r="AB8" s="4">
        <v>36</v>
      </c>
      <c r="AC8" s="4">
        <v>13</v>
      </c>
      <c r="AD8" s="4">
        <v>24</v>
      </c>
      <c r="AE8" s="4">
        <v>110</v>
      </c>
      <c r="AF8" s="4">
        <v>39</v>
      </c>
      <c r="AG8" s="4">
        <v>102</v>
      </c>
      <c r="AH8" s="4">
        <v>108</v>
      </c>
      <c r="AI8" s="4">
        <v>121</v>
      </c>
      <c r="AJ8" s="4">
        <v>112</v>
      </c>
      <c r="AK8" s="4">
        <v>107</v>
      </c>
      <c r="AL8" s="4">
        <v>117</v>
      </c>
      <c r="AM8" s="4">
        <v>119</v>
      </c>
      <c r="AN8" s="4">
        <v>88</v>
      </c>
      <c r="AO8" s="4">
        <v>121</v>
      </c>
      <c r="AP8" s="4">
        <v>127</v>
      </c>
      <c r="AQ8" s="4">
        <v>86</v>
      </c>
      <c r="AR8" s="4">
        <v>75</v>
      </c>
      <c r="AS8" s="5">
        <f>SUM(B8:AR8)</f>
        <v>1885</v>
      </c>
    </row>
    <row r="9" spans="1:45" s="5" customFormat="1" x14ac:dyDescent="0.3">
      <c r="A9" s="5" t="s">
        <v>132</v>
      </c>
      <c r="B9" s="4">
        <v>19</v>
      </c>
      <c r="C9" s="4">
        <v>3</v>
      </c>
      <c r="D9" s="4">
        <v>3</v>
      </c>
      <c r="E9" s="4">
        <v>6</v>
      </c>
      <c r="F9" s="4">
        <v>10</v>
      </c>
      <c r="G9" s="4">
        <v>14</v>
      </c>
      <c r="H9" s="4">
        <v>8</v>
      </c>
      <c r="I9" s="4">
        <v>5</v>
      </c>
      <c r="J9" s="4">
        <v>28</v>
      </c>
      <c r="K9" s="4">
        <v>34</v>
      </c>
      <c r="L9" s="4">
        <v>39</v>
      </c>
      <c r="M9" s="4">
        <v>34</v>
      </c>
      <c r="N9" s="4">
        <v>26</v>
      </c>
      <c r="O9" s="4">
        <v>40</v>
      </c>
      <c r="P9" s="4">
        <v>40</v>
      </c>
      <c r="Q9" s="4">
        <v>42</v>
      </c>
      <c r="R9" s="4">
        <v>72</v>
      </c>
      <c r="S9" s="4">
        <v>99</v>
      </c>
      <c r="T9" s="4">
        <v>106</v>
      </c>
      <c r="U9" s="4">
        <v>82</v>
      </c>
      <c r="V9" s="4">
        <v>110</v>
      </c>
      <c r="W9" s="4">
        <v>87</v>
      </c>
      <c r="X9" s="4">
        <v>87</v>
      </c>
      <c r="Y9" s="4">
        <v>77</v>
      </c>
      <c r="Z9" s="4">
        <v>95</v>
      </c>
      <c r="AA9" s="4">
        <v>81</v>
      </c>
      <c r="AB9" s="4">
        <v>94</v>
      </c>
      <c r="AC9" s="4">
        <v>106</v>
      </c>
      <c r="AD9" s="4">
        <v>84</v>
      </c>
      <c r="AE9" s="4">
        <v>311</v>
      </c>
      <c r="AF9" s="4">
        <v>129</v>
      </c>
      <c r="AG9" s="4">
        <v>168</v>
      </c>
      <c r="AH9" s="4">
        <v>117</v>
      </c>
      <c r="AI9" s="4">
        <v>176</v>
      </c>
      <c r="AJ9" s="4">
        <v>148</v>
      </c>
      <c r="AK9" s="4">
        <v>146</v>
      </c>
      <c r="AL9" s="4">
        <v>155</v>
      </c>
      <c r="AM9" s="4">
        <v>199</v>
      </c>
      <c r="AN9" s="4">
        <v>101</v>
      </c>
      <c r="AO9" s="4">
        <v>163</v>
      </c>
      <c r="AP9" s="4">
        <v>87</v>
      </c>
      <c r="AQ9" s="4">
        <v>148</v>
      </c>
      <c r="AR9" s="4">
        <v>156</v>
      </c>
      <c r="AS9" s="5">
        <f>SUM(B9:AR9)</f>
        <v>3735</v>
      </c>
    </row>
    <row r="10" spans="1:45" x14ac:dyDescent="0.3">
      <c r="A10" s="7" t="s">
        <v>154</v>
      </c>
      <c r="B10" s="4">
        <v>47</v>
      </c>
      <c r="C10" s="4">
        <v>8</v>
      </c>
      <c r="D10" s="4">
        <v>15</v>
      </c>
      <c r="E10" s="4">
        <v>31</v>
      </c>
      <c r="F10" s="4">
        <v>21</v>
      </c>
      <c r="G10" s="4">
        <v>63</v>
      </c>
      <c r="H10" s="4">
        <v>30</v>
      </c>
      <c r="I10" s="4">
        <v>23</v>
      </c>
      <c r="J10" s="4">
        <v>90</v>
      </c>
      <c r="K10" s="4">
        <v>114</v>
      </c>
      <c r="L10" s="4">
        <v>122</v>
      </c>
      <c r="M10" s="4">
        <v>108</v>
      </c>
      <c r="N10" s="4">
        <v>110</v>
      </c>
      <c r="O10" s="4">
        <v>140</v>
      </c>
      <c r="P10" s="4">
        <v>147</v>
      </c>
      <c r="Q10" s="4">
        <v>219</v>
      </c>
      <c r="R10" s="4">
        <v>306</v>
      </c>
      <c r="S10" s="4">
        <v>409</v>
      </c>
      <c r="T10" s="4">
        <v>436</v>
      </c>
      <c r="U10" s="4">
        <v>348</v>
      </c>
      <c r="V10" s="4">
        <v>427</v>
      </c>
      <c r="W10" s="4">
        <v>331</v>
      </c>
      <c r="X10" s="4">
        <v>304</v>
      </c>
      <c r="Y10" s="4">
        <v>317</v>
      </c>
      <c r="Z10" s="4">
        <v>336</v>
      </c>
      <c r="AA10" s="4">
        <v>298</v>
      </c>
      <c r="AB10" s="4">
        <v>325</v>
      </c>
      <c r="AC10" s="4">
        <v>325</v>
      </c>
      <c r="AD10" s="4">
        <v>273</v>
      </c>
      <c r="AE10" s="4">
        <v>960</v>
      </c>
      <c r="AF10" s="4">
        <v>361</v>
      </c>
      <c r="AG10" s="4">
        <v>613</v>
      </c>
      <c r="AH10" s="4">
        <v>513</v>
      </c>
      <c r="AI10" s="4">
        <v>568</v>
      </c>
      <c r="AJ10" s="4">
        <v>506</v>
      </c>
      <c r="AK10" s="4">
        <v>622</v>
      </c>
      <c r="AL10" s="4">
        <v>519</v>
      </c>
      <c r="AM10" s="4">
        <v>552</v>
      </c>
      <c r="AN10" s="4">
        <v>396</v>
      </c>
      <c r="AO10" s="4">
        <v>492</v>
      </c>
      <c r="AP10" s="4">
        <v>350</v>
      </c>
      <c r="AQ10" s="4">
        <v>425</v>
      </c>
      <c r="AR10" s="4">
        <v>376</v>
      </c>
      <c r="AS10" s="5">
        <f>SUM(B10:AR10)</f>
        <v>12976</v>
      </c>
    </row>
    <row r="11" spans="1:45" x14ac:dyDescent="0.3">
      <c r="A11" s="5" t="s">
        <v>153</v>
      </c>
      <c r="B11" s="4">
        <f>SUM(B4:B6)</f>
        <v>20</v>
      </c>
      <c r="C11" s="4">
        <f>SUM(C4:C6)</f>
        <v>3</v>
      </c>
      <c r="D11" s="4">
        <f>SUM(D4:D6)</f>
        <v>10</v>
      </c>
      <c r="E11" s="4">
        <f>SUM(E4:E6)</f>
        <v>22</v>
      </c>
      <c r="F11" s="4">
        <f>SUM(F4:F6)</f>
        <v>8</v>
      </c>
      <c r="G11" s="4">
        <f>SUM(G4:G6)</f>
        <v>31</v>
      </c>
      <c r="H11" s="4">
        <f>SUM(H4:H6)</f>
        <v>19</v>
      </c>
      <c r="I11" s="4">
        <f>SUM(I4:I6)</f>
        <v>12</v>
      </c>
      <c r="J11" s="4">
        <f>SUM(J4:J6)</f>
        <v>58</v>
      </c>
      <c r="K11" s="4">
        <f>SUM(K4:K6)</f>
        <v>61</v>
      </c>
      <c r="L11" s="4">
        <f>SUM(L4:L6)</f>
        <v>44</v>
      </c>
      <c r="M11" s="4">
        <f>SUM(M4:M6)</f>
        <v>53</v>
      </c>
      <c r="N11" s="4">
        <f>SUM(N4:N6)</f>
        <v>64</v>
      </c>
      <c r="O11" s="4">
        <f>SUM(O4:O6)</f>
        <v>74</v>
      </c>
      <c r="P11" s="4">
        <f>SUM(P4:P6)</f>
        <v>79</v>
      </c>
      <c r="Q11" s="4">
        <f>SUM(Q4:Q6)</f>
        <v>123</v>
      </c>
      <c r="R11" s="4">
        <f>SUM(R4:R6)</f>
        <v>141</v>
      </c>
      <c r="S11" s="4">
        <f>SUM(S4:S6)</f>
        <v>177</v>
      </c>
      <c r="T11" s="4">
        <f>SUM(T4:T6)</f>
        <v>200</v>
      </c>
      <c r="U11" s="4">
        <f>SUM(U4:U6)</f>
        <v>155</v>
      </c>
      <c r="V11" s="4">
        <f>SUM(V4:V6)</f>
        <v>201</v>
      </c>
      <c r="W11" s="4">
        <f>SUM(W4:W6)</f>
        <v>157</v>
      </c>
      <c r="X11" s="4">
        <f>SUM(X4:X6)</f>
        <v>127</v>
      </c>
      <c r="Y11" s="4">
        <f>SUM(Y4:Y6)</f>
        <v>139</v>
      </c>
      <c r="Z11" s="4">
        <f>SUM(Z4:Z6)</f>
        <v>123</v>
      </c>
      <c r="AA11" s="4">
        <f>SUM(AA4:AA6)</f>
        <v>120</v>
      </c>
      <c r="AB11" s="4">
        <f>SUM(AB4:AB6)</f>
        <v>140</v>
      </c>
      <c r="AC11" s="4">
        <f>SUM(AC4:AC6)</f>
        <v>145</v>
      </c>
      <c r="AD11" s="4">
        <f>SUM(AD4:AD6)</f>
        <v>100</v>
      </c>
      <c r="AE11" s="4">
        <f>SUM(AE4:AE6)</f>
        <v>247</v>
      </c>
      <c r="AF11" s="4">
        <f>SUM(AF4:AF6)</f>
        <v>107</v>
      </c>
      <c r="AG11" s="4">
        <f>SUM(AG4:AG6)</f>
        <v>205</v>
      </c>
      <c r="AH11" s="4">
        <f>SUM(AH4:AH6)</f>
        <v>169</v>
      </c>
      <c r="AI11" s="4">
        <f>SUM(AI4:AI6)</f>
        <v>109</v>
      </c>
      <c r="AJ11" s="4">
        <f>SUM(AJ4:AJ6)</f>
        <v>110</v>
      </c>
      <c r="AK11" s="4">
        <f>SUM(AK4:AK6)</f>
        <v>100</v>
      </c>
      <c r="AL11" s="4">
        <f>SUM(AL4:AL6)</f>
        <v>97</v>
      </c>
      <c r="AM11" s="4">
        <f>SUM(AM4:AM6)</f>
        <v>97</v>
      </c>
      <c r="AN11" s="4">
        <f>SUM(AN4:AN6)</f>
        <v>74</v>
      </c>
      <c r="AO11" s="4">
        <f>SUM(AO4:AO6)</f>
        <v>92</v>
      </c>
      <c r="AP11" s="4">
        <f>SUM(AP4:AP6)</f>
        <v>61</v>
      </c>
      <c r="AQ11" s="4">
        <f>SUM(AQ4:AQ6)</f>
        <v>66</v>
      </c>
      <c r="AR11" s="4">
        <f>SUM(AR4:AR6)</f>
        <v>43</v>
      </c>
      <c r="AS11" s="5">
        <f>SUM(B11:AR11)</f>
        <v>4183</v>
      </c>
    </row>
    <row r="12" spans="1:45" x14ac:dyDescent="0.3">
      <c r="A12" s="5" t="s">
        <v>152</v>
      </c>
      <c r="B12" s="4">
        <f>B11/B10*100</f>
        <v>42.553191489361701</v>
      </c>
      <c r="C12" s="4">
        <f>C11/C10*100</f>
        <v>37.5</v>
      </c>
      <c r="D12" s="4">
        <f>D11/D10*100</f>
        <v>66.666666666666657</v>
      </c>
      <c r="E12" s="4">
        <f>E11/E10*100</f>
        <v>70.967741935483872</v>
      </c>
      <c r="F12" s="4">
        <f>F11/F10*100</f>
        <v>38.095238095238095</v>
      </c>
      <c r="G12" s="4">
        <f>G11/G10*100</f>
        <v>49.206349206349202</v>
      </c>
      <c r="H12" s="4">
        <f>H11/H10*100</f>
        <v>63.333333333333329</v>
      </c>
      <c r="I12" s="4">
        <f>I11/I10*100</f>
        <v>52.173913043478258</v>
      </c>
      <c r="J12" s="4">
        <f>J11/J10*100</f>
        <v>64.444444444444443</v>
      </c>
      <c r="K12" s="4">
        <f>K11/K10*100</f>
        <v>53.508771929824562</v>
      </c>
      <c r="L12" s="4">
        <f>L11/L10*100</f>
        <v>36.065573770491802</v>
      </c>
      <c r="M12" s="4">
        <f>M11/M10*100</f>
        <v>49.074074074074076</v>
      </c>
      <c r="N12" s="4">
        <f>N11/N10*100</f>
        <v>58.18181818181818</v>
      </c>
      <c r="O12" s="4">
        <f>O11/O10*100</f>
        <v>52.857142857142861</v>
      </c>
      <c r="P12" s="4">
        <f>P11/P10*100</f>
        <v>53.741496598639458</v>
      </c>
      <c r="Q12" s="4">
        <f>Q11/Q10*100</f>
        <v>56.164383561643838</v>
      </c>
      <c r="R12" s="4">
        <f>R11/R10*100</f>
        <v>46.078431372549019</v>
      </c>
      <c r="S12" s="4">
        <f>S11/S10*100</f>
        <v>43.276283618581907</v>
      </c>
      <c r="T12" s="4">
        <f>T11/T10*100</f>
        <v>45.871559633027523</v>
      </c>
      <c r="U12" s="4">
        <f>U11/U10*100</f>
        <v>44.540229885057471</v>
      </c>
      <c r="V12" s="4">
        <f>V11/V10*100</f>
        <v>47.072599531615928</v>
      </c>
      <c r="W12" s="4">
        <f>W11/W10*100</f>
        <v>47.432024169184288</v>
      </c>
      <c r="X12" s="4">
        <f>X11/X10*100</f>
        <v>41.776315789473685</v>
      </c>
      <c r="Y12" s="4">
        <f>Y11/Y10*100</f>
        <v>43.848580441640379</v>
      </c>
      <c r="Z12" s="4">
        <f>Z11/Z10*100</f>
        <v>36.607142857142854</v>
      </c>
      <c r="AA12" s="4">
        <f>AA11/AA10*100</f>
        <v>40.268456375838923</v>
      </c>
      <c r="AB12" s="4">
        <f>AB11/AB10*100</f>
        <v>43.07692307692308</v>
      </c>
      <c r="AC12" s="4">
        <f>AC11/AC10*100</f>
        <v>44.61538461538462</v>
      </c>
      <c r="AD12" s="4">
        <f>AD11/AD10*100</f>
        <v>36.630036630036628</v>
      </c>
      <c r="AE12" s="4">
        <f>AE11/AE10*100</f>
        <v>25.729166666666664</v>
      </c>
      <c r="AF12" s="4">
        <f>AF11/AF10*100</f>
        <v>29.639889196675899</v>
      </c>
      <c r="AG12" s="4">
        <f>AG11/AG10*100</f>
        <v>33.442088091353995</v>
      </c>
      <c r="AH12" s="4">
        <f>AH11/AH10*100</f>
        <v>32.943469785575047</v>
      </c>
      <c r="AI12" s="4">
        <f>AI11/AI10*100</f>
        <v>19.19014084507042</v>
      </c>
      <c r="AJ12" s="4">
        <f>AJ11/AJ10*100</f>
        <v>21.739130434782609</v>
      </c>
      <c r="AK12" s="4">
        <f>AK11/AK10*100</f>
        <v>16.077170418006432</v>
      </c>
      <c r="AL12" s="4">
        <f>AL11/AL10*100</f>
        <v>18.689788053949904</v>
      </c>
      <c r="AM12" s="4">
        <f>AM11/AM10*100</f>
        <v>17.572463768115941</v>
      </c>
      <c r="AN12" s="4">
        <f>AN11/AN10*100</f>
        <v>18.686868686868689</v>
      </c>
      <c r="AO12" s="4">
        <f>AO11/AO10*100</f>
        <v>18.699186991869919</v>
      </c>
      <c r="AP12" s="4">
        <f>AP11/AP10*100</f>
        <v>17.428571428571431</v>
      </c>
      <c r="AQ12" s="4">
        <f>AQ11/AQ10*100</f>
        <v>15.529411764705884</v>
      </c>
      <c r="AR12" s="4">
        <f>AR11/AR10*100</f>
        <v>11.436170212765957</v>
      </c>
      <c r="AS12" s="4">
        <f>AS11/AS10*100</f>
        <v>32.236436498150432</v>
      </c>
    </row>
    <row r="13" spans="1:45" x14ac:dyDescent="0.3">
      <c r="A13" s="5" t="s">
        <v>147</v>
      </c>
      <c r="B13" s="4">
        <f>B4/B$11*100</f>
        <v>45</v>
      </c>
      <c r="C13" s="4">
        <f>C4/C$11*100</f>
        <v>66.666666666666657</v>
      </c>
      <c r="D13" s="4">
        <f>D4/D$11*100</f>
        <v>60</v>
      </c>
      <c r="E13" s="4">
        <f>E4/E$11*100</f>
        <v>63.636363636363633</v>
      </c>
      <c r="F13" s="4">
        <f>F4/F$11*100</f>
        <v>37.5</v>
      </c>
      <c r="G13" s="4">
        <f>G4/G$11*100</f>
        <v>38.70967741935484</v>
      </c>
      <c r="H13" s="4">
        <f>H4/H$11*100</f>
        <v>36.84210526315789</v>
      </c>
      <c r="I13" s="4">
        <f>I4/I$11*100</f>
        <v>41.666666666666671</v>
      </c>
      <c r="J13" s="4">
        <f>J4/J$11*100</f>
        <v>67.241379310344826</v>
      </c>
      <c r="K13" s="4">
        <f>K4/K$11*100</f>
        <v>54.098360655737707</v>
      </c>
      <c r="L13" s="4">
        <f>L4/L$11*100</f>
        <v>63.636363636363633</v>
      </c>
      <c r="M13" s="4">
        <f>M4/M$11*100</f>
        <v>41.509433962264154</v>
      </c>
      <c r="N13" s="4">
        <f>N4/N$11*100</f>
        <v>56.25</v>
      </c>
      <c r="O13" s="4">
        <f>O4/O$11*100</f>
        <v>45.945945945945951</v>
      </c>
      <c r="P13" s="4">
        <f>P4/P$11*100</f>
        <v>50.632911392405063</v>
      </c>
      <c r="Q13" s="4">
        <f>Q4/Q$11*100</f>
        <v>43.089430894308947</v>
      </c>
      <c r="R13" s="4">
        <f>R4/R$11*100</f>
        <v>43.262411347517734</v>
      </c>
      <c r="S13" s="4">
        <f>S4/S$11*100</f>
        <v>38.418079096045197</v>
      </c>
      <c r="T13" s="4">
        <f>T4/T$11*100</f>
        <v>35</v>
      </c>
      <c r="U13" s="4">
        <f>U4/U$11*100</f>
        <v>45.161290322580641</v>
      </c>
      <c r="V13" s="4">
        <f>V4/V$11*100</f>
        <v>41.791044776119399</v>
      </c>
      <c r="W13" s="4">
        <f>W4/W$11*100</f>
        <v>49.681528662420384</v>
      </c>
      <c r="X13" s="4">
        <f>X4/X$11*100</f>
        <v>40.15748031496063</v>
      </c>
      <c r="Y13" s="4">
        <f>Y4/Y$11*100</f>
        <v>40.28776978417266</v>
      </c>
      <c r="Z13" s="4">
        <f>Z4/Z$11*100</f>
        <v>46.341463414634148</v>
      </c>
      <c r="AA13" s="4">
        <f>AA4/AA$11*100</f>
        <v>42.5</v>
      </c>
      <c r="AB13" s="4">
        <f>AB4/AB$11*100</f>
        <v>37.857142857142854</v>
      </c>
      <c r="AC13" s="4">
        <f>AC4/AC$11*100</f>
        <v>54.482758620689651</v>
      </c>
      <c r="AD13" s="4">
        <f>AD4/AD$11*100</f>
        <v>48</v>
      </c>
      <c r="AE13" s="4">
        <f>AE4/AE$11*100</f>
        <v>21.052631578947366</v>
      </c>
      <c r="AF13" s="4">
        <f>AF4/AF$11*100</f>
        <v>48.598130841121495</v>
      </c>
      <c r="AG13" s="4">
        <f>AG4/AG$11*100</f>
        <v>35.121951219512191</v>
      </c>
      <c r="AH13" s="4">
        <f>AH4/AH$11*100</f>
        <v>31.360946745562128</v>
      </c>
      <c r="AI13" s="4">
        <f>AI4/AI$11*100</f>
        <v>44.036697247706428</v>
      </c>
      <c r="AJ13" s="4">
        <f>AJ4/AJ$11*100</f>
        <v>34.545454545454547</v>
      </c>
      <c r="AK13" s="4">
        <f>AK4/AK$11*100</f>
        <v>33</v>
      </c>
      <c r="AL13" s="4">
        <f>AL4/AL$11*100</f>
        <v>22.680412371134022</v>
      </c>
      <c r="AM13" s="4">
        <f>AM4/AM$11*100</f>
        <v>32.989690721649481</v>
      </c>
      <c r="AN13" s="4">
        <f>AN4/AN$11*100</f>
        <v>36.486486486486484</v>
      </c>
      <c r="AO13" s="4">
        <f>AO4/AO$11*100</f>
        <v>36.95652173913043</v>
      </c>
      <c r="AP13" s="4">
        <f>AP4/AP$11*100</f>
        <v>42.622950819672127</v>
      </c>
      <c r="AQ13" s="4">
        <f>AQ4/AQ$11*100</f>
        <v>42.424242424242422</v>
      </c>
      <c r="AR13" s="4">
        <f>AR4/AR$11*100</f>
        <v>44.186046511627907</v>
      </c>
      <c r="AS13" s="4">
        <f>AS4/AS$11*100</f>
        <v>40.760219937843651</v>
      </c>
    </row>
    <row r="14" spans="1:45" x14ac:dyDescent="0.3">
      <c r="A14" s="5" t="s">
        <v>144</v>
      </c>
      <c r="B14" s="4">
        <f>B5/B$11*100</f>
        <v>20</v>
      </c>
      <c r="C14" s="4">
        <f>F5/C$11*100</f>
        <v>66.666666666666657</v>
      </c>
      <c r="D14" s="4">
        <f>G5/D$11*100</f>
        <v>90</v>
      </c>
      <c r="E14" s="4">
        <f>H5/E$11*100</f>
        <v>13.636363636363635</v>
      </c>
      <c r="F14" s="4">
        <f>I5/F$11*100</f>
        <v>37.5</v>
      </c>
      <c r="G14" s="4">
        <f>J5/G$11*100</f>
        <v>19.35483870967742</v>
      </c>
      <c r="H14" s="4">
        <f>K5/H$11*100</f>
        <v>78.94736842105263</v>
      </c>
      <c r="I14" s="4">
        <f>L5/I$11*100</f>
        <v>58.333333333333336</v>
      </c>
      <c r="J14" s="4">
        <f>M5/J$11*100</f>
        <v>13.793103448275861</v>
      </c>
      <c r="K14" s="4">
        <f>N5/K$11*100</f>
        <v>8.1967213114754092</v>
      </c>
      <c r="L14" s="4">
        <f>O5/L$11*100</f>
        <v>27.27272727272727</v>
      </c>
      <c r="M14" s="4">
        <f>P5/M$11*100</f>
        <v>39.622641509433961</v>
      </c>
      <c r="N14" s="4">
        <f>Q5/N$11*100</f>
        <v>60.9375</v>
      </c>
      <c r="O14" s="4">
        <f>R5/O$11*100</f>
        <v>45.945945945945951</v>
      </c>
      <c r="P14" s="4">
        <f>S5/P$11*100</f>
        <v>81.012658227848107</v>
      </c>
      <c r="Q14" s="4">
        <f>T5/Q$11*100</f>
        <v>48.780487804878049</v>
      </c>
      <c r="R14" s="4">
        <f>U5/R$11*100</f>
        <v>29.787234042553191</v>
      </c>
      <c r="S14" s="4">
        <f>V5/S$11*100</f>
        <v>37.288135593220339</v>
      </c>
      <c r="T14" s="4">
        <f>W5/T$11*100</f>
        <v>20</v>
      </c>
      <c r="U14" s="4">
        <f>X5/U$11*100</f>
        <v>16.7741935483871</v>
      </c>
      <c r="V14" s="4">
        <f>Y5/V$11*100</f>
        <v>19.900497512437813</v>
      </c>
      <c r="W14" s="4">
        <f>Z5/W$11*100</f>
        <v>15.286624203821656</v>
      </c>
      <c r="X14" s="4">
        <f>AA5/X$11*100</f>
        <v>17.322834645669293</v>
      </c>
      <c r="Y14" s="4">
        <f>AB5/Y$11*100</f>
        <v>29.496402877697843</v>
      </c>
      <c r="Z14" s="4">
        <f>AC5/Z$11*100</f>
        <v>24.390243902439025</v>
      </c>
      <c r="AA14" s="4">
        <f>AD5/AA$11*100</f>
        <v>23.333333333333332</v>
      </c>
      <c r="AB14" s="4">
        <f>AE5/AB$11*100</f>
        <v>30.714285714285715</v>
      </c>
      <c r="AC14" s="4">
        <f>AF5/AC$11*100</f>
        <v>13.103448275862069</v>
      </c>
      <c r="AD14" s="4">
        <f>AG5/AD$11*100</f>
        <v>49</v>
      </c>
      <c r="AE14" s="4">
        <f>AH5/AE$11*100</f>
        <v>17.813765182186234</v>
      </c>
      <c r="AF14" s="4">
        <f>AI5/AF$11*100</f>
        <v>21.495327102803738</v>
      </c>
      <c r="AG14" s="4">
        <f>AJ5/AG$11*100</f>
        <v>16.097560975609756</v>
      </c>
      <c r="AH14" s="4">
        <f>AK5/AH$11*100</f>
        <v>10.650887573964498</v>
      </c>
      <c r="AI14" s="4">
        <f>AL5/AI$11*100</f>
        <v>27.522935779816514</v>
      </c>
      <c r="AJ14" s="4">
        <f>AM5/AJ$11*100</f>
        <v>17.272727272727273</v>
      </c>
      <c r="AK14" s="4">
        <f>AN5/AK$11*100</f>
        <v>17</v>
      </c>
      <c r="AL14" s="4">
        <f>AO5/AL$11*100</f>
        <v>14.432989690721648</v>
      </c>
      <c r="AM14" s="4">
        <f>AP5/AM$11*100</f>
        <v>22.680412371134022</v>
      </c>
      <c r="AN14" s="4">
        <f>AR5/AN$11*100</f>
        <v>9.4594594594594597</v>
      </c>
      <c r="AO14" s="4" t="e">
        <f>#REF!/AO$11*100</f>
        <v>#REF!</v>
      </c>
      <c r="AP14" s="4" t="e">
        <f>#REF!/AP$11*100</f>
        <v>#REF!</v>
      </c>
      <c r="AQ14" s="4" t="e">
        <f>#REF!/AQ$11*100</f>
        <v>#REF!</v>
      </c>
      <c r="AR14" s="4" t="e">
        <f>#REF!/AR$11*100</f>
        <v>#REF!</v>
      </c>
      <c r="AS14" s="4">
        <f>AS5/AS$11*100</f>
        <v>24.049725077695435</v>
      </c>
    </row>
    <row r="15" spans="1:45" x14ac:dyDescent="0.3">
      <c r="A15" s="5" t="s">
        <v>141</v>
      </c>
      <c r="B15" s="4">
        <f>B6/B$11*100</f>
        <v>35</v>
      </c>
      <c r="C15" s="4">
        <f>C6/C$11*100</f>
        <v>33.333333333333329</v>
      </c>
      <c r="D15" s="4">
        <f>D6/D$11*100</f>
        <v>40</v>
      </c>
      <c r="E15" s="4">
        <f>E6/E$11*100</f>
        <v>36.363636363636367</v>
      </c>
      <c r="F15" s="4">
        <f>F6/F$11*100</f>
        <v>37.5</v>
      </c>
      <c r="G15" s="4">
        <f>G6/G$11*100</f>
        <v>32.258064516129032</v>
      </c>
      <c r="H15" s="4">
        <f>H6/H$11*100</f>
        <v>47.368421052631575</v>
      </c>
      <c r="I15" s="4">
        <f>I6/I$11*100</f>
        <v>33.333333333333329</v>
      </c>
      <c r="J15" s="4">
        <f>J6/J$11*100</f>
        <v>22.413793103448278</v>
      </c>
      <c r="K15" s="4">
        <f>K6/K$11*100</f>
        <v>21.311475409836063</v>
      </c>
      <c r="L15" s="4">
        <f>L6/L$11*100</f>
        <v>20.454545454545457</v>
      </c>
      <c r="M15" s="4">
        <f>M6/M$11*100</f>
        <v>43.39622641509434</v>
      </c>
      <c r="N15" s="4">
        <f>N6/N$11*100</f>
        <v>35.9375</v>
      </c>
      <c r="O15" s="4">
        <f>O6/O$11*100</f>
        <v>37.837837837837839</v>
      </c>
      <c r="P15" s="4">
        <f>P6/P$11*100</f>
        <v>22.784810126582279</v>
      </c>
      <c r="Q15" s="4">
        <f>Q6/Q$11*100</f>
        <v>25.203252032520325</v>
      </c>
      <c r="R15" s="4">
        <f>R6/R$11*100</f>
        <v>32.62411347517731</v>
      </c>
      <c r="S15" s="4">
        <f>S6/S$11*100</f>
        <v>25.423728813559322</v>
      </c>
      <c r="T15" s="4">
        <f>T6/T$11*100</f>
        <v>35</v>
      </c>
      <c r="U15" s="4">
        <f>U6/U$11*100</f>
        <v>27.741935483870968</v>
      </c>
      <c r="V15" s="4">
        <f>V6/V$11*100</f>
        <v>25.373134328358208</v>
      </c>
      <c r="W15" s="4">
        <f>W6/W$11*100</f>
        <v>24.840764331210192</v>
      </c>
      <c r="X15" s="4">
        <f>X6/X$11*100</f>
        <v>39.370078740157481</v>
      </c>
      <c r="Y15" s="4">
        <f>Y6/Y$11*100</f>
        <v>30.935251798561154</v>
      </c>
      <c r="Z15" s="4">
        <f>Z6/Z$11*100</f>
        <v>34.146341463414636</v>
      </c>
      <c r="AA15" s="4">
        <f>AA6/AA$11*100</f>
        <v>39.166666666666664</v>
      </c>
      <c r="AB15" s="4">
        <f>AB6/AB$11*100</f>
        <v>32.857142857142854</v>
      </c>
      <c r="AC15" s="4">
        <f>AC6/AC$11*100</f>
        <v>24.827586206896552</v>
      </c>
      <c r="AD15" s="4">
        <f>AD6/AD$11*100</f>
        <v>24</v>
      </c>
      <c r="AE15" s="4">
        <f>AE6/AE$11*100</f>
        <v>61.53846153846154</v>
      </c>
      <c r="AF15" s="4">
        <f>AF6/AF$11*100</f>
        <v>33.644859813084111</v>
      </c>
      <c r="AG15" s="4">
        <f>AG6/AG$11*100</f>
        <v>40.975609756097562</v>
      </c>
      <c r="AH15" s="4">
        <f>AH6/AH$11*100</f>
        <v>42.603550295857993</v>
      </c>
      <c r="AI15" s="4">
        <f>AI6/AI$11*100</f>
        <v>34.862385321100916</v>
      </c>
      <c r="AJ15" s="4">
        <f>AJ6/AJ$11*100</f>
        <v>35.454545454545453</v>
      </c>
      <c r="AK15" s="4">
        <f>AK6/AK$11*100</f>
        <v>49</v>
      </c>
      <c r="AL15" s="4">
        <f>AL6/AL$11*100</f>
        <v>46.391752577319586</v>
      </c>
      <c r="AM15" s="4">
        <f>AM6/AM$11*100</f>
        <v>47.422680412371129</v>
      </c>
      <c r="AN15" s="4">
        <f>AN6/AN$11*100</f>
        <v>40.54054054054054</v>
      </c>
      <c r="AO15" s="4">
        <f>AO6/AO$11*100</f>
        <v>47.826086956521742</v>
      </c>
      <c r="AP15" s="4">
        <f>AP6/AP$11*100</f>
        <v>21.311475409836063</v>
      </c>
      <c r="AQ15" s="4">
        <f>AQ6/AQ$11*100</f>
        <v>31.818181818181817</v>
      </c>
      <c r="AR15" s="4">
        <f>AR6/AR$11*100</f>
        <v>39.534883720930232</v>
      </c>
      <c r="AS15" s="4">
        <f>AS6/AS$11*100</f>
        <v>35.190054984460915</v>
      </c>
    </row>
    <row r="17" spans="1:44" x14ac:dyDescent="0.3">
      <c r="H17" s="4" t="s">
        <v>151</v>
      </c>
      <c r="I17" s="4">
        <v>320</v>
      </c>
      <c r="J17" s="4">
        <f>I17/12614*100</f>
        <v>2.5368638021246235</v>
      </c>
      <c r="L17" s="4">
        <f>(O17+O18+O19+O20+O21)/O29</f>
        <v>0.32256572353712126</v>
      </c>
      <c r="M17" s="4" t="s">
        <v>150</v>
      </c>
      <c r="O17" s="4">
        <v>1000</v>
      </c>
      <c r="Q17" s="4">
        <v>32.299999999999997</v>
      </c>
    </row>
    <row r="18" spans="1:44" x14ac:dyDescent="0.3">
      <c r="H18" s="4" t="s">
        <v>149</v>
      </c>
      <c r="I18" s="4">
        <v>279</v>
      </c>
      <c r="J18" s="4">
        <f>I18/12614*100</f>
        <v>2.2118281274774061</v>
      </c>
      <c r="M18" s="4" t="s">
        <v>148</v>
      </c>
      <c r="O18" s="4">
        <v>359</v>
      </c>
      <c r="Q18" s="4">
        <v>24.4</v>
      </c>
      <c r="AL18" s="5" t="s">
        <v>147</v>
      </c>
      <c r="AN18" s="4">
        <v>52</v>
      </c>
      <c r="AO18" s="4">
        <v>34</v>
      </c>
      <c r="AP18" s="4">
        <v>26</v>
      </c>
      <c r="AQ18" s="4">
        <v>28</v>
      </c>
      <c r="AR18" s="4">
        <f>AS8/AS10</f>
        <v>0.14526818742293465</v>
      </c>
    </row>
    <row r="19" spans="1:44" x14ac:dyDescent="0.3">
      <c r="H19" s="4" t="s">
        <v>146</v>
      </c>
      <c r="I19" s="4">
        <v>1165</v>
      </c>
      <c r="J19" s="4">
        <f>I19/12614*100</f>
        <v>9.2357697796099583</v>
      </c>
      <c r="M19" s="4" t="s">
        <v>145</v>
      </c>
      <c r="O19" s="4">
        <v>348</v>
      </c>
      <c r="Q19" s="4">
        <v>14.5</v>
      </c>
      <c r="AL19" s="5" t="s">
        <v>144</v>
      </c>
      <c r="AN19" s="4">
        <v>43</v>
      </c>
      <c r="AO19" s="4">
        <v>14</v>
      </c>
      <c r="AP19" s="4">
        <v>22</v>
      </c>
      <c r="AQ19" s="4">
        <v>17</v>
      </c>
    </row>
    <row r="20" spans="1:44" x14ac:dyDescent="0.3">
      <c r="H20" s="4" t="s">
        <v>143</v>
      </c>
      <c r="I20" s="4">
        <v>903</v>
      </c>
      <c r="J20" s="4">
        <f>I20/12614*100</f>
        <v>7.1587125416204209</v>
      </c>
      <c r="M20" s="4" t="s">
        <v>142</v>
      </c>
      <c r="O20" s="4">
        <v>1468</v>
      </c>
      <c r="Q20" s="4">
        <v>9.1</v>
      </c>
      <c r="AL20" s="5" t="s">
        <v>141</v>
      </c>
      <c r="AN20" s="4">
        <v>143</v>
      </c>
      <c r="AO20" s="4">
        <v>33</v>
      </c>
      <c r="AP20" s="4">
        <v>6</v>
      </c>
      <c r="AQ20" s="4">
        <v>12</v>
      </c>
    </row>
    <row r="21" spans="1:44" x14ac:dyDescent="0.3">
      <c r="H21" s="4" t="s">
        <v>140</v>
      </c>
      <c r="I21" s="4">
        <v>505</v>
      </c>
      <c r="J21" s="4">
        <f>I21/12614*100</f>
        <v>4.0034881877279211</v>
      </c>
      <c r="M21" s="4" t="s">
        <v>139</v>
      </c>
      <c r="O21" s="4">
        <v>1009</v>
      </c>
      <c r="Q21" s="4">
        <v>9.4</v>
      </c>
      <c r="AL21" s="5" t="s">
        <v>138</v>
      </c>
      <c r="AN21" s="4">
        <v>292</v>
      </c>
      <c r="AO21" s="4">
        <v>116</v>
      </c>
      <c r="AP21" s="4">
        <v>75</v>
      </c>
      <c r="AQ21" s="4">
        <v>125</v>
      </c>
    </row>
    <row r="22" spans="1:44" x14ac:dyDescent="0.3">
      <c r="A22" s="6" t="s">
        <v>137</v>
      </c>
      <c r="L22" s="4">
        <f>O22/O29</f>
        <v>0.24385166910801018</v>
      </c>
      <c r="M22" s="4" t="s">
        <v>136</v>
      </c>
      <c r="O22" s="4">
        <v>3163</v>
      </c>
      <c r="Q22" s="4">
        <v>5.7</v>
      </c>
      <c r="AL22" s="5" t="s">
        <v>135</v>
      </c>
      <c r="AN22" s="4">
        <v>110</v>
      </c>
      <c r="AO22" s="4">
        <v>121</v>
      </c>
      <c r="AP22" s="4">
        <v>127</v>
      </c>
      <c r="AQ22" s="4">
        <v>86</v>
      </c>
    </row>
    <row r="23" spans="1:44" x14ac:dyDescent="0.3">
      <c r="A23" s="6" t="s">
        <v>134</v>
      </c>
      <c r="L23" s="4">
        <f>O23/O29</f>
        <v>0.14516999460334593</v>
      </c>
      <c r="M23" s="4" t="s">
        <v>133</v>
      </c>
      <c r="O23" s="4">
        <v>1883</v>
      </c>
      <c r="Q23" s="4">
        <v>4.5999999999999996</v>
      </c>
      <c r="AL23" s="5" t="s">
        <v>132</v>
      </c>
      <c r="AN23" s="4">
        <f>AN24-SUM(AN18:AN22)</f>
        <v>323</v>
      </c>
      <c r="AO23" s="4">
        <f>AO24-SUM(AO18:AO22)</f>
        <v>174</v>
      </c>
      <c r="AP23" s="4">
        <f>AP24-SUM(AP18:AP22)</f>
        <v>94</v>
      </c>
      <c r="AQ23" s="4">
        <f>AQ24-SUM(AQ18:AQ22)</f>
        <v>157</v>
      </c>
    </row>
    <row r="24" spans="1:44" x14ac:dyDescent="0.3">
      <c r="L24" s="4">
        <f>O24/O29</f>
        <v>5.681905789838871E-2</v>
      </c>
      <c r="M24" s="4" t="s">
        <v>131</v>
      </c>
      <c r="O24" s="4">
        <v>737</v>
      </c>
      <c r="AN24" s="4">
        <v>963</v>
      </c>
      <c r="AO24" s="4">
        <v>492</v>
      </c>
      <c r="AP24" s="4">
        <v>350</v>
      </c>
      <c r="AQ24" s="4">
        <v>425</v>
      </c>
    </row>
    <row r="25" spans="1:44" x14ac:dyDescent="0.3">
      <c r="H25" s="4">
        <v>40.799999999999997</v>
      </c>
      <c r="L25" s="4">
        <f>O25/O29</f>
        <v>9.1203453858607661E-2</v>
      </c>
      <c r="M25" s="4" t="s">
        <v>130</v>
      </c>
      <c r="O25" s="4">
        <v>1183</v>
      </c>
      <c r="Q25" s="4">
        <f>SUM(Q17:Q23)</f>
        <v>99.999999999999986</v>
      </c>
    </row>
    <row r="26" spans="1:44" x14ac:dyDescent="0.3">
      <c r="H26" s="4">
        <v>24.1</v>
      </c>
      <c r="L26" s="4">
        <f>(O26+O27)/O29</f>
        <v>9.3978875954051341E-2</v>
      </c>
      <c r="M26" s="4" t="s">
        <v>129</v>
      </c>
      <c r="O26" s="4">
        <v>899</v>
      </c>
    </row>
    <row r="27" spans="1:44" x14ac:dyDescent="0.3">
      <c r="H27" s="4">
        <v>7.6</v>
      </c>
      <c r="M27" s="4" t="s">
        <v>128</v>
      </c>
      <c r="O27" s="4">
        <v>320</v>
      </c>
      <c r="Q27" s="4">
        <f>277/Q30</f>
        <v>6.6204588910133838E-2</v>
      </c>
    </row>
    <row r="28" spans="1:44" x14ac:dyDescent="0.3">
      <c r="H28" s="4">
        <v>6.6</v>
      </c>
      <c r="L28" s="4">
        <f>O28/O29</f>
        <v>4.6411225040474909E-2</v>
      </c>
      <c r="M28" s="4" t="s">
        <v>127</v>
      </c>
      <c r="O28" s="4">
        <v>602</v>
      </c>
      <c r="Q28" s="4">
        <f>O21/Q30</f>
        <v>0.24115678776290631</v>
      </c>
    </row>
    <row r="29" spans="1:44" x14ac:dyDescent="0.3">
      <c r="H29" s="4">
        <v>20.9</v>
      </c>
      <c r="O29" s="4">
        <f>SUM(O17:O28)</f>
        <v>12971</v>
      </c>
      <c r="Q29" s="4">
        <f>SUM(O17:O19)/Q30</f>
        <v>0.40798279158699807</v>
      </c>
    </row>
    <row r="30" spans="1:44" x14ac:dyDescent="0.3">
      <c r="Q30" s="4">
        <f>SUM(O17:O21)</f>
        <v>4184</v>
      </c>
    </row>
    <row r="31" spans="1:44" x14ac:dyDescent="0.3">
      <c r="H31" s="4">
        <f>SUM(H25:H29)</f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536D-155A-441E-8FD0-D6418972E0D4}">
  <dimension ref="A1:W58"/>
  <sheetViews>
    <sheetView showGridLines="0" zoomScaleNormal="100" workbookViewId="0">
      <selection activeCell="O30" sqref="O30"/>
    </sheetView>
  </sheetViews>
  <sheetFormatPr baseColWidth="10" defaultColWidth="3.6640625" defaultRowHeight="13.8" x14ac:dyDescent="0.25"/>
  <cols>
    <col min="1" max="1" width="36" style="9" customWidth="1"/>
    <col min="2" max="23" width="10" style="9" customWidth="1"/>
    <col min="24" max="256" width="3.6640625" style="9"/>
    <col min="257" max="257" width="36" style="9" customWidth="1"/>
    <col min="258" max="258" width="11.33203125" style="9" bestFit="1" customWidth="1"/>
    <col min="259" max="275" width="10" style="9" customWidth="1"/>
    <col min="276" max="276" width="9.33203125" style="9" customWidth="1"/>
    <col min="277" max="277" width="8.5546875" style="9" customWidth="1"/>
    <col min="278" max="278" width="10.44140625" style="9" customWidth="1"/>
    <col min="279" max="512" width="3.6640625" style="9"/>
    <col min="513" max="513" width="36" style="9" customWidth="1"/>
    <col min="514" max="514" width="11.33203125" style="9" bestFit="1" customWidth="1"/>
    <col min="515" max="531" width="10" style="9" customWidth="1"/>
    <col min="532" max="532" width="9.33203125" style="9" customWidth="1"/>
    <col min="533" max="533" width="8.5546875" style="9" customWidth="1"/>
    <col min="534" max="534" width="10.44140625" style="9" customWidth="1"/>
    <col min="535" max="768" width="3.6640625" style="9"/>
    <col min="769" max="769" width="36" style="9" customWidth="1"/>
    <col min="770" max="770" width="11.33203125" style="9" bestFit="1" customWidth="1"/>
    <col min="771" max="787" width="10" style="9" customWidth="1"/>
    <col min="788" max="788" width="9.33203125" style="9" customWidth="1"/>
    <col min="789" max="789" width="8.5546875" style="9" customWidth="1"/>
    <col min="790" max="790" width="10.44140625" style="9" customWidth="1"/>
    <col min="791" max="1024" width="3.6640625" style="9"/>
    <col min="1025" max="1025" width="36" style="9" customWidth="1"/>
    <col min="1026" max="1026" width="11.33203125" style="9" bestFit="1" customWidth="1"/>
    <col min="1027" max="1043" width="10" style="9" customWidth="1"/>
    <col min="1044" max="1044" width="9.33203125" style="9" customWidth="1"/>
    <col min="1045" max="1045" width="8.5546875" style="9" customWidth="1"/>
    <col min="1046" max="1046" width="10.44140625" style="9" customWidth="1"/>
    <col min="1047" max="1280" width="3.6640625" style="9"/>
    <col min="1281" max="1281" width="36" style="9" customWidth="1"/>
    <col min="1282" max="1282" width="11.33203125" style="9" bestFit="1" customWidth="1"/>
    <col min="1283" max="1299" width="10" style="9" customWidth="1"/>
    <col min="1300" max="1300" width="9.33203125" style="9" customWidth="1"/>
    <col min="1301" max="1301" width="8.5546875" style="9" customWidth="1"/>
    <col min="1302" max="1302" width="10.44140625" style="9" customWidth="1"/>
    <col min="1303" max="1536" width="3.6640625" style="9"/>
    <col min="1537" max="1537" width="36" style="9" customWidth="1"/>
    <col min="1538" max="1538" width="11.33203125" style="9" bestFit="1" customWidth="1"/>
    <col min="1539" max="1555" width="10" style="9" customWidth="1"/>
    <col min="1556" max="1556" width="9.33203125" style="9" customWidth="1"/>
    <col min="1557" max="1557" width="8.5546875" style="9" customWidth="1"/>
    <col min="1558" max="1558" width="10.44140625" style="9" customWidth="1"/>
    <col min="1559" max="1792" width="3.6640625" style="9"/>
    <col min="1793" max="1793" width="36" style="9" customWidth="1"/>
    <col min="1794" max="1794" width="11.33203125" style="9" bestFit="1" customWidth="1"/>
    <col min="1795" max="1811" width="10" style="9" customWidth="1"/>
    <col min="1812" max="1812" width="9.33203125" style="9" customWidth="1"/>
    <col min="1813" max="1813" width="8.5546875" style="9" customWidth="1"/>
    <col min="1814" max="1814" width="10.44140625" style="9" customWidth="1"/>
    <col min="1815" max="2048" width="3.6640625" style="9"/>
    <col min="2049" max="2049" width="36" style="9" customWidth="1"/>
    <col min="2050" max="2050" width="11.33203125" style="9" bestFit="1" customWidth="1"/>
    <col min="2051" max="2067" width="10" style="9" customWidth="1"/>
    <col min="2068" max="2068" width="9.33203125" style="9" customWidth="1"/>
    <col min="2069" max="2069" width="8.5546875" style="9" customWidth="1"/>
    <col min="2070" max="2070" width="10.44140625" style="9" customWidth="1"/>
    <col min="2071" max="2304" width="3.6640625" style="9"/>
    <col min="2305" max="2305" width="36" style="9" customWidth="1"/>
    <col min="2306" max="2306" width="11.33203125" style="9" bestFit="1" customWidth="1"/>
    <col min="2307" max="2323" width="10" style="9" customWidth="1"/>
    <col min="2324" max="2324" width="9.33203125" style="9" customWidth="1"/>
    <col min="2325" max="2325" width="8.5546875" style="9" customWidth="1"/>
    <col min="2326" max="2326" width="10.44140625" style="9" customWidth="1"/>
    <col min="2327" max="2560" width="3.6640625" style="9"/>
    <col min="2561" max="2561" width="36" style="9" customWidth="1"/>
    <col min="2562" max="2562" width="11.33203125" style="9" bestFit="1" customWidth="1"/>
    <col min="2563" max="2579" width="10" style="9" customWidth="1"/>
    <col min="2580" max="2580" width="9.33203125" style="9" customWidth="1"/>
    <col min="2581" max="2581" width="8.5546875" style="9" customWidth="1"/>
    <col min="2582" max="2582" width="10.44140625" style="9" customWidth="1"/>
    <col min="2583" max="2816" width="3.6640625" style="9"/>
    <col min="2817" max="2817" width="36" style="9" customWidth="1"/>
    <col min="2818" max="2818" width="11.33203125" style="9" bestFit="1" customWidth="1"/>
    <col min="2819" max="2835" width="10" style="9" customWidth="1"/>
    <col min="2836" max="2836" width="9.33203125" style="9" customWidth="1"/>
    <col min="2837" max="2837" width="8.5546875" style="9" customWidth="1"/>
    <col min="2838" max="2838" width="10.44140625" style="9" customWidth="1"/>
    <col min="2839" max="3072" width="3.6640625" style="9"/>
    <col min="3073" max="3073" width="36" style="9" customWidth="1"/>
    <col min="3074" max="3074" width="11.33203125" style="9" bestFit="1" customWidth="1"/>
    <col min="3075" max="3091" width="10" style="9" customWidth="1"/>
    <col min="3092" max="3092" width="9.33203125" style="9" customWidth="1"/>
    <col min="3093" max="3093" width="8.5546875" style="9" customWidth="1"/>
    <col min="3094" max="3094" width="10.44140625" style="9" customWidth="1"/>
    <col min="3095" max="3328" width="3.6640625" style="9"/>
    <col min="3329" max="3329" width="36" style="9" customWidth="1"/>
    <col min="3330" max="3330" width="11.33203125" style="9" bestFit="1" customWidth="1"/>
    <col min="3331" max="3347" width="10" style="9" customWidth="1"/>
    <col min="3348" max="3348" width="9.33203125" style="9" customWidth="1"/>
    <col min="3349" max="3349" width="8.5546875" style="9" customWidth="1"/>
    <col min="3350" max="3350" width="10.44140625" style="9" customWidth="1"/>
    <col min="3351" max="3584" width="3.6640625" style="9"/>
    <col min="3585" max="3585" width="36" style="9" customWidth="1"/>
    <col min="3586" max="3586" width="11.33203125" style="9" bestFit="1" customWidth="1"/>
    <col min="3587" max="3603" width="10" style="9" customWidth="1"/>
    <col min="3604" max="3604" width="9.33203125" style="9" customWidth="1"/>
    <col min="3605" max="3605" width="8.5546875" style="9" customWidth="1"/>
    <col min="3606" max="3606" width="10.44140625" style="9" customWidth="1"/>
    <col min="3607" max="3840" width="3.6640625" style="9"/>
    <col min="3841" max="3841" width="36" style="9" customWidth="1"/>
    <col min="3842" max="3842" width="11.33203125" style="9" bestFit="1" customWidth="1"/>
    <col min="3843" max="3859" width="10" style="9" customWidth="1"/>
    <col min="3860" max="3860" width="9.33203125" style="9" customWidth="1"/>
    <col min="3861" max="3861" width="8.5546875" style="9" customWidth="1"/>
    <col min="3862" max="3862" width="10.44140625" style="9" customWidth="1"/>
    <col min="3863" max="4096" width="3.6640625" style="9"/>
    <col min="4097" max="4097" width="36" style="9" customWidth="1"/>
    <col min="4098" max="4098" width="11.33203125" style="9" bestFit="1" customWidth="1"/>
    <col min="4099" max="4115" width="10" style="9" customWidth="1"/>
    <col min="4116" max="4116" width="9.33203125" style="9" customWidth="1"/>
    <col min="4117" max="4117" width="8.5546875" style="9" customWidth="1"/>
    <col min="4118" max="4118" width="10.44140625" style="9" customWidth="1"/>
    <col min="4119" max="4352" width="3.6640625" style="9"/>
    <col min="4353" max="4353" width="36" style="9" customWidth="1"/>
    <col min="4354" max="4354" width="11.33203125" style="9" bestFit="1" customWidth="1"/>
    <col min="4355" max="4371" width="10" style="9" customWidth="1"/>
    <col min="4372" max="4372" width="9.33203125" style="9" customWidth="1"/>
    <col min="4373" max="4373" width="8.5546875" style="9" customWidth="1"/>
    <col min="4374" max="4374" width="10.44140625" style="9" customWidth="1"/>
    <col min="4375" max="4608" width="3.6640625" style="9"/>
    <col min="4609" max="4609" width="36" style="9" customWidth="1"/>
    <col min="4610" max="4610" width="11.33203125" style="9" bestFit="1" customWidth="1"/>
    <col min="4611" max="4627" width="10" style="9" customWidth="1"/>
    <col min="4628" max="4628" width="9.33203125" style="9" customWidth="1"/>
    <col min="4629" max="4629" width="8.5546875" style="9" customWidth="1"/>
    <col min="4630" max="4630" width="10.44140625" style="9" customWidth="1"/>
    <col min="4631" max="4864" width="3.6640625" style="9"/>
    <col min="4865" max="4865" width="36" style="9" customWidth="1"/>
    <col min="4866" max="4866" width="11.33203125" style="9" bestFit="1" customWidth="1"/>
    <col min="4867" max="4883" width="10" style="9" customWidth="1"/>
    <col min="4884" max="4884" width="9.33203125" style="9" customWidth="1"/>
    <col min="4885" max="4885" width="8.5546875" style="9" customWidth="1"/>
    <col min="4886" max="4886" width="10.44140625" style="9" customWidth="1"/>
    <col min="4887" max="5120" width="3.6640625" style="9"/>
    <col min="5121" max="5121" width="36" style="9" customWidth="1"/>
    <col min="5122" max="5122" width="11.33203125" style="9" bestFit="1" customWidth="1"/>
    <col min="5123" max="5139" width="10" style="9" customWidth="1"/>
    <col min="5140" max="5140" width="9.33203125" style="9" customWidth="1"/>
    <col min="5141" max="5141" width="8.5546875" style="9" customWidth="1"/>
    <col min="5142" max="5142" width="10.44140625" style="9" customWidth="1"/>
    <col min="5143" max="5376" width="3.6640625" style="9"/>
    <col min="5377" max="5377" width="36" style="9" customWidth="1"/>
    <col min="5378" max="5378" width="11.33203125" style="9" bestFit="1" customWidth="1"/>
    <col min="5379" max="5395" width="10" style="9" customWidth="1"/>
    <col min="5396" max="5396" width="9.33203125" style="9" customWidth="1"/>
    <col min="5397" max="5397" width="8.5546875" style="9" customWidth="1"/>
    <col min="5398" max="5398" width="10.44140625" style="9" customWidth="1"/>
    <col min="5399" max="5632" width="3.6640625" style="9"/>
    <col min="5633" max="5633" width="36" style="9" customWidth="1"/>
    <col min="5634" max="5634" width="11.33203125" style="9" bestFit="1" customWidth="1"/>
    <col min="5635" max="5651" width="10" style="9" customWidth="1"/>
    <col min="5652" max="5652" width="9.33203125" style="9" customWidth="1"/>
    <col min="5653" max="5653" width="8.5546875" style="9" customWidth="1"/>
    <col min="5654" max="5654" width="10.44140625" style="9" customWidth="1"/>
    <col min="5655" max="5888" width="3.6640625" style="9"/>
    <col min="5889" max="5889" width="36" style="9" customWidth="1"/>
    <col min="5890" max="5890" width="11.33203125" style="9" bestFit="1" customWidth="1"/>
    <col min="5891" max="5907" width="10" style="9" customWidth="1"/>
    <col min="5908" max="5908" width="9.33203125" style="9" customWidth="1"/>
    <col min="5909" max="5909" width="8.5546875" style="9" customWidth="1"/>
    <col min="5910" max="5910" width="10.44140625" style="9" customWidth="1"/>
    <col min="5911" max="6144" width="3.6640625" style="9"/>
    <col min="6145" max="6145" width="36" style="9" customWidth="1"/>
    <col min="6146" max="6146" width="11.33203125" style="9" bestFit="1" customWidth="1"/>
    <col min="6147" max="6163" width="10" style="9" customWidth="1"/>
    <col min="6164" max="6164" width="9.33203125" style="9" customWidth="1"/>
    <col min="6165" max="6165" width="8.5546875" style="9" customWidth="1"/>
    <col min="6166" max="6166" width="10.44140625" style="9" customWidth="1"/>
    <col min="6167" max="6400" width="3.6640625" style="9"/>
    <col min="6401" max="6401" width="36" style="9" customWidth="1"/>
    <col min="6402" max="6402" width="11.33203125" style="9" bestFit="1" customWidth="1"/>
    <col min="6403" max="6419" width="10" style="9" customWidth="1"/>
    <col min="6420" max="6420" width="9.33203125" style="9" customWidth="1"/>
    <col min="6421" max="6421" width="8.5546875" style="9" customWidth="1"/>
    <col min="6422" max="6422" width="10.44140625" style="9" customWidth="1"/>
    <col min="6423" max="6656" width="3.6640625" style="9"/>
    <col min="6657" max="6657" width="36" style="9" customWidth="1"/>
    <col min="6658" max="6658" width="11.33203125" style="9" bestFit="1" customWidth="1"/>
    <col min="6659" max="6675" width="10" style="9" customWidth="1"/>
    <col min="6676" max="6676" width="9.33203125" style="9" customWidth="1"/>
    <col min="6677" max="6677" width="8.5546875" style="9" customWidth="1"/>
    <col min="6678" max="6678" width="10.44140625" style="9" customWidth="1"/>
    <col min="6679" max="6912" width="3.6640625" style="9"/>
    <col min="6913" max="6913" width="36" style="9" customWidth="1"/>
    <col min="6914" max="6914" width="11.33203125" style="9" bestFit="1" customWidth="1"/>
    <col min="6915" max="6931" width="10" style="9" customWidth="1"/>
    <col min="6932" max="6932" width="9.33203125" style="9" customWidth="1"/>
    <col min="6933" max="6933" width="8.5546875" style="9" customWidth="1"/>
    <col min="6934" max="6934" width="10.44140625" style="9" customWidth="1"/>
    <col min="6935" max="7168" width="3.6640625" style="9"/>
    <col min="7169" max="7169" width="36" style="9" customWidth="1"/>
    <col min="7170" max="7170" width="11.33203125" style="9" bestFit="1" customWidth="1"/>
    <col min="7171" max="7187" width="10" style="9" customWidth="1"/>
    <col min="7188" max="7188" width="9.33203125" style="9" customWidth="1"/>
    <col min="7189" max="7189" width="8.5546875" style="9" customWidth="1"/>
    <col min="7190" max="7190" width="10.44140625" style="9" customWidth="1"/>
    <col min="7191" max="7424" width="3.6640625" style="9"/>
    <col min="7425" max="7425" width="36" style="9" customWidth="1"/>
    <col min="7426" max="7426" width="11.33203125" style="9" bestFit="1" customWidth="1"/>
    <col min="7427" max="7443" width="10" style="9" customWidth="1"/>
    <col min="7444" max="7444" width="9.33203125" style="9" customWidth="1"/>
    <col min="7445" max="7445" width="8.5546875" style="9" customWidth="1"/>
    <col min="7446" max="7446" width="10.44140625" style="9" customWidth="1"/>
    <col min="7447" max="7680" width="3.6640625" style="9"/>
    <col min="7681" max="7681" width="36" style="9" customWidth="1"/>
    <col min="7682" max="7682" width="11.33203125" style="9" bestFit="1" customWidth="1"/>
    <col min="7683" max="7699" width="10" style="9" customWidth="1"/>
    <col min="7700" max="7700" width="9.33203125" style="9" customWidth="1"/>
    <col min="7701" max="7701" width="8.5546875" style="9" customWidth="1"/>
    <col min="7702" max="7702" width="10.44140625" style="9" customWidth="1"/>
    <col min="7703" max="7936" width="3.6640625" style="9"/>
    <col min="7937" max="7937" width="36" style="9" customWidth="1"/>
    <col min="7938" max="7938" width="11.33203125" style="9" bestFit="1" customWidth="1"/>
    <col min="7939" max="7955" width="10" style="9" customWidth="1"/>
    <col min="7956" max="7956" width="9.33203125" style="9" customWidth="1"/>
    <col min="7957" max="7957" width="8.5546875" style="9" customWidth="1"/>
    <col min="7958" max="7958" width="10.44140625" style="9" customWidth="1"/>
    <col min="7959" max="8192" width="3.6640625" style="9"/>
    <col min="8193" max="8193" width="36" style="9" customWidth="1"/>
    <col min="8194" max="8194" width="11.33203125" style="9" bestFit="1" customWidth="1"/>
    <col min="8195" max="8211" width="10" style="9" customWidth="1"/>
    <col min="8212" max="8212" width="9.33203125" style="9" customWidth="1"/>
    <col min="8213" max="8213" width="8.5546875" style="9" customWidth="1"/>
    <col min="8214" max="8214" width="10.44140625" style="9" customWidth="1"/>
    <col min="8215" max="8448" width="3.6640625" style="9"/>
    <col min="8449" max="8449" width="36" style="9" customWidth="1"/>
    <col min="8450" max="8450" width="11.33203125" style="9" bestFit="1" customWidth="1"/>
    <col min="8451" max="8467" width="10" style="9" customWidth="1"/>
    <col min="8468" max="8468" width="9.33203125" style="9" customWidth="1"/>
    <col min="8469" max="8469" width="8.5546875" style="9" customWidth="1"/>
    <col min="8470" max="8470" width="10.44140625" style="9" customWidth="1"/>
    <col min="8471" max="8704" width="3.6640625" style="9"/>
    <col min="8705" max="8705" width="36" style="9" customWidth="1"/>
    <col min="8706" max="8706" width="11.33203125" style="9" bestFit="1" customWidth="1"/>
    <col min="8707" max="8723" width="10" style="9" customWidth="1"/>
    <col min="8724" max="8724" width="9.33203125" style="9" customWidth="1"/>
    <col min="8725" max="8725" width="8.5546875" style="9" customWidth="1"/>
    <col min="8726" max="8726" width="10.44140625" style="9" customWidth="1"/>
    <col min="8727" max="8960" width="3.6640625" style="9"/>
    <col min="8961" max="8961" width="36" style="9" customWidth="1"/>
    <col min="8962" max="8962" width="11.33203125" style="9" bestFit="1" customWidth="1"/>
    <col min="8963" max="8979" width="10" style="9" customWidth="1"/>
    <col min="8980" max="8980" width="9.33203125" style="9" customWidth="1"/>
    <col min="8981" max="8981" width="8.5546875" style="9" customWidth="1"/>
    <col min="8982" max="8982" width="10.44140625" style="9" customWidth="1"/>
    <col min="8983" max="9216" width="3.6640625" style="9"/>
    <col min="9217" max="9217" width="36" style="9" customWidth="1"/>
    <col min="9218" max="9218" width="11.33203125" style="9" bestFit="1" customWidth="1"/>
    <col min="9219" max="9235" width="10" style="9" customWidth="1"/>
    <col min="9236" max="9236" width="9.33203125" style="9" customWidth="1"/>
    <col min="9237" max="9237" width="8.5546875" style="9" customWidth="1"/>
    <col min="9238" max="9238" width="10.44140625" style="9" customWidth="1"/>
    <col min="9239" max="9472" width="3.6640625" style="9"/>
    <col min="9473" max="9473" width="36" style="9" customWidth="1"/>
    <col min="9474" max="9474" width="11.33203125" style="9" bestFit="1" customWidth="1"/>
    <col min="9475" max="9491" width="10" style="9" customWidth="1"/>
    <col min="9492" max="9492" width="9.33203125" style="9" customWidth="1"/>
    <col min="9493" max="9493" width="8.5546875" style="9" customWidth="1"/>
    <col min="9494" max="9494" width="10.44140625" style="9" customWidth="1"/>
    <col min="9495" max="9728" width="3.6640625" style="9"/>
    <col min="9729" max="9729" width="36" style="9" customWidth="1"/>
    <col min="9730" max="9730" width="11.33203125" style="9" bestFit="1" customWidth="1"/>
    <col min="9731" max="9747" width="10" style="9" customWidth="1"/>
    <col min="9748" max="9748" width="9.33203125" style="9" customWidth="1"/>
    <col min="9749" max="9749" width="8.5546875" style="9" customWidth="1"/>
    <col min="9750" max="9750" width="10.44140625" style="9" customWidth="1"/>
    <col min="9751" max="9984" width="3.6640625" style="9"/>
    <col min="9985" max="9985" width="36" style="9" customWidth="1"/>
    <col min="9986" max="9986" width="11.33203125" style="9" bestFit="1" customWidth="1"/>
    <col min="9987" max="10003" width="10" style="9" customWidth="1"/>
    <col min="10004" max="10004" width="9.33203125" style="9" customWidth="1"/>
    <col min="10005" max="10005" width="8.5546875" style="9" customWidth="1"/>
    <col min="10006" max="10006" width="10.44140625" style="9" customWidth="1"/>
    <col min="10007" max="10240" width="3.6640625" style="9"/>
    <col min="10241" max="10241" width="36" style="9" customWidth="1"/>
    <col min="10242" max="10242" width="11.33203125" style="9" bestFit="1" customWidth="1"/>
    <col min="10243" max="10259" width="10" style="9" customWidth="1"/>
    <col min="10260" max="10260" width="9.33203125" style="9" customWidth="1"/>
    <col min="10261" max="10261" width="8.5546875" style="9" customWidth="1"/>
    <col min="10262" max="10262" width="10.44140625" style="9" customWidth="1"/>
    <col min="10263" max="10496" width="3.6640625" style="9"/>
    <col min="10497" max="10497" width="36" style="9" customWidth="1"/>
    <col min="10498" max="10498" width="11.33203125" style="9" bestFit="1" customWidth="1"/>
    <col min="10499" max="10515" width="10" style="9" customWidth="1"/>
    <col min="10516" max="10516" width="9.33203125" style="9" customWidth="1"/>
    <col min="10517" max="10517" width="8.5546875" style="9" customWidth="1"/>
    <col min="10518" max="10518" width="10.44140625" style="9" customWidth="1"/>
    <col min="10519" max="10752" width="3.6640625" style="9"/>
    <col min="10753" max="10753" width="36" style="9" customWidth="1"/>
    <col min="10754" max="10754" width="11.33203125" style="9" bestFit="1" customWidth="1"/>
    <col min="10755" max="10771" width="10" style="9" customWidth="1"/>
    <col min="10772" max="10772" width="9.33203125" style="9" customWidth="1"/>
    <col min="10773" max="10773" width="8.5546875" style="9" customWidth="1"/>
    <col min="10774" max="10774" width="10.44140625" style="9" customWidth="1"/>
    <col min="10775" max="11008" width="3.6640625" style="9"/>
    <col min="11009" max="11009" width="36" style="9" customWidth="1"/>
    <col min="11010" max="11010" width="11.33203125" style="9" bestFit="1" customWidth="1"/>
    <col min="11011" max="11027" width="10" style="9" customWidth="1"/>
    <col min="11028" max="11028" width="9.33203125" style="9" customWidth="1"/>
    <col min="11029" max="11029" width="8.5546875" style="9" customWidth="1"/>
    <col min="11030" max="11030" width="10.44140625" style="9" customWidth="1"/>
    <col min="11031" max="11264" width="3.6640625" style="9"/>
    <col min="11265" max="11265" width="36" style="9" customWidth="1"/>
    <col min="11266" max="11266" width="11.33203125" style="9" bestFit="1" customWidth="1"/>
    <col min="11267" max="11283" width="10" style="9" customWidth="1"/>
    <col min="11284" max="11284" width="9.33203125" style="9" customWidth="1"/>
    <col min="11285" max="11285" width="8.5546875" style="9" customWidth="1"/>
    <col min="11286" max="11286" width="10.44140625" style="9" customWidth="1"/>
    <col min="11287" max="11520" width="3.6640625" style="9"/>
    <col min="11521" max="11521" width="36" style="9" customWidth="1"/>
    <col min="11522" max="11522" width="11.33203125" style="9" bestFit="1" customWidth="1"/>
    <col min="11523" max="11539" width="10" style="9" customWidth="1"/>
    <col min="11540" max="11540" width="9.33203125" style="9" customWidth="1"/>
    <col min="11541" max="11541" width="8.5546875" style="9" customWidth="1"/>
    <col min="11542" max="11542" width="10.44140625" style="9" customWidth="1"/>
    <col min="11543" max="11776" width="3.6640625" style="9"/>
    <col min="11777" max="11777" width="36" style="9" customWidth="1"/>
    <col min="11778" max="11778" width="11.33203125" style="9" bestFit="1" customWidth="1"/>
    <col min="11779" max="11795" width="10" style="9" customWidth="1"/>
    <col min="11796" max="11796" width="9.33203125" style="9" customWidth="1"/>
    <col min="11797" max="11797" width="8.5546875" style="9" customWidth="1"/>
    <col min="11798" max="11798" width="10.44140625" style="9" customWidth="1"/>
    <col min="11799" max="12032" width="3.6640625" style="9"/>
    <col min="12033" max="12033" width="36" style="9" customWidth="1"/>
    <col min="12034" max="12034" width="11.33203125" style="9" bestFit="1" customWidth="1"/>
    <col min="12035" max="12051" width="10" style="9" customWidth="1"/>
    <col min="12052" max="12052" width="9.33203125" style="9" customWidth="1"/>
    <col min="12053" max="12053" width="8.5546875" style="9" customWidth="1"/>
    <col min="12054" max="12054" width="10.44140625" style="9" customWidth="1"/>
    <col min="12055" max="12288" width="3.6640625" style="9"/>
    <col min="12289" max="12289" width="36" style="9" customWidth="1"/>
    <col min="12290" max="12290" width="11.33203125" style="9" bestFit="1" customWidth="1"/>
    <col min="12291" max="12307" width="10" style="9" customWidth="1"/>
    <col min="12308" max="12308" width="9.33203125" style="9" customWidth="1"/>
    <col min="12309" max="12309" width="8.5546875" style="9" customWidth="1"/>
    <col min="12310" max="12310" width="10.44140625" style="9" customWidth="1"/>
    <col min="12311" max="12544" width="3.6640625" style="9"/>
    <col min="12545" max="12545" width="36" style="9" customWidth="1"/>
    <col min="12546" max="12546" width="11.33203125" style="9" bestFit="1" customWidth="1"/>
    <col min="12547" max="12563" width="10" style="9" customWidth="1"/>
    <col min="12564" max="12564" width="9.33203125" style="9" customWidth="1"/>
    <col min="12565" max="12565" width="8.5546875" style="9" customWidth="1"/>
    <col min="12566" max="12566" width="10.44140625" style="9" customWidth="1"/>
    <col min="12567" max="12800" width="3.6640625" style="9"/>
    <col min="12801" max="12801" width="36" style="9" customWidth="1"/>
    <col min="12802" max="12802" width="11.33203125" style="9" bestFit="1" customWidth="1"/>
    <col min="12803" max="12819" width="10" style="9" customWidth="1"/>
    <col min="12820" max="12820" width="9.33203125" style="9" customWidth="1"/>
    <col min="12821" max="12821" width="8.5546875" style="9" customWidth="1"/>
    <col min="12822" max="12822" width="10.44140625" style="9" customWidth="1"/>
    <col min="12823" max="13056" width="3.6640625" style="9"/>
    <col min="13057" max="13057" width="36" style="9" customWidth="1"/>
    <col min="13058" max="13058" width="11.33203125" style="9" bestFit="1" customWidth="1"/>
    <col min="13059" max="13075" width="10" style="9" customWidth="1"/>
    <col min="13076" max="13076" width="9.33203125" style="9" customWidth="1"/>
    <col min="13077" max="13077" width="8.5546875" style="9" customWidth="1"/>
    <col min="13078" max="13078" width="10.44140625" style="9" customWidth="1"/>
    <col min="13079" max="13312" width="3.6640625" style="9"/>
    <col min="13313" max="13313" width="36" style="9" customWidth="1"/>
    <col min="13314" max="13314" width="11.33203125" style="9" bestFit="1" customWidth="1"/>
    <col min="13315" max="13331" width="10" style="9" customWidth="1"/>
    <col min="13332" max="13332" width="9.33203125" style="9" customWidth="1"/>
    <col min="13333" max="13333" width="8.5546875" style="9" customWidth="1"/>
    <col min="13334" max="13334" width="10.44140625" style="9" customWidth="1"/>
    <col min="13335" max="13568" width="3.6640625" style="9"/>
    <col min="13569" max="13569" width="36" style="9" customWidth="1"/>
    <col min="13570" max="13570" width="11.33203125" style="9" bestFit="1" customWidth="1"/>
    <col min="13571" max="13587" width="10" style="9" customWidth="1"/>
    <col min="13588" max="13588" width="9.33203125" style="9" customWidth="1"/>
    <col min="13589" max="13589" width="8.5546875" style="9" customWidth="1"/>
    <col min="13590" max="13590" width="10.44140625" style="9" customWidth="1"/>
    <col min="13591" max="13824" width="3.6640625" style="9"/>
    <col min="13825" max="13825" width="36" style="9" customWidth="1"/>
    <col min="13826" max="13826" width="11.33203125" style="9" bestFit="1" customWidth="1"/>
    <col min="13827" max="13843" width="10" style="9" customWidth="1"/>
    <col min="13844" max="13844" width="9.33203125" style="9" customWidth="1"/>
    <col min="13845" max="13845" width="8.5546875" style="9" customWidth="1"/>
    <col min="13846" max="13846" width="10.44140625" style="9" customWidth="1"/>
    <col min="13847" max="14080" width="3.6640625" style="9"/>
    <col min="14081" max="14081" width="36" style="9" customWidth="1"/>
    <col min="14082" max="14082" width="11.33203125" style="9" bestFit="1" customWidth="1"/>
    <col min="14083" max="14099" width="10" style="9" customWidth="1"/>
    <col min="14100" max="14100" width="9.33203125" style="9" customWidth="1"/>
    <col min="14101" max="14101" width="8.5546875" style="9" customWidth="1"/>
    <col min="14102" max="14102" width="10.44140625" style="9" customWidth="1"/>
    <col min="14103" max="14336" width="3.6640625" style="9"/>
    <col min="14337" max="14337" width="36" style="9" customWidth="1"/>
    <col min="14338" max="14338" width="11.33203125" style="9" bestFit="1" customWidth="1"/>
    <col min="14339" max="14355" width="10" style="9" customWidth="1"/>
    <col min="14356" max="14356" width="9.33203125" style="9" customWidth="1"/>
    <col min="14357" max="14357" width="8.5546875" style="9" customWidth="1"/>
    <col min="14358" max="14358" width="10.44140625" style="9" customWidth="1"/>
    <col min="14359" max="14592" width="3.6640625" style="9"/>
    <col min="14593" max="14593" width="36" style="9" customWidth="1"/>
    <col min="14594" max="14594" width="11.33203125" style="9" bestFit="1" customWidth="1"/>
    <col min="14595" max="14611" width="10" style="9" customWidth="1"/>
    <col min="14612" max="14612" width="9.33203125" style="9" customWidth="1"/>
    <col min="14613" max="14613" width="8.5546875" style="9" customWidth="1"/>
    <col min="14614" max="14614" width="10.44140625" style="9" customWidth="1"/>
    <col min="14615" max="14848" width="3.6640625" style="9"/>
    <col min="14849" max="14849" width="36" style="9" customWidth="1"/>
    <col min="14850" max="14850" width="11.33203125" style="9" bestFit="1" customWidth="1"/>
    <col min="14851" max="14867" width="10" style="9" customWidth="1"/>
    <col min="14868" max="14868" width="9.33203125" style="9" customWidth="1"/>
    <col min="14869" max="14869" width="8.5546875" style="9" customWidth="1"/>
    <col min="14870" max="14870" width="10.44140625" style="9" customWidth="1"/>
    <col min="14871" max="15104" width="3.6640625" style="9"/>
    <col min="15105" max="15105" width="36" style="9" customWidth="1"/>
    <col min="15106" max="15106" width="11.33203125" style="9" bestFit="1" customWidth="1"/>
    <col min="15107" max="15123" width="10" style="9" customWidth="1"/>
    <col min="15124" max="15124" width="9.33203125" style="9" customWidth="1"/>
    <col min="15125" max="15125" width="8.5546875" style="9" customWidth="1"/>
    <col min="15126" max="15126" width="10.44140625" style="9" customWidth="1"/>
    <col min="15127" max="15360" width="3.6640625" style="9"/>
    <col min="15361" max="15361" width="36" style="9" customWidth="1"/>
    <col min="15362" max="15362" width="11.33203125" style="9" bestFit="1" customWidth="1"/>
    <col min="15363" max="15379" width="10" style="9" customWidth="1"/>
    <col min="15380" max="15380" width="9.33203125" style="9" customWidth="1"/>
    <col min="15381" max="15381" width="8.5546875" style="9" customWidth="1"/>
    <col min="15382" max="15382" width="10.44140625" style="9" customWidth="1"/>
    <col min="15383" max="15616" width="3.6640625" style="9"/>
    <col min="15617" max="15617" width="36" style="9" customWidth="1"/>
    <col min="15618" max="15618" width="11.33203125" style="9" bestFit="1" customWidth="1"/>
    <col min="15619" max="15635" width="10" style="9" customWidth="1"/>
    <col min="15636" max="15636" width="9.33203125" style="9" customWidth="1"/>
    <col min="15637" max="15637" width="8.5546875" style="9" customWidth="1"/>
    <col min="15638" max="15638" width="10.44140625" style="9" customWidth="1"/>
    <col min="15639" max="15872" width="3.6640625" style="9"/>
    <col min="15873" max="15873" width="36" style="9" customWidth="1"/>
    <col min="15874" max="15874" width="11.33203125" style="9" bestFit="1" customWidth="1"/>
    <col min="15875" max="15891" width="10" style="9" customWidth="1"/>
    <col min="15892" max="15892" width="9.33203125" style="9" customWidth="1"/>
    <col min="15893" max="15893" width="8.5546875" style="9" customWidth="1"/>
    <col min="15894" max="15894" width="10.44140625" style="9" customWidth="1"/>
    <col min="15895" max="16128" width="3.6640625" style="9"/>
    <col min="16129" max="16129" width="36" style="9" customWidth="1"/>
    <col min="16130" max="16130" width="11.33203125" style="9" bestFit="1" customWidth="1"/>
    <col min="16131" max="16147" width="10" style="9" customWidth="1"/>
    <col min="16148" max="16148" width="9.33203125" style="9" customWidth="1"/>
    <col min="16149" max="16149" width="8.5546875" style="9" customWidth="1"/>
    <col min="16150" max="16150" width="10.44140625" style="9" customWidth="1"/>
    <col min="16151" max="16384" width="3.6640625" style="9"/>
  </cols>
  <sheetData>
    <row r="1" spans="1:23" x14ac:dyDescent="0.25">
      <c r="A1" s="16" t="s">
        <v>171</v>
      </c>
    </row>
    <row r="2" spans="1:23" x14ac:dyDescent="0.25">
      <c r="A2" s="27" t="s">
        <v>164</v>
      </c>
    </row>
    <row r="3" spans="1:23" s="20" customFormat="1" ht="13.2" x14ac:dyDescent="0.25">
      <c r="A3" s="26"/>
      <c r="B3" s="25">
        <v>2000</v>
      </c>
      <c r="C3" s="25">
        <v>2001</v>
      </c>
      <c r="D3" s="25">
        <v>2002</v>
      </c>
      <c r="E3" s="25">
        <v>2003</v>
      </c>
      <c r="F3" s="25">
        <v>2004</v>
      </c>
      <c r="G3" s="25">
        <v>2005</v>
      </c>
      <c r="H3" s="25">
        <v>2006</v>
      </c>
      <c r="I3" s="25">
        <v>2007</v>
      </c>
      <c r="J3" s="25">
        <v>2008</v>
      </c>
      <c r="K3" s="25">
        <v>2009</v>
      </c>
      <c r="L3" s="25">
        <v>2010</v>
      </c>
      <c r="M3" s="25">
        <v>2011</v>
      </c>
      <c r="N3" s="25">
        <v>2012</v>
      </c>
      <c r="O3" s="25">
        <v>2013</v>
      </c>
      <c r="P3" s="25">
        <v>2014</v>
      </c>
      <c r="Q3" s="25">
        <v>2015</v>
      </c>
      <c r="R3" s="25">
        <v>2016</v>
      </c>
      <c r="S3" s="25">
        <v>2017</v>
      </c>
      <c r="T3" s="25">
        <v>2018</v>
      </c>
      <c r="U3" s="25">
        <v>2019</v>
      </c>
      <c r="V3" s="25">
        <v>2020</v>
      </c>
      <c r="W3" s="25">
        <v>2021</v>
      </c>
    </row>
    <row r="4" spans="1:23" s="20" customFormat="1" ht="13.2" x14ac:dyDescent="0.25">
      <c r="A4" s="24" t="s">
        <v>163</v>
      </c>
      <c r="B4" s="23">
        <v>8.8868669212738691</v>
      </c>
      <c r="C4" s="23">
        <v>9.3614651610252348</v>
      </c>
      <c r="D4" s="23">
        <v>9.8872664364863141</v>
      </c>
      <c r="E4" s="23">
        <v>10.053731479623885</v>
      </c>
      <c r="F4" s="23">
        <v>10.180078339578458</v>
      </c>
      <c r="G4" s="23">
        <v>10.94269376019613</v>
      </c>
      <c r="H4" s="23">
        <v>11.491063758627597</v>
      </c>
      <c r="I4" s="23">
        <v>11.907834723274512</v>
      </c>
      <c r="J4" s="23">
        <v>12.345554339705423</v>
      </c>
      <c r="K4" s="23">
        <v>12.351151577126309</v>
      </c>
      <c r="L4" s="23">
        <v>12.394313764470194</v>
      </c>
      <c r="M4" s="23">
        <v>12.6028872910753</v>
      </c>
      <c r="N4" s="23">
        <v>12.615409671147821</v>
      </c>
      <c r="O4" s="23">
        <v>12.89995508984887</v>
      </c>
      <c r="P4" s="23">
        <v>12.600043235847487</v>
      </c>
      <c r="Q4" s="23">
        <v>12.566034176874011</v>
      </c>
      <c r="R4" s="23">
        <v>12.635391940996648</v>
      </c>
      <c r="S4" s="23">
        <v>13.313375688703507</v>
      </c>
      <c r="T4" s="23">
        <v>13.411732026537427</v>
      </c>
      <c r="U4" s="23">
        <v>13.775036376393054</v>
      </c>
      <c r="V4" s="23">
        <v>13.135324631664695</v>
      </c>
      <c r="W4" s="23">
        <v>14.068810390727471</v>
      </c>
    </row>
    <row r="5" spans="1:23" s="20" customFormat="1" ht="13.2" x14ac:dyDescent="0.25">
      <c r="A5" s="24" t="s">
        <v>162</v>
      </c>
      <c r="B5" s="23">
        <v>0.2641038282243493</v>
      </c>
      <c r="C5" s="23">
        <v>0.30005740248664448</v>
      </c>
      <c r="D5" s="23">
        <v>0.30530609352770044</v>
      </c>
      <c r="E5" s="23">
        <v>0.3267705193597279</v>
      </c>
      <c r="F5" s="23">
        <v>0.37267681360392735</v>
      </c>
      <c r="G5" s="23">
        <v>0.54043311119831583</v>
      </c>
      <c r="H5" s="23">
        <v>0.79863837582572561</v>
      </c>
      <c r="I5" s="23">
        <v>0.80747827186849153</v>
      </c>
      <c r="J5" s="23">
        <v>0.93535874499312177</v>
      </c>
      <c r="K5" s="23">
        <v>0.83114269596419077</v>
      </c>
      <c r="L5" s="23">
        <v>0.81138382194803182</v>
      </c>
      <c r="M5" s="23">
        <v>0.80517503858796113</v>
      </c>
      <c r="N5" s="23">
        <v>0.83584778715589581</v>
      </c>
      <c r="O5" s="23">
        <v>0.79007078912186601</v>
      </c>
      <c r="P5" s="23">
        <v>0.72854342432320063</v>
      </c>
      <c r="Q5" s="23">
        <v>0.78205287358446285</v>
      </c>
      <c r="R5" s="23">
        <v>0.68395779371779208</v>
      </c>
      <c r="S5" s="23">
        <v>0.96961726958695627</v>
      </c>
      <c r="T5" s="23">
        <v>1.2659705124658613</v>
      </c>
      <c r="U5" s="23">
        <v>1.3971870748247717</v>
      </c>
      <c r="V5" s="23">
        <v>1.2825653670213357</v>
      </c>
      <c r="W5" s="23">
        <v>1.2645926812079962</v>
      </c>
    </row>
    <row r="6" spans="1:23" s="20" customFormat="1" ht="13.2" x14ac:dyDescent="0.25">
      <c r="A6" s="24" t="s">
        <v>161</v>
      </c>
      <c r="B6" s="23">
        <v>0.20875513762459655</v>
      </c>
      <c r="C6" s="23">
        <v>0.28319989715867888</v>
      </c>
      <c r="D6" s="23">
        <v>0.37663788806121962</v>
      </c>
      <c r="E6" s="23">
        <v>0.45804740087668788</v>
      </c>
      <c r="F6" s="23">
        <v>0.52010448622711447</v>
      </c>
      <c r="G6" s="23">
        <v>0.47005881056320092</v>
      </c>
      <c r="H6" s="23">
        <v>0.53133171996368866</v>
      </c>
      <c r="I6" s="23">
        <v>0.61532254128409225</v>
      </c>
      <c r="J6" s="23">
        <v>0.5958158682646264</v>
      </c>
      <c r="K6" s="23">
        <v>0.5524234203301287</v>
      </c>
      <c r="L6" s="23">
        <v>0.58617238826331008</v>
      </c>
      <c r="M6" s="23">
        <v>0.60732827327815353</v>
      </c>
      <c r="N6" s="23">
        <v>0.68706705620437647</v>
      </c>
      <c r="O6" s="23">
        <v>0.7208521549816288</v>
      </c>
      <c r="P6" s="23">
        <v>0.65503546906551036</v>
      </c>
      <c r="Q6" s="23">
        <v>0.66989545572112319</v>
      </c>
      <c r="R6" s="23">
        <v>0.75717517770807974</v>
      </c>
      <c r="S6" s="23">
        <v>0.76553295267518784</v>
      </c>
      <c r="T6" s="23">
        <v>0.82207307323546941</v>
      </c>
      <c r="U6" s="23">
        <v>0.93068091224189642</v>
      </c>
      <c r="V6" s="23">
        <v>0.89339560157879849</v>
      </c>
      <c r="W6" s="23">
        <v>0.96456621356124372</v>
      </c>
    </row>
    <row r="7" spans="1:23" s="20" customFormat="1" ht="13.2" x14ac:dyDescent="0.25">
      <c r="A7" s="22" t="s">
        <v>160</v>
      </c>
      <c r="B7" s="21">
        <f>SUM(B4:B6)</f>
        <v>9.3597258871228153</v>
      </c>
      <c r="C7" s="21">
        <f>SUM(C4:C6)</f>
        <v>9.9447224606705582</v>
      </c>
      <c r="D7" s="21">
        <f>SUM(D4:D6)</f>
        <v>10.569210418075235</v>
      </c>
      <c r="E7" s="21">
        <f>SUM(E4:E6)</f>
        <v>10.8385493998603</v>
      </c>
      <c r="F7" s="21">
        <f>SUM(F4:F6)</f>
        <v>11.072859639409501</v>
      </c>
      <c r="G7" s="21">
        <f>SUM(G4:G6)</f>
        <v>11.953185681957647</v>
      </c>
      <c r="H7" s="21">
        <f>SUM(H4:H6)</f>
        <v>12.82103385441701</v>
      </c>
      <c r="I7" s="21">
        <f>SUM(I4:I6)</f>
        <v>13.330635536427096</v>
      </c>
      <c r="J7" s="21">
        <f>SUM(J4:J6)</f>
        <v>13.876728952963171</v>
      </c>
      <c r="K7" s="21">
        <f>SUM(K4:K6)</f>
        <v>13.734717693420629</v>
      </c>
      <c r="L7" s="21">
        <f>SUM(L4:L6)</f>
        <v>13.791869974681537</v>
      </c>
      <c r="M7" s="21">
        <f>SUM(M4:M6)</f>
        <v>14.015390602941414</v>
      </c>
      <c r="N7" s="21">
        <f>SUM(N4:N6)</f>
        <v>14.138324514508094</v>
      </c>
      <c r="O7" s="21">
        <f>SUM(O4:O6)</f>
        <v>14.410878033952365</v>
      </c>
      <c r="P7" s="21">
        <f>SUM(P4:P6)</f>
        <v>13.983622129236197</v>
      </c>
      <c r="Q7" s="21">
        <f>SUM(Q4:Q6)</f>
        <v>14.017982506179598</v>
      </c>
      <c r="R7" s="21">
        <f>SUM(R4:R6)</f>
        <v>14.076524912422519</v>
      </c>
      <c r="S7" s="21">
        <f>SUM(S4:S6)</f>
        <v>15.048525910965651</v>
      </c>
      <c r="T7" s="21">
        <f>SUM(T4:T6)</f>
        <v>15.499775612238757</v>
      </c>
      <c r="U7" s="21">
        <f>SUM(U4:U6)</f>
        <v>16.102904363459722</v>
      </c>
      <c r="V7" s="21">
        <f>SUM(V4:V6)</f>
        <v>15.31128560026483</v>
      </c>
      <c r="W7" s="21">
        <f>SUM(W4:W6)</f>
        <v>16.297969285496713</v>
      </c>
    </row>
    <row r="8" spans="1:23" x14ac:dyDescent="0.25">
      <c r="A8" s="19" t="s">
        <v>159</v>
      </c>
    </row>
    <row r="9" spans="1:23" x14ac:dyDescent="0.25">
      <c r="A9" s="19" t="s">
        <v>158</v>
      </c>
    </row>
    <row r="10" spans="1:23" x14ac:dyDescent="0.25">
      <c r="A10" s="18" t="s">
        <v>157</v>
      </c>
    </row>
    <row r="11" spans="1:23" x14ac:dyDescent="0.25">
      <c r="A11" s="17"/>
    </row>
    <row r="12" spans="1:23" x14ac:dyDescent="0.25">
      <c r="A12" s="16"/>
    </row>
    <row r="13" spans="1:23" x14ac:dyDescent="0.25">
      <c r="A13" s="16"/>
    </row>
    <row r="14" spans="1:23" x14ac:dyDescent="0.25">
      <c r="A14" s="16"/>
    </row>
    <row r="15" spans="1:23" x14ac:dyDescent="0.25">
      <c r="A15" s="16"/>
    </row>
    <row r="16" spans="1:23" x14ac:dyDescent="0.25">
      <c r="A16" s="16"/>
    </row>
    <row r="22" spans="1:20" ht="14.4" x14ac:dyDescent="0.3">
      <c r="A22" s="1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20" x14ac:dyDescent="0.25">
      <c r="M23" s="14"/>
      <c r="S23" s="14"/>
    </row>
    <row r="24" spans="1:20" x14ac:dyDescent="0.25">
      <c r="M24" s="14"/>
      <c r="S24" s="14"/>
    </row>
    <row r="25" spans="1:20" x14ac:dyDescent="0.25">
      <c r="S25" s="14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x14ac:dyDescent="0.25">
      <c r="A27" s="12"/>
    </row>
    <row r="30" spans="1:20" x14ac:dyDescent="0.25">
      <c r="A30" s="11"/>
    </row>
    <row r="56" spans="1:1" ht="14.4" x14ac:dyDescent="0.3">
      <c r="A56" s="10"/>
    </row>
    <row r="57" spans="1:1" ht="14.4" x14ac:dyDescent="0.3">
      <c r="A57" s="10"/>
    </row>
    <row r="58" spans="1:1" ht="14.4" x14ac:dyDescent="0.3">
      <c r="A58" s="10"/>
    </row>
  </sheetData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Sommaire</vt:lpstr>
      <vt:lpstr>Indice_Nitrate_ESO_FM</vt:lpstr>
      <vt:lpstr>données graph 4, 5 et 6</vt:lpstr>
      <vt:lpstr>Graphique 4</vt:lpstr>
      <vt:lpstr>Graphique 5</vt:lpstr>
      <vt:lpstr>Graphique 6</vt:lpstr>
      <vt:lpstr>Graphique 7</vt:lpstr>
      <vt:lpstr>Graphique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irenee.joassard</dc:creator>
  <cp:lastModifiedBy>DUMAS Morgane</cp:lastModifiedBy>
  <dcterms:created xsi:type="dcterms:W3CDTF">2023-12-08T10:30:37Z</dcterms:created>
  <dcterms:modified xsi:type="dcterms:W3CDTF">2024-01-15T10:11:57Z</dcterms:modified>
</cp:coreProperties>
</file>