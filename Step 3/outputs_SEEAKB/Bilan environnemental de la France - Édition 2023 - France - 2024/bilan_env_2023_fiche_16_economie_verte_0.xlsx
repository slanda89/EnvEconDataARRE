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_ranger_sous_m\fiches_bilan_env_2023\vladimir_Fiche 16_Economie verte\"/>
    </mc:Choice>
  </mc:AlternateContent>
  <bookViews>
    <workbookView xWindow="28680" yWindow="-120" windowWidth="29040" windowHeight="15840"/>
  </bookViews>
  <sheets>
    <sheet name="Tableau 1" sheetId="6" r:id="rId1"/>
    <sheet name="graphique 1" sheetId="5" r:id="rId2"/>
    <sheet name="graphique 2" sheetId="1" r:id="rId3"/>
    <sheet name="Données" sheetId="4" r:id="rId4"/>
    <sheet name="graphique 3 " sheetId="8" r:id="rId5"/>
    <sheet name="Tableau 2 " sheetId="9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Lisez_moi">OFFSET([0]!po,#REF!,0)</definedName>
    <definedName name="ad">OFFSET(po,#REF!,0)</definedName>
    <definedName name="AxeF1">OFFSET('[1]Figure 1'!$A$2,0,0,COUNTIF('[1]Figure 1'!$A$2:$A$250,"&lt;&gt;NA"),1)</definedName>
    <definedName name="AxeF4">OFFSET('[1]Figure 4'!$A$2,0,0,COUNTIF('[1]Figure 4'!$A$2:$A$307,"&lt;&gt;NA"),1)</definedName>
    <definedName name="AxeF5">OFFSET('[1]Figure 5'!$A$2,0,0,COUNTIF('[1]Figure 5'!$A$2:$A$250,"&lt;&gt;NA"),1)</definedName>
    <definedName name="bilan_circ">#REF!</definedName>
    <definedName name="bilan_dep">#REF!</definedName>
    <definedName name="bilan_dep_a17_secret">#REF!</definedName>
    <definedName name="bilan_dep_taille_ent">#REF!</definedName>
    <definedName name="bilan_dep_taille_ent_NM">#REF!</definedName>
    <definedName name="bilan_dep_taille_etab">#REF!</definedName>
    <definedName name="bilan_dep_taille_etab_NM">#REF!</definedName>
    <definedName name="bilan_depot">#REF!</definedName>
    <definedName name="bilan_motif">#REF!</definedName>
    <definedName name="bilan_naf17">#REF!</definedName>
    <definedName name="bilan_naf38">#REF!</definedName>
    <definedName name="bilan_naf88">#REF!</definedName>
    <definedName name="bilan_reg">#REF!</definedName>
    <definedName name="bilan_REV2">#REF!</definedName>
    <definedName name="bilan_statut">#REF!</definedName>
    <definedName name="bilan_taille_ent">#REF!</definedName>
    <definedName name="bilan_taille_ent_b">#REF!</definedName>
    <definedName name="bilan_taille_etab">#REF!</definedName>
    <definedName name="bilan_taille_etab_b">#REF!</definedName>
    <definedName name="blabla">#REF!</definedName>
    <definedName name="brute">#REF!</definedName>
    <definedName name="choix">OFFSET(periode,#REF!,0)</definedName>
    <definedName name="choix_mesure">OFFSET(periode,#REF!,0)</definedName>
    <definedName name="choix_mesure2">OFFSET(periode,#REF!,0)</definedName>
    <definedName name="Cout_mh_avril_0J">INDEX([1]Data!$A$4:$SG$3992,MATCH(DATE(YEAR(date_ref),MONTH(date_ref),DAY(date_ref)- "0"),[1]Data!$A$4:$A$3992,0),MATCH("Cout_mh_avril",[1]Data!$A$3:$SG$3,0))</definedName>
    <definedName name="Cout_mh_mai_0J">INDEX([1]Data!$A$4:$SG$4000,MATCH(DATE(YEAR(date_ref),MONTH(date_ref),DAY(date_ref)- "0"),[1]Data!$A$4:$A$4000,0),MATCH("Cout_mh_mai",[1]Data!$A$3:$SG$3,0))</definedName>
    <definedName name="Cout_mh_mars_0J">INDEX([1]Data!$A$4:$SG$3992,MATCH(DATE(YEAR(date_ref),MONTH(date_ref),DAY(date_ref)- "0"),[1]Data!$A$4:$A$3992,0),MATCH("Cout_mh_mars",[1]Data!$A$3:$SG$3,0))</definedName>
    <definedName name="CVS_DUR">[2]données_graph1!#REF!</definedName>
    <definedName name="cvscjo">#REF!</definedName>
    <definedName name="DAP_avril_0J">INDEX([1]Data!$A$4:$SG$3992,MATCH(DATE(YEAR(date_ref),MONTH(date_ref),DAY(date_ref)- "0"),[1]Data!$A$4:$A$3992,0),MATCH("DAP_avril",[1]Data!$A$3:$SG$3,0))</definedName>
    <definedName name="DAP_mai_0J">INDEX([1]Data!$A$4:$SG$4000,MATCH(DATE(YEAR(date_ref),MONTH(date_ref),DAY(date_ref)- "0"),[1]Data!$A$4:$A$4000,0),MATCH("DAP_mai",[1]Data!$A$3:$SG$3,0))</definedName>
    <definedName name="DAP_mars_0J">INDEX([1]Data!$A$4:$SG$3992,MATCH(DATE(YEAR(date_ref),MONTH(date_ref),DAY(date_ref)- "0"),[1]Data!$A$4:$A$3992,0),MATCH("DAP_mars",[1]Data!$A$3:$SG$3,0))</definedName>
    <definedName name="date_ref">OFFSET([1]Listes!$A$6,[1]Calculs!$B$2,0)</definedName>
    <definedName name="defmABCDE_0T">INDEX([1]Data!$A$4:$SG$3978,MATCH(DATE(YEAR(date_ref),MONTH(date_ref)- "0",DAY(date_ref)),[1]Data!$A$4:$A$3978,0),MATCH("defmABCDE",[1]Data!$A$3:$SG$3,0))</definedName>
    <definedName name="DI_avril_0J">INDEX([1]Data!$A$4:$SG$3992,MATCH(DATE(YEAR(date_ref),MONTH(date_ref),DAY(date_ref)- "0"),[1]Data!$A$4:$A$3992,0),MATCH("DI_avril",[1]Data!$A$3:$SG$3,0))</definedName>
    <definedName name="DI_avril_val_0J">INDEX([1]Data!$A$4:$SG$3992,MATCH(DATE(YEAR(date_ref),MONTH(date_ref),DAY(date_ref)- "0"),[1]Data!$A$4:$A$3992,0),MATCH("DI_avril_val",[1]Data!$A$3:$SG$3,0))</definedName>
    <definedName name="DI_mai_0J">INDEX([1]Data!$A$4:$SG$4000,MATCH(DATE(YEAR(date_ref),MONTH(date_ref),DAY(date_ref)- "0"),[1]Data!$A$4:$A$4000,0),MATCH("DI_mai",[1]Data!$A$3:$SG$3,0))</definedName>
    <definedName name="DI_mai_val_0J">INDEX([1]Data!$A$4:$SG$4000,MATCH(DATE(YEAR(date_ref),MONTH(date_ref),DAY(date_ref)- "0"),[1]Data!$A$4:$A$4000,0),MATCH("DI_mai_val",[1]Data!$A$3:$SG$3,0))</definedName>
    <definedName name="DI_mars_0J">INDEX([1]Data!$A$4:$SG$3992,MATCH(DATE(YEAR(date_ref),MONTH(date_ref),DAY(date_ref)- "0"),[1]Data!$A$4:$A$3992,0),MATCH("DI_mars",[1]Data!$A$3:$SG$3,0))</definedName>
    <definedName name="DI_mars_val_0J">INDEX([1]Data!$A$4:$SG$3992,MATCH(DATE(YEAR(date_ref),MONTH(date_ref),DAY(date_ref)- "0"),[1]Data!$A$4:$A$3992,0),MATCH("DI_mars_val",[1]Data!$A$3:$SG$3,0))</definedName>
    <definedName name="DI_ul_avril_0J">INDEX([1]Data!$A$4:$SG$3992,MATCH(DATE(YEAR(date_ref),MONTH(date_ref),DAY(date_ref)- "0"),[1]Data!$A$4:$A$3992,0),MATCH("DI_ul_avril",[1]Data!$A$3:$SG$3,0))</definedName>
    <definedName name="DI_ul_mai_0J">INDEX([1]Data!$A$4:$SG$4000,MATCH(DATE(YEAR(date_ref),MONTH(date_ref),DAY(date_ref)- "0"),[1]Data!$A$4:$A$4000,0),MATCH("DI_ul_mai",[1]Data!$A$3:$SG$3,0))</definedName>
    <definedName name="DI_ul_mars_0J">INDEX([1]Data!$A$4:$SG$3992,MATCH(DATE(YEAR(date_ref),MONTH(date_ref),DAY(date_ref)- "0"),[1]Data!$A$4:$A$3992,0),MATCH("DI_ul_mars",[1]Data!$A$3:$SG$3,0))</definedName>
    <definedName name="Eff_DAP_att_0J">INDEX([1]Data!$A$4:$SG$3991,MATCH(DATE(YEAR(date_ref),MONTH(date_ref),DAY(date_ref)- "0"),[1]Data!$A$4:$A$3991,0),MATCH("Eff_DAP_att",[1]Data!$A$3:$SG$3,0))</definedName>
    <definedName name="Eff_DAP_avril_0J">INDEX([1]Data!$A$4:$SG$3992,MATCH(DATE(YEAR(date_ref),MONTH(date_ref),DAY(date_ref)- "0"),[1]Data!$A$4:$A$3992,0),MATCH("Eff_DAP_avril",[1]Data!$A$3:$SG$3,0))</definedName>
    <definedName name="Eff_DAP_cumul_0J">INDEX([1]Data!$A$4:$SG$3991,MATCH(DATE(YEAR(date_ref),MONTH(date_ref),DAY(date_ref)- "0"),[1]Data!$A$4:$A$3991,0),MATCH("Eff_DAP_cumul",[1]Data!$A$3:$SG$3,0))</definedName>
    <definedName name="Eff_DAP_mai_0J">INDEX([1]Data!$A$4:$SG$4000,MATCH(DATE(YEAR(date_ref),MONTH(date_ref),DAY(date_ref)- "0"),[1]Data!$A$4:$A$4000,0),MATCH("Eff_DAP_mai",[1]Data!$A$3:$SG$3,0))</definedName>
    <definedName name="Eff_DAP_mars_0J">INDEX([1]Data!$A$4:$SG$3992,MATCH(DATE(YEAR(date_ref),MONTH(date_ref),DAY(date_ref)- "0"),[1]Data!$A$4:$A$3992,0),MATCH("Eff_DAP_mars",[1]Data!$A$3:$SG$3,0))</definedName>
    <definedName name="Eff_DAP_poss_0J">INDEX([1]Data!$A$4:$SG$3991,MATCH(DATE(YEAR(date_ref),MONTH(date_ref),DAY(date_ref)- "0"),[1]Data!$A$4:$A$3991,0),MATCH("Eff_DAP_poss",[1]Data!$A$3:$SG$3,0))</definedName>
    <definedName name="Eff_DAP_r11_0J">INDEX([1]Data!$A$4:$SG$3991,MATCH(DATE(YEAR(date_ref),MONTH(date_ref),DAY(date_ref)- "0"),[1]Data!$A$4:$A$3991,0),MATCH("Eff_DAP_r11",[1]Data!$A$3:$SG$3,0))</definedName>
    <definedName name="Eff_DAP_r84_0J">INDEX([1]Data!$A$4:$SG$3991,MATCH(DATE(YEAR(date_ref),MONTH(date_ref),DAY(date_ref)- "0"),[1]Data!$A$4:$A$3991,0),MATCH("Eff_DAP_r84",[1]Data!$A$3:$SG$3,0))</definedName>
    <definedName name="Eff_DAP_refu_0J">INDEX([1]Data!$A$4:$SG$3991,MATCH(DATE(YEAR(date_ref),MONTH(date_ref),DAY(date_ref)- "0"),[1]Data!$A$4:$A$3991,0),MATCH("Eff_DAP_refu",[1]Data!$A$3:$SG$3,0))</definedName>
    <definedName name="Eff_DI_avril_0J">INDEX([1]Data!$A$4:$SG$3992,MATCH(DATE(YEAR(date_ref),MONTH(date_ref),DAY(date_ref)- "0"),[1]Data!$A$4:$A$3992,0),MATCH("Eff_DI_avril",[1]Data!$A$3:$SG$3,0))</definedName>
    <definedName name="Eff_DI_mai_0J">INDEX([1]Data!$A$4:$SG$4000,MATCH(DATE(YEAR(date_ref),MONTH(date_ref),DAY(date_ref)- "0"),[1]Data!$A$4:$A$4000,0),MATCH("Eff_DI_mai",[1]Data!$A$3:$SG$3,0))</definedName>
    <definedName name="Eff_DI_mars_0J">INDEX([1]Data!$A$4:$SG$3991,MATCH(DATE(YEAR(date_ref),MONTH(date_ref),DAY(date_ref)- "0"),[1]Data!$A$4:$A$3991,0),MATCH("Eff_DI_mars",[1]Data!$A$3:$SG$3,0))</definedName>
    <definedName name="Eff_DI_r11_avril_0J">INDEX([1]Data!$A$4:$SG$3992,MATCH(DATE(YEAR(date_ref),MONTH(date_ref),DAY(date_ref)- "0"),[1]Data!$A$4:$A$3992,0),MATCH("Eff_DI_r11_avril",[1]Data!$A$3:$SG$3,0))</definedName>
    <definedName name="Eff_DI_r11_mai_0J">INDEX([1]Data!$A$4:$SG$4000,MATCH(DATE(YEAR(date_ref),MONTH(date_ref),DAY(date_ref)- "0"),[1]Data!$A$4:$A$4000,0),MATCH("Eff_DI_r11_mai",[1]Data!$A$3:$SG$3,0))</definedName>
    <definedName name="Eff_DI_r11_mars_0J">INDEX([1]Data!$A$4:$SG$3992,MATCH(DATE(YEAR(date_ref),MONTH(date_ref),DAY(date_ref)- "0"),[1]Data!$A$4:$A$3992,0),MATCH("Eff_DI_r11_mars",[1]Data!$A$3:$SG$3,0))</definedName>
    <definedName name="Eff_DI_r84_avril_0J">INDEX([1]Data!$A$4:$SG$3992,MATCH(DATE(YEAR(date_ref),MONTH(date_ref),DAY(date_ref)- "0"),[1]Data!$A$4:$A$3992,0),MATCH("Eff_DI_r84_avril",[1]Data!$A$3:$SG$3,0))</definedName>
    <definedName name="Eff_DI_r84_mai_0J">INDEX([1]Data!$A$4:$SG$4000,MATCH(DATE(YEAR(date_ref),MONTH(date_ref),DAY(date_ref)- "0"),[1]Data!$A$4:$A$4000,0),MATCH("Eff_DI_r84_mai",[1]Data!$A$3:$SG$3,0))</definedName>
    <definedName name="Eff_DI_r84_mars_0J">INDEX([1]Data!$A$4:$SG$3992,MATCH(DATE(YEAR(date_ref),MONTH(date_ref),DAY(date_ref)- "0"),[1]Data!$A$4:$A$3992,0),MATCH("Eff_DI_r84_mars",[1]Data!$A$3:$SG$3,0))</definedName>
    <definedName name="env_0">[3]prevision!$E$5</definedName>
    <definedName name="env_1">[3]prevision!$E$6</definedName>
    <definedName name="env_2">[3]prevision!$E$7</definedName>
    <definedName name="env_3">[3]prevision!$E$8</definedName>
    <definedName name="env_4">[3]prevision!$E$9</definedName>
    <definedName name="env_5">[3]prevision!$E$10</definedName>
    <definedName name="Evo_Eff_DAP_poss_0J">INDEX([1]Data!$A$4:$SG$3992,MATCH(DATE(YEAR(date_ref),MONTH(date_ref),DAY(date_ref)- "0"),[1]Data!$A$4:$A$3992,0),MATCH("Evo_Eff_DAP_poss",[1]Data!$A$3:$SG$3,0))</definedName>
    <definedName name="ff">OFFSET([0]!periode,#REF!,0)</definedName>
    <definedName name="fig">OFFSET(periode,#REF!,0)</definedName>
    <definedName name="figure">#REF!</definedName>
    <definedName name="frijzijizj">#REF!</definedName>
    <definedName name="fsd">OFFSET(po,#REF!,0)</definedName>
    <definedName name="graph">#REF!</definedName>
    <definedName name="grenouille">#REF!</definedName>
    <definedName name="H_par_par_sal_0J">INDEX([1]Data!$A$4:$SG$3991,MATCH(DATE(YEAR(date_ref),MONTH(date_ref),DAY(date_ref)- "0"),[1]Data!$A$4:$A$3991,0),MATCH("H_par_par_sal",[1]Data!$A$3:$SG$3,0))</definedName>
    <definedName name="Heur_DAP_cumul_0J">INDEX([1]Data!$A$4:$SG$3991,MATCH(DATE(YEAR(date_ref),MONTH(date_ref),DAY(date_ref)- "0"),[1]Data!$A$4:$A$3991,0),MATCH("Heur_DAP_cumul",[1]Data!$A$3:$SG$3,0))</definedName>
    <definedName name="Heur_DI_avril_0J">INDEX([1]Data!$A$4:$SG$3992,MATCH(DATE(YEAR(date_ref),MONTH(date_ref),DAY(date_ref)- "0"),[1]Data!$A$4:$A$3992,0),MATCH("Heur_DI_avril",[1]Data!$A$3:$SG$3,0))</definedName>
    <definedName name="Heur_DI_avril_val_0J">INDEX([1]Data!$A$4:$SG$3992,MATCH(DATE(YEAR(date_ref),MONTH(date_ref),DAY(date_ref)- "0"),[1]Data!$A$4:$A$3992,0),MATCH("Heur_DI_avril_val",[1]Data!$A$3:$SG$3,0))</definedName>
    <definedName name="Heur_DI_mai_0J">INDEX([1]Data!$A$4:$SG$4000,MATCH(DATE(YEAR(date_ref),MONTH(date_ref),DAY(date_ref)- "0"),[1]Data!$A$4:$A$4000,0),MATCH("Heur_DI_mai",[1]Data!$A$3:$SG$3,0))</definedName>
    <definedName name="Heur_DI_mai_val_0J">INDEX([1]Data!$A$4:$SG$4000,MATCH(DATE(YEAR(date_ref),MONTH(date_ref),DAY(date_ref)- "0"),[1]Data!$A$4:$A$4000,0),MATCH("Heur_DI_mai_val",[1]Data!$A$3:$SG$3,0))</definedName>
    <definedName name="Heur_DI_mars_0J">INDEX([1]Data!$A$4:$SG$3992,MATCH(DATE(YEAR(date_ref),MONTH(date_ref),DAY(date_ref)- "0"),[1]Data!$A$4:$A$3992,0),MATCH("Heur_DI_mars",[1]Data!$A$3:$SG$3,0))</definedName>
    <definedName name="Heur_DI_mars_val_0J">INDEX([1]Data!$A$4:$SG$3992,MATCH(DATE(YEAR(date_ref),MONTH(date_ref),DAY(date_ref)- "0"),[1]Data!$A$4:$A$3992,0),MATCH("Heur_DI_mars_val",[1]Data!$A$3:$SG$3,0))</definedName>
    <definedName name="hh">[4]données_graph1!#REF!</definedName>
    <definedName name="ii">#REF!</definedName>
    <definedName name="in">#REF!</definedName>
    <definedName name="Interim_trimcvs">#REF!</definedName>
    <definedName name="Lag">[1]Calculs!$B$5-1</definedName>
    <definedName name="liste_Adj">OFFSET([1]Listes!$N$7,0,0,COUNTA([1]Listes!$N$7:$N$1001),1)</definedName>
    <definedName name="liste_date">OFFSET([1]Listes!$A$7,0,0,994-COUNTIF([1]Listes!$A:$A,0),1)</definedName>
    <definedName name="liste_date_stat">OFFSET([1]Listes!$B$7,0,0,COUNTA([1]Listes!$B$7:$B$1003),1)</definedName>
    <definedName name="liste_form_date">OFFSET([1]Listes!$D$7,0,[1]Calculs!$B$3,COUNTIF(OFFSET([1]Listes!$D$7:$D$1000,0,[1]Calculs!$B$3),"&lt;&gt;0")-COUNTBLANK(OFFSET([1]Listes!$D$7:$D$1000,0,[1]Calculs!$B$3)))</definedName>
    <definedName name="liste_format">OFFSET([1]Listes!$M$7,0,0,COUNTA([1]Listes!$M$7:$M$1003),1)</definedName>
    <definedName name="liste_format_nb">IF([1]Calculs!$D$5&gt;9,[1]Listes!$L$7:$L$11,OFFSET([1]Listes!$M$7,0,0,COUNTA([1]Listes!$M$7:$M$1003),1))</definedName>
    <definedName name="liste_gp">OFFSET([1]Calculs!$B$21,0,0,[1]Calculs!$F$20)</definedName>
    <definedName name="liste_Obj">OFFSET([1]Calculs!$M$4,0,0,COUNTA([1]Calculs!$M2:$M998)-1,1)</definedName>
    <definedName name="liste_ss_gp">OFFSET([1]Calculs!$T$4,0,[1]Calculs!$D$4,OFFSET([1]Calculs!$T$2,0,[1]Calculs!$D$4))</definedName>
    <definedName name="liste_txt">OFFSET([1]Listes!$O$7,0,0,COUNTA([1]Listes!$O$7:$O$1001),1)</definedName>
    <definedName name="liste_var">OFFSET([1]Listes!$I$7,0,0,994-COUNTIF([1]Listes!$I:$I,0),1)</definedName>
    <definedName name="mesure">#REF!</definedName>
    <definedName name="Montan_DI_avril_val_0J">INDEX([1]Data!$A$4:$SG$3992,MATCH(DATE(YEAR(date_ref),MONTH(date_ref),DAY(date_ref)- "0"),[1]Data!$A$4:$A$3992,0),MATCH("Montan_DI_avril_val",[1]Data!$A$3:$SG$3,0))</definedName>
    <definedName name="Montan_DI_mai_val_0J">INDEX([1]Data!$A$4:$SG$4000,MATCH(DATE(YEAR(date_ref),MONTH(date_ref),DAY(date_ref)- "0"),[1]Data!$A$4:$A$4000,0),MATCH("Montan_DI_mai_val",[1]Data!$A$3:$SG$3,0))</definedName>
    <definedName name="Montan_DI_mars_val_0J">INDEX([1]Data!$A$4:$SG$3992,MATCH(DATE(YEAR(date_ref),MONTH(date_ref),DAY(date_ref)- "0"),[1]Data!$A$4:$A$3992,0),MATCH("Montan_DI_mars_val",[1]Data!$A$3:$SG$3,0))</definedName>
    <definedName name="Nb_DAP_0J">INDEX([1]Data!$A$4:$SG$3991,MATCH(DATE(YEAR(date_ref),MONTH(date_ref),DAY(date_ref)- "0"),[1]Data!$A$4:$A$3991,0),MATCH("Nb_DAP",[1]Data!$A$3:$SG$3,0))</definedName>
    <definedName name="Nb_DAP_att_0J">INDEX([1]Data!$A$4:$SG$3991,MATCH(DATE(YEAR(date_ref),MONTH(date_ref),DAY(date_ref)- "0"),[1]Data!$A$4:$A$3991,0),MATCH("Nb_DAP_att",[1]Data!$A$3:$SG$3,0))</definedName>
    <definedName name="Nb_semaine_0J">INDEX([1]Data!$A$4:$SG$3991,MATCH(DATE(YEAR(date_ref),MONTH(date_ref),DAY(date_ref)- "0"),[1]Data!$A$4:$A$3991,0),MATCH("Nb_semaine",[1]Data!$A$3:$SG$3,0))</definedName>
    <definedName name="Nb_ul_0J">INDEX([1]Data!$A$4:$SG$3991,MATCH(DATE(YEAR(date_ref),MONTH(date_ref),DAY(date_ref)- "0"),[1]Data!$A$4:$A$3991,0),MATCH("Nb_ul",[1]Data!$A$3:$SG$3,0))</definedName>
    <definedName name="NIVEAU">#REF!</definedName>
    <definedName name="Odate_F1_T_0">IF(ROUNDUP(MONTH(DATE(YEAR(date_ref),MONTH(date_ref)-(0*3),DAY(date_ref)))/3,0)=1,"premier trimestre "&amp;YEAR(DATE(YEAR(date_ref),MONTH(date_ref)-(0*3),DAY(date_ref))),IF(ROUNDUP(MONTH(DATE(YEAR(date_ref),MONTH(date_ref)-(0*3),DAY(date_ref)))/3,0)=2,"deuxième trimestre "&amp;YEAR(DATE(YEAR(date_ref),MONTH(date_ref)-(0*3),DAY(date_ref))),IF(ROUNDUP(MONTH(DATE(YEAR(date_ref),MONTH(date_ref)-(0*3),DAY(date_ref)))/3,0)=3,"troisième trimestre "&amp;YEAR(DATE(YEAR(date_ref),MONTH(date_ref)-(0*3),DAY(date_ref))),IF(ROUNDUP(MONTH(DATE(YEAR(date_ref),MONTH(date_ref)-(0*3),DAY(date_ref)))/3,0)=4,"quatrième trimestre "&amp;YEAR(DATE(YEAR(date_ref),MONTH(date_ref)-(0*3),DAY(date_ref))),""))))</definedName>
    <definedName name="Odate_F12_J_0">IF((DAY(date_ref)-0)=1,"1er "&amp;UPPER(TEXT(date_ref,"mmmm aaaa")),UPPER(TEXT(DATE(YEAR(date_ref),MONTH(date_ref),DAY(date_ref)-0),"j mmmm aaaa")))</definedName>
    <definedName name="Odate_F2_J_0">IF((DAY(date_ref)-0)=1,"1er "&amp;TEXT(date_ref,"mmmm aaaa"),TEXT(DATE(YEAR(date_ref),MONTH(date_ref),DAY(date_ref)-0),"j mmmm aaaa"))</definedName>
    <definedName name="Odate_F3_J_0">IF((DAY(date_ref)-0)=1,"1er "&amp;TEXT(date_ref,"mmmm"),TEXT(DATE(YEAR(date_ref),MONTH(date_ref),DAY(date_ref)-0),"j mmmm"))</definedName>
    <definedName name="Odate_F5_T_0">UPPER(IF(ROUNDUP(MONTH(DATE(YEAR(date_ref),MONTH(date_ref)-(0*3),DAY(date_ref)))/3,0)=1,"premier trimestre "&amp;YEAR(DATE(YEAR(date_ref),MONTH(date_ref)-(0*3),DAY(date_ref))),IF(ROUNDUP(MONTH(DATE(YEAR(date_ref),MONTH(date_ref)-(0*3),DAY(date_ref)))/3,0)=2,"deuxième trimestre "&amp;YEAR(DATE(YEAR(date_ref),MONTH(date_ref)-(0*3),DAY(date_ref))),IF(ROUNDUP(MONTH(DATE(YEAR(date_ref),MONTH(date_ref)-(0*3),DAY(date_ref)))/3,0)=3,"troisième trimestre "&amp;YEAR(DATE(YEAR(date_ref),MONTH(date_ref)-(0*3),DAY(date_ref))),IF(ROUNDUP(MONTH(DATE(YEAR(date_ref),MONTH(date_ref)-(0*3),DAY(date_ref)))/3,0)=4,"quatrième trimestre "&amp;YEAR(DATE(YEAR(date_ref),MONTH(date_ref)-(0*3),DAY(date_ref))),"")))))</definedName>
    <definedName name="Odate_F6_M_0">UPPER(TEXT(DATE(YEAR(date_ref),MONTH(date_ref)-0,DAY(date_ref)),"mmmm"))</definedName>
    <definedName name="Odate_F6_T_0">UPPER(IF(ROUNDUP(MONTH(DATE(YEAR(date_ref),MONTH(date_ref)-(0*3),DAY(date_ref)))/3,0)=1,"premier "&amp;"trimestre",IF(ROUNDUP(MONTH(DATE(YEAR(date_ref),MONTH(date_ref)-(0*3),DAY(date_ref)))/3,0)=2,"deuxième "&amp;"trimestre",IF(ROUNDUP(MONTH(DATE(YEAR(date_ref),MONTH(date_ref)-(0*3),DAY(date_ref)))/3,0)=3,"troisième "&amp;"trimestre",IF(ROUNDUP(MONTH(DATE(YEAR(date_ref),MONTH(date_ref)-(0*3),DAY(date_ref)))/3,0)=4,"quatrième "&amp;"trimestre","")))))</definedName>
    <definedName name="OUT">'[5]CR naf 29 2003'!$C$1:$D$26</definedName>
    <definedName name="OUTNAF29">'[5]ATD NAF29 2002'!$A$1:$D$27</definedName>
    <definedName name="Part_DAP_att_0J">INDEX([1]Data!$A$4:$SG$3991,MATCH(DATE(YEAR(date_ref),MONTH(date_ref),DAY(date_ref)- "0"),[1]Data!$A$4:$A$3991,0),MATCH("Part_DAP_att",[1]Data!$A$3:$SG$3,0))</definedName>
    <definedName name="Part_DAP_DI_avril_0J">INDEX([1]Data!$A$4:$SG$3992,MATCH(DATE(YEAR(date_ref),MONTH(date_ref),DAY(date_ref)- "0"),[1]Data!$A$4:$A$3992,0),MATCH("Part_DAP_DI_avril",[1]Data!$A$3:$SG$3,0))</definedName>
    <definedName name="Part_DAP_DI_mai_0J">INDEX([1]Data!$A$4:$SG$4000,MATCH(DATE(YEAR(date_ref),MONTH(date_ref),DAY(date_ref)- "0"),[1]Data!$A$4:$A$4000,0),MATCH("Part_DAP_DI_mai",[1]Data!$A$3:$SG$3,0))</definedName>
    <definedName name="Part_DAP_DI_mars_0J">INDEX([1]Data!$A$4:$SG$3992,MATCH(DATE(YEAR(date_ref),MONTH(date_ref),DAY(date_ref)- "0"),[1]Data!$A$4:$A$3992,0),MATCH("Part_DAP_DI_mars",[1]Data!$A$3:$SG$3,0))</definedName>
    <definedName name="Part_DI_avril_val_0J">INDEX([1]Data!$A$4:$SG$3992,MATCH(DATE(YEAR(date_ref),MONTH(date_ref),DAY(date_ref)- "0"),[1]Data!$A$4:$A$3992,0),MATCH("Part_DI_avril_val",[1]Data!$A$3:$SG$3,0))</definedName>
    <definedName name="Part_DI_mai_val_0J">INDEX([1]Data!$A$4:$SG$4000,MATCH(DATE(YEAR(date_ref),MONTH(date_ref),DAY(date_ref)- "0"),[1]Data!$A$4:$A$4000,0),MATCH("Part_DI_mai_val",[1]Data!$A$3:$SG$3,0))</definedName>
    <definedName name="Part_DI_mars_val_0J">INDEX([1]Data!$A$4:$SG$3992,MATCH(DATE(YEAR(date_ref),MONTH(date_ref),DAY(date_ref)- "0"),[1]Data!$A$4:$A$3992,0),MATCH("Part_DI_mars_val",[1]Data!$A$3:$SG$3,0))</definedName>
    <definedName name="Part_Eff_DAP_DI_avril_0J">INDEX([1]Data!$A$4:$SG$3992,MATCH(DATE(YEAR(date_ref),MONTH(date_ref),DAY(date_ref)- "0"),[1]Data!$A$4:$A$3992,0),MATCH("Part_Eff_DAP_DI_avril",[1]Data!$A$3:$SG$3,0))</definedName>
    <definedName name="Part_Eff_DAP_DI_mai_0J">INDEX([1]Data!$A$4:$SG$4000,MATCH(DATE(YEAR(date_ref),MONTH(date_ref),DAY(date_ref)- "0"),[1]Data!$A$4:$A$4000,0),MATCH("Part_Eff_DAP_DI_mai",[1]Data!$A$3:$SG$3,0))</definedName>
    <definedName name="Part_Eff_DAP_DI_mars_0J">INDEX([1]Data!$A$4:$SG$3992,MATCH(DATE(YEAR(date_ref),MONTH(date_ref),DAY(date_ref)- "0"),[1]Data!$A$4:$A$3992,0),MATCH("Part_Eff_DAP_DI_mars",[1]Data!$A$3:$SG$3,0))</definedName>
    <definedName name="part_FZ_0J">INDEX([1]Data!$A$4:$SG$3991,MATCH(DATE(YEAR(date_ref),MONTH(date_ref),DAY(date_ref)- "0"),[1]Data!$A$4:$A$3991,0),MATCH("part_FZ",[1]Data!$A$3:$SG$3,0))</definedName>
    <definedName name="part_GZ_0J">INDEX([1]Data!$A$4:$SG$3991,MATCH(DATE(YEAR(date_ref),MONTH(date_ref),DAY(date_ref)- "0"),[1]Data!$A$4:$A$3991,0),MATCH("part_GZ",[1]Data!$A$3:$SG$3,0))</definedName>
    <definedName name="part_MN_0J">INDEX([1]Data!$A$4:$SG$3991,MATCH(DATE(YEAR(date_ref),MONTH(date_ref),DAY(date_ref)- "0"),[1]Data!$A$4:$A$3991,0),MATCH("part_MN",[1]Data!$A$3:$SG$3,0))</definedName>
    <definedName name="periode">#REF!</definedName>
    <definedName name="po">#REF!</definedName>
    <definedName name="ROME_CAT_CVS_CJO_AGR">#REF!</definedName>
    <definedName name="Serie_F4">OFFSET('[1]Figure 4'!$B$2,0,0,COUNTIF('[1]Figure 4'!$B$2:$B$500,"&lt;&gt;NA"),1)</definedName>
    <definedName name="Serie1_F1">OFFSET('[1]Figure 1'!$B$2,0,0,COUNTIF('[1]Figure 1'!$B$2:$B$250,"&lt;&gt;NA"),1)</definedName>
    <definedName name="Serie1_F5">OFFSET('[1]Figure 5'!$B$2,0,0,COUNTIF('[1]Figure 5'!$B$2:$B$250,"&lt;&gt;NA"),1)</definedName>
    <definedName name="Serie2_F1">OFFSET('[1]Figure 1'!$C$2,0,0,COUNTIF('[1]Figure 1'!$C$2:$C$250,"&lt;&gt;NA"),1)</definedName>
    <definedName name="Serie2_F5">OFFSET('[1]Figure 5'!$C$2,0,0,COUNTIF('[1]Figure 5'!$C$2:$C$250,"&lt;&gt;NA"),1)</definedName>
    <definedName name="Serie3_F5">OFFSET('[1]Figure 5'!$D$2,0,0,COUNTIF('[1]Figure 5'!$D$2:$D$250,"&lt;&gt;NA"),1)</definedName>
    <definedName name="Serie4_F5">OFFSET('[1]Figure 5'!$E$2,0,0,COUNTIF('[1]Figure 5'!$E$2:$E$250,"&lt;&gt;NA"),1)</definedName>
    <definedName name="Serie5_F5">OFFSET('[1]Figure 5'!$F$2,0,0,COUNTIF('[1]Figure 5'!$F$2:$F$250,"&lt;&gt;NA"),1)</definedName>
    <definedName name="Serie6_F5">OFFSET('[1]Figure 5'!$G$2,0,0,COUNTIF('[1]Figure 5'!$G$2:$G$250,"&lt;&gt;NA"),1)</definedName>
    <definedName name="t">#REF!</definedName>
    <definedName name="TT_Eff_ulT1_mars_0J">INDEX([1]Data!$A$4:$SG$3992,MATCH(DATE(YEAR(date_ref),MONTH(date_ref),DAY(date_ref)- "0"),[1]Data!$A$4:$A$3992,0),MATCH("TT_Eff_ulT1_mars",[1]Data!$A$3:$SG$3,0))</definedName>
    <definedName name="TT_Eff_ulT1a2_mars_0J">INDEX([1]Data!$A$4:$SG$3992,MATCH(DATE(YEAR(date_ref),MONTH(date_ref),DAY(date_ref)- "0"),[1]Data!$A$4:$A$3992,0),MATCH("TT_Eff_ulT1a2_mars",[1]Data!$A$3:$SG$3,0))</definedName>
    <definedName name="TT_Eff_ulT6_mars_0J">INDEX([1]Data!$A$4:$SG$3992,MATCH(DATE(YEAR(date_ref),MONTH(date_ref),DAY(date_ref)- "0"),[1]Data!$A$4:$A$3992,0),MATCH("TT_Eff_ulT6_mars",[1]Data!$A$3:$SG$3,0))</definedName>
    <definedName name="u">#REF!</definedName>
    <definedName name="uuu">#REF!</definedName>
    <definedName name="Var_DAP_0J">INDEX([1]Data!$A$4:$SG$3991,MATCH(DATE(YEAR(date_ref),MONTH(date_ref),DAY(date_ref)- "0"),[1]Data!$A$4:$A$3991,0),MATCH("Var_DAP",[1]Data!$A$3:$SG$3,0))</definedName>
    <definedName name="Var_DAP_bis_0J">INDEX([1]Data!$A$4:$SG$3991,MATCH(DATE(YEAR(date_ref),MONTH(date_ref),DAY(date_ref)- "0"),[1]Data!$A$4:$A$3991,0),MATCH("Var_DAP_bis",[1]Data!$A$3:$SG$3,0))</definedName>
    <definedName name="Var_DI_avril_0J">INDEX([1]Data!$A$4:$SG$3992,MATCH(DATE(YEAR(date_ref),MONTH(date_ref),DAY(date_ref)- "0"),[1]Data!$A$4:$A$3992,0),MATCH("Var_DI_avril",[1]Data!$A$3:$SG$3,0))</definedName>
    <definedName name="Var_DI_mai_0J">INDEX([1]Data!$A$4:$SG$4000,MATCH(DATE(YEAR(date_ref),MONTH(date_ref),DAY(date_ref)- "0"),[1]Data!$A$4:$A$4000,0),MATCH("Var_DI_mai",[1]Data!$A$3:$SG$3,0))</definedName>
    <definedName name="Var_DI_mars_0J">INDEX([1]Data!$A$4:$SG$3992,MATCH(DATE(YEAR(date_ref),MONTH(date_ref),DAY(date_ref)- "0"),[1]Data!$A$4:$A$3992,0),MATCH("Var_DI_mars",[1]Data!$A$3:$SG$3,0))</definedName>
    <definedName name="Var_Eff_DAP_0J">INDEX([1]Data!$A$4:$SG$3991,MATCH(DATE(YEAR(date_ref),MONTH(date_ref),DAY(date_ref)- "0"),[1]Data!$A$4:$A$3991,0),MATCH("Var_Eff_DAP",[1]Data!$A$3:$SG$3,0))</definedName>
    <definedName name="Var_Eff_DAP_poss_0J">INDEX([1]Data!$A$4:$SG$3992,MATCH(DATE(YEAR(date_ref),MONTH(date_ref),DAY(date_ref)- "0"),[1]Data!$A$4:$A$3992,0),MATCH("Var_Eff_DAP_poss",[1]Data!$A$3:$SG$3,0))</definedName>
    <definedName name="Var_Eff_DI_avril_0J">INDEX([1]Data!$A$4:$SG$3992,MATCH(DATE(YEAR(date_ref),MONTH(date_ref),DAY(date_ref)- "0"),[1]Data!$A$4:$A$3992,0),MATCH("Var_Eff_DI_avril",[1]Data!$A$3:$SG$3,0))</definedName>
    <definedName name="Var_Eff_DI_mai_0J">INDEX([1]Data!$A$4:$SG$4000,MATCH(DATE(YEAR(date_ref),MONTH(date_ref),DAY(date_ref)- "0"),[1]Data!$A$4:$A$4000,0),MATCH("Var_Eff_DI_mai",[1]Data!$A$3:$SG$3,0))</definedName>
    <definedName name="Var_Eff_DI_mars_0J">INDEX([1]Data!$A$4:$SG$3992,MATCH(DATE(YEAR(date_ref),MONTH(date_ref),DAY(date_ref)- "0"),[1]Data!$A$4:$A$3992,0),MATCH("Var_Eff_DI_mars",[1]Data!$A$3:$SG$3,0))</definedName>
    <definedName name="Var_Heur_DAP_0J">INDEX([1]Data!$A$4:$SG$3991,MATCH(DATE(YEAR(date_ref),MONTH(date_ref),DAY(date_ref)- "0"),[1]Data!$A$4:$A$3991,0),MATCH("Var_Heur_DAP",[1]Data!$A$3:$SG$3,0))</definedName>
    <definedName name="Var_Heur_DI_avril_0J">INDEX([1]Data!$A$4:$SG$3992,MATCH(DATE(YEAR(date_ref),MONTH(date_ref),DAY(date_ref)- "0"),[1]Data!$A$4:$A$3992,0),MATCH("Var_Heur_DI_avril",[1]Data!$A$3:$SG$3,0))</definedName>
    <definedName name="Var_Heur_DI_mai_0J">INDEX([1]Data!$A$4:$SG$4000,MATCH(DATE(YEAR(date_ref),MONTH(date_ref),DAY(date_ref)- "0"),[1]Data!$A$4:$A$4000,0),MATCH("Var_Heur_DI_mai",[1]Data!$A$3:$SG$3,0))</definedName>
    <definedName name="Var_Heur_DI_mars_0J">INDEX([1]Data!$A$4:$SG$3992,MATCH(DATE(YEAR(date_ref),MONTH(date_ref),DAY(date_ref)- "0"),[1]Data!$A$4:$A$3992,0),MATCH("Var_Heur_DI_mars",[1]Data!$A$3:$SG$3,0))</definedName>
    <definedName name="xw">OFFSET([0]!po,#REF!,0)</definedName>
    <definedName name="_xlnm.Print_Area" localSheetId="2">'graphique 2'!$A$1:$F$23</definedName>
    <definedName name="_xlnm.Print_Area" localSheetId="0">'Tableau 1'!$A$1:$C$32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6" l="1"/>
  <c r="V31" i="1" l="1"/>
  <c r="U31" i="1"/>
  <c r="U30" i="1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S49" i="4"/>
  <c r="Q49" i="4"/>
  <c r="R49" i="4"/>
  <c r="T34" i="4" l="1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33" i="4"/>
  <c r="S38" i="1" l="1"/>
  <c r="S39" i="1"/>
  <c r="S31" i="1" l="1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S30" i="1" s="1"/>
  <c r="B48" i="4"/>
  <c r="F26" i="6" l="1"/>
  <c r="F24" i="6"/>
  <c r="F23" i="6"/>
  <c r="F22" i="6"/>
  <c r="F21" i="6"/>
  <c r="F20" i="6"/>
  <c r="F19" i="6"/>
  <c r="F18" i="6"/>
  <c r="F17" i="6"/>
  <c r="F14" i="6"/>
  <c r="F13" i="6"/>
  <c r="F12" i="6"/>
  <c r="F11" i="6"/>
  <c r="F10" i="6"/>
  <c r="F9" i="6"/>
  <c r="F8" i="6"/>
  <c r="O23" i="4"/>
  <c r="O19" i="4"/>
  <c r="O13" i="4"/>
  <c r="O5" i="4"/>
  <c r="F6" i="6" s="1"/>
  <c r="O4" i="4" l="1"/>
  <c r="P26" i="4"/>
  <c r="P25" i="4"/>
  <c r="P24" i="4"/>
  <c r="P22" i="4"/>
  <c r="P21" i="4"/>
  <c r="P20" i="4"/>
  <c r="P18" i="4"/>
  <c r="P17" i="4"/>
  <c r="P16" i="4"/>
  <c r="P15" i="4"/>
  <c r="P14" i="4"/>
  <c r="P12" i="4"/>
  <c r="P11" i="4"/>
  <c r="P10" i="4"/>
  <c r="P9" i="4"/>
  <c r="P8" i="4"/>
  <c r="P7" i="4"/>
  <c r="P6" i="4"/>
  <c r="O27" i="4" l="1"/>
  <c r="F28" i="6" s="1"/>
  <c r="F5" i="6"/>
  <c r="R39" i="1"/>
  <c r="G30" i="1"/>
  <c r="H30" i="1"/>
  <c r="I30" i="1"/>
  <c r="J30" i="1"/>
  <c r="K30" i="1"/>
  <c r="L30" i="1"/>
  <c r="M30" i="1"/>
  <c r="N30" i="1"/>
  <c r="O30" i="1"/>
  <c r="P30" i="1"/>
  <c r="Q30" i="1"/>
  <c r="R30" i="1"/>
  <c r="F30" i="1"/>
  <c r="S37" i="1" s="1"/>
  <c r="E30" i="1"/>
  <c r="D30" i="1"/>
  <c r="C30" i="1"/>
  <c r="B30" i="1"/>
  <c r="C16" i="6"/>
  <c r="C26" i="6"/>
  <c r="C29" i="6"/>
  <c r="G7" i="6"/>
  <c r="C7" i="6" s="1"/>
  <c r="G15" i="6"/>
  <c r="C15" i="6" s="1"/>
  <c r="G25" i="6"/>
  <c r="C25" i="6" s="1"/>
  <c r="G27" i="6"/>
  <c r="C27" i="6" s="1"/>
  <c r="B16" i="6"/>
  <c r="B29" i="6"/>
  <c r="R37" i="1" l="1"/>
  <c r="B26" i="6"/>
  <c r="B23" i="6"/>
  <c r="B22" i="6"/>
  <c r="B21" i="6"/>
  <c r="B19" i="6"/>
  <c r="B18" i="6"/>
  <c r="B17" i="6"/>
  <c r="B12" i="6"/>
  <c r="B13" i="6"/>
  <c r="B10" i="6"/>
  <c r="B11" i="6"/>
  <c r="B9" i="6"/>
  <c r="B8" i="6"/>
  <c r="G8" i="6"/>
  <c r="C8" i="6" s="1"/>
  <c r="G9" i="6"/>
  <c r="C9" i="6" s="1"/>
  <c r="G10" i="6"/>
  <c r="C10" i="6" s="1"/>
  <c r="G11" i="6"/>
  <c r="C11" i="6" s="1"/>
  <c r="G12" i="6"/>
  <c r="C12" i="6" s="1"/>
  <c r="G13" i="6"/>
  <c r="C13" i="6" s="1"/>
  <c r="G17" i="6"/>
  <c r="C17" i="6" s="1"/>
  <c r="G19" i="6"/>
  <c r="C19" i="6" s="1"/>
  <c r="G18" i="6"/>
  <c r="C18" i="6" s="1"/>
  <c r="G23" i="6"/>
  <c r="C23" i="6" s="1"/>
  <c r="G22" i="6"/>
  <c r="C22" i="6" s="1"/>
  <c r="G21" i="6"/>
  <c r="C21" i="6" s="1"/>
  <c r="C23" i="4" l="1"/>
  <c r="G31" i="1" s="1"/>
  <c r="D23" i="4"/>
  <c r="H31" i="1" s="1"/>
  <c r="E23" i="4"/>
  <c r="I31" i="1" s="1"/>
  <c r="F23" i="4"/>
  <c r="J31" i="1" s="1"/>
  <c r="G23" i="4"/>
  <c r="K31" i="1" s="1"/>
  <c r="H23" i="4"/>
  <c r="L31" i="1" s="1"/>
  <c r="I23" i="4"/>
  <c r="M31" i="1" s="1"/>
  <c r="J23" i="4"/>
  <c r="N31" i="1" s="1"/>
  <c r="K23" i="4"/>
  <c r="O31" i="1" s="1"/>
  <c r="L23" i="4"/>
  <c r="P31" i="1" s="1"/>
  <c r="M23" i="4"/>
  <c r="Q31" i="1" s="1"/>
  <c r="N23" i="4"/>
  <c r="P23" i="4" s="1"/>
  <c r="B23" i="4"/>
  <c r="F31" i="1" s="1"/>
  <c r="C19" i="4"/>
  <c r="D19" i="4"/>
  <c r="E19" i="4"/>
  <c r="F19" i="4"/>
  <c r="G19" i="4"/>
  <c r="H19" i="4"/>
  <c r="I19" i="4"/>
  <c r="J19" i="4"/>
  <c r="K19" i="4"/>
  <c r="L19" i="4"/>
  <c r="M19" i="4"/>
  <c r="N19" i="4"/>
  <c r="P19" i="4" s="1"/>
  <c r="B19" i="4"/>
  <c r="C13" i="4"/>
  <c r="D13" i="4"/>
  <c r="E13" i="4"/>
  <c r="F13" i="4"/>
  <c r="G13" i="4"/>
  <c r="H13" i="4"/>
  <c r="I13" i="4"/>
  <c r="J13" i="4"/>
  <c r="K13" i="4"/>
  <c r="L13" i="4"/>
  <c r="M13" i="4"/>
  <c r="N13" i="4"/>
  <c r="P13" i="4" s="1"/>
  <c r="B13" i="4"/>
  <c r="C5" i="4"/>
  <c r="D5" i="4"/>
  <c r="E5" i="4"/>
  <c r="F5" i="4"/>
  <c r="G5" i="4"/>
  <c r="H5" i="4"/>
  <c r="I5" i="4"/>
  <c r="I4" i="4" s="1"/>
  <c r="I27" i="4" s="1"/>
  <c r="J5" i="4"/>
  <c r="K5" i="4"/>
  <c r="L5" i="4"/>
  <c r="M5" i="4"/>
  <c r="N5" i="4"/>
  <c r="P5" i="4" s="1"/>
  <c r="B5" i="4"/>
  <c r="E4" i="4" l="1"/>
  <c r="E27" i="4" s="1"/>
  <c r="M4" i="4"/>
  <c r="M27" i="4" s="1"/>
  <c r="L4" i="4"/>
  <c r="L27" i="4" s="1"/>
  <c r="D4" i="4"/>
  <c r="D27" i="4" s="1"/>
  <c r="H4" i="4"/>
  <c r="H27" i="4" s="1"/>
  <c r="C4" i="4"/>
  <c r="C27" i="4" s="1"/>
  <c r="K4" i="4"/>
  <c r="K27" i="4" s="1"/>
  <c r="J4" i="4"/>
  <c r="J27" i="4" s="1"/>
  <c r="B14" i="6"/>
  <c r="G14" i="6"/>
  <c r="C14" i="6" s="1"/>
  <c r="B4" i="4"/>
  <c r="R31" i="1"/>
  <c r="R38" i="1" s="1"/>
  <c r="B24" i="6"/>
  <c r="G24" i="6"/>
  <c r="C24" i="6" s="1"/>
  <c r="G20" i="6"/>
  <c r="C20" i="6" s="1"/>
  <c r="B20" i="6"/>
  <c r="G4" i="4"/>
  <c r="G27" i="4" s="1"/>
  <c r="N4" i="4"/>
  <c r="P4" i="4" s="1"/>
  <c r="B6" i="6"/>
  <c r="G6" i="6"/>
  <c r="C6" i="6" s="1"/>
  <c r="F4" i="4"/>
  <c r="F27" i="4" s="1"/>
  <c r="F7" i="6"/>
  <c r="B7" i="6" s="1"/>
  <c r="F27" i="6"/>
  <c r="B27" i="6" s="1"/>
  <c r="F25" i="6"/>
  <c r="B25" i="6" s="1"/>
  <c r="F15" i="6"/>
  <c r="B15" i="6" s="1"/>
  <c r="B27" i="4" l="1"/>
  <c r="B5" i="6"/>
  <c r="G5" i="6"/>
  <c r="C5" i="6" s="1"/>
  <c r="N27" i="4"/>
  <c r="P27" i="4" s="1"/>
  <c r="P37" i="1"/>
  <c r="Q37" i="1"/>
  <c r="P38" i="1"/>
  <c r="Q38" i="1"/>
  <c r="P39" i="1"/>
  <c r="Q39" i="1"/>
  <c r="B28" i="6" l="1"/>
  <c r="G28" i="6"/>
  <c r="C28" i="6" s="1"/>
  <c r="O39" i="1"/>
  <c r="O38" i="1"/>
  <c r="O37" i="1"/>
  <c r="C39" i="1" l="1"/>
  <c r="D39" i="1"/>
  <c r="E39" i="1"/>
  <c r="F39" i="1"/>
  <c r="G39" i="1"/>
  <c r="H39" i="1"/>
  <c r="I39" i="1"/>
  <c r="J39" i="1"/>
  <c r="K39" i="1"/>
  <c r="L39" i="1"/>
  <c r="M39" i="1"/>
  <c r="N39" i="1"/>
  <c r="B39" i="1"/>
  <c r="G38" i="1"/>
  <c r="H38" i="1"/>
  <c r="I38" i="1"/>
  <c r="J38" i="1"/>
  <c r="K38" i="1"/>
  <c r="L38" i="1"/>
  <c r="M38" i="1"/>
  <c r="N38" i="1"/>
  <c r="F38" i="1"/>
  <c r="C37" i="1"/>
  <c r="D37" i="1"/>
  <c r="E37" i="1"/>
  <c r="F37" i="1"/>
  <c r="G37" i="1"/>
  <c r="H37" i="1"/>
  <c r="I37" i="1"/>
  <c r="J37" i="1"/>
  <c r="K37" i="1"/>
  <c r="L37" i="1"/>
  <c r="M37" i="1"/>
  <c r="N37" i="1"/>
  <c r="B37" i="1"/>
</calcChain>
</file>

<file path=xl/sharedStrings.xml><?xml version="1.0" encoding="utf-8"?>
<sst xmlns="http://schemas.openxmlformats.org/spreadsheetml/2006/main" count="146" uniqueCount="118">
  <si>
    <t>En indice base 100 en 2008</t>
  </si>
  <si>
    <t>Evolution de l'emploi dans les activités de l'économie verte</t>
  </si>
  <si>
    <t>Activités périphériques</t>
  </si>
  <si>
    <t>Emploi total national</t>
  </si>
  <si>
    <t>-</t>
  </si>
  <si>
    <t>Déchets</t>
  </si>
  <si>
    <t>Bruit</t>
  </si>
  <si>
    <t>Activités transversales</t>
  </si>
  <si>
    <t>Gestion des espaces verts</t>
  </si>
  <si>
    <t>Champ : France.</t>
  </si>
  <si>
    <t>Maîtrise de l'énergie</t>
  </si>
  <si>
    <t>Activités de l'économie verte</t>
  </si>
  <si>
    <t xml:space="preserve">Ensemble de l'économie </t>
  </si>
  <si>
    <t>Éco-activités</t>
  </si>
  <si>
    <t>Air</t>
  </si>
  <si>
    <t>Déchets_radio</t>
  </si>
  <si>
    <t>Eaux_usées</t>
  </si>
  <si>
    <t>Nature, biodiversité, paysages</t>
  </si>
  <si>
    <t>EnR</t>
  </si>
  <si>
    <t>gestion_eau</t>
  </si>
  <si>
    <t>Maîtrise énergie</t>
  </si>
  <si>
    <t>recup</t>
  </si>
  <si>
    <t>R&amp;D</t>
  </si>
  <si>
    <t>Serv gaux</t>
  </si>
  <si>
    <t>Total général</t>
  </si>
  <si>
    <t>Transports urbains et suburbains</t>
  </si>
  <si>
    <t>Transports longue distance</t>
  </si>
  <si>
    <t>Indice base 100 en 2008</t>
  </si>
  <si>
    <t>Protection de l'air et du climat</t>
  </si>
  <si>
    <t>Gestion des eaux usées</t>
  </si>
  <si>
    <t>Gestion des déchets</t>
  </si>
  <si>
    <t>Protection contre les radiations</t>
  </si>
  <si>
    <t>Lutte contre le bruit</t>
  </si>
  <si>
    <t>Protection de la biodiversité et des paysages</t>
  </si>
  <si>
    <t>Gestion des ressources en eau</t>
  </si>
  <si>
    <t>Récupération de matériaux de recyclage</t>
  </si>
  <si>
    <t>Production d'énergies renouvelables</t>
  </si>
  <si>
    <t>Administration générale relative à l'environnement</t>
  </si>
  <si>
    <t>R &amp; D environnementale</t>
  </si>
  <si>
    <t>Ingénierie environnementale</t>
  </si>
  <si>
    <t>En équivalent temps plein</t>
  </si>
  <si>
    <t>Gestion durable de la forêt</t>
  </si>
  <si>
    <t>Eco-activités</t>
  </si>
  <si>
    <t>Protection des sols et des masses d'eau</t>
  </si>
  <si>
    <t>Collecte et traitement des déchets</t>
  </si>
  <si>
    <t>Transports plus durables (transports en communs, cycles)</t>
  </si>
  <si>
    <t>Sols et masses d'eau</t>
  </si>
  <si>
    <t>gestion_forêt</t>
  </si>
  <si>
    <t>Ingénierie</t>
  </si>
  <si>
    <t>Domaine environnemental</t>
  </si>
  <si>
    <t>Protection de l'environnement</t>
  </si>
  <si>
    <t>Gestion des ressources naturelles</t>
  </si>
  <si>
    <t>Evol. n/n-1</t>
  </si>
  <si>
    <t>Energies renouvelables</t>
  </si>
  <si>
    <t>Protection de l'air extérieur</t>
  </si>
  <si>
    <t>En équivalents temps plein</t>
  </si>
  <si>
    <t>Tableau 1 : emploi dans les activités de l'économie verte en 2021</t>
  </si>
  <si>
    <t>Emploi en 2021
 (en ETP)</t>
  </si>
  <si>
    <r>
      <t xml:space="preserve">Évolution 2021/2020
</t>
    </r>
    <r>
      <rPr>
        <b/>
        <sz val="10"/>
        <color indexed="8"/>
        <rFont val="Arial"/>
        <family val="2"/>
      </rPr>
      <t>(en %)</t>
    </r>
  </si>
  <si>
    <t>2021p</t>
  </si>
  <si>
    <t>Graphique 1 : emploi dans les éco-activités en 2004, 2012 et 2021</t>
  </si>
  <si>
    <t xml:space="preserve">Notes : données 2021 provisoires ; protection des sols et des masses d'eau : y compris agriculture biologique. </t>
  </si>
  <si>
    <r>
      <rPr>
        <b/>
        <sz val="10"/>
        <color theme="1"/>
        <rFont val="Arial"/>
        <family val="2"/>
      </rPr>
      <t>Sources</t>
    </r>
    <r>
      <rPr>
        <i/>
        <sz val="10"/>
        <color theme="1"/>
        <rFont val="Arial"/>
        <family val="2"/>
      </rPr>
      <t xml:space="preserve"> : SDES, Insee, enquête annuelle de production (EAP), Élaboration des statistiques annuelles d'entreprises (Ésane), Comptes nationaux base 2014 ; ADEME ; Agence BIO ; Traitements : SDES, 2023</t>
    </r>
  </si>
  <si>
    <r>
      <rPr>
        <b/>
        <i/>
        <sz val="10"/>
        <rFont val="Arial"/>
        <family val="2"/>
      </rPr>
      <t>Sources</t>
    </r>
    <r>
      <rPr>
        <i/>
        <sz val="10"/>
        <rFont val="Arial"/>
        <family val="2"/>
      </rPr>
      <t xml:space="preserve"> : SDES, Insee, EAP, Esane, Comptes nationaux base 2014 ; Ademe ; Agence BIO. Traitements : SDES, 2023
</t>
    </r>
  </si>
  <si>
    <t>Notes : données 2021 provisoires ; la période d'observation des activités périphériques débute en 2008, celle des éco-activités en 2004.</t>
  </si>
  <si>
    <t>Evol 2021/2004</t>
  </si>
  <si>
    <t>Note : les données 2021 sont provisoires ; chiffres arrondis à la centaine</t>
  </si>
  <si>
    <t>Évolution annuelle en %</t>
  </si>
  <si>
    <t>Emploi dans les activités de l'économie verte entre 2008 et 2021</t>
  </si>
  <si>
    <t>Emploi dans les éco-activités entre 2004 et 2021</t>
  </si>
  <si>
    <t>BTP</t>
  </si>
  <si>
    <t>Inadéquation géographique</t>
  </si>
  <si>
    <t>Conditions de travail contraignantes</t>
  </si>
  <si>
    <t>Non-durabilité de l'emploi</t>
  </si>
  <si>
    <t>Manque de main-d'œuvre disponible</t>
  </si>
  <si>
    <t>Lien formation-emploi</t>
  </si>
  <si>
    <t>Intensité d'embauches</t>
  </si>
  <si>
    <t>Tension</t>
  </si>
  <si>
    <t>Source : Pôle emploi – Dares, métiers en tension.</t>
  </si>
  <si>
    <t>Champ : France (hors Mayotte), 2022.</t>
  </si>
  <si>
    <t xml:space="preserve">Ensemble des 200 métiers </t>
  </si>
  <si>
    <t>Ensemble des métiers de l'économie verte</t>
  </si>
  <si>
    <t>Ingénieurs et cadres des transports</t>
  </si>
  <si>
    <t>Techniciens des transports et du tourisme (marchandises et voyageurs)</t>
  </si>
  <si>
    <t>Ingénieurs et cadres de la logistique, du planning et de l'ordonnancement</t>
  </si>
  <si>
    <t>Charpentiers (bois)</t>
  </si>
  <si>
    <t>Responsables de magasinage, de tri, de manutention</t>
  </si>
  <si>
    <t>Responsables logistiques (non cadres)</t>
  </si>
  <si>
    <t>Architectes</t>
  </si>
  <si>
    <t>Dessinateurs en bâtiment et en travaux publics</t>
  </si>
  <si>
    <t>Ingénieurs du bâtiment et des travaux publics, chefs de chantier et conducteurs de travaux (cadres)</t>
  </si>
  <si>
    <t>Techniciens et chargés d'études du bâtiment et des travaux publics</t>
  </si>
  <si>
    <t>Chefs de chantier, conducteurs de travaux (non cadres)</t>
  </si>
  <si>
    <t>Couvreurs</t>
  </si>
  <si>
    <t>Électriciens du bâtiment</t>
  </si>
  <si>
    <t>Conducteurs de transport en commun sur route</t>
  </si>
  <si>
    <t>Conducteurs de véhicules légers (conducteurs de taxis, ambulanciers…)</t>
  </si>
  <si>
    <t>Menuisiers et ouvriers de l'agencement et de l'isolation</t>
  </si>
  <si>
    <t>Plombiers, chauffagistes</t>
  </si>
  <si>
    <t>Maçons</t>
  </si>
  <si>
    <t>Ouvriers non qualifiés du gros œuvre du bâtiment</t>
  </si>
  <si>
    <t>Ouvriers non qualifiés du second œuvre du bâtiment</t>
  </si>
  <si>
    <t>Conducteurs routiers et grands routiers</t>
  </si>
  <si>
    <t>Part des recrutements difficiles</t>
  </si>
  <si>
    <t>Nombre de projets de recrutement</t>
  </si>
  <si>
    <t>Familles professionnelles</t>
  </si>
  <si>
    <t xml:space="preserve">Transports, logistique </t>
  </si>
  <si>
    <r>
      <t>Champ</t>
    </r>
    <r>
      <rPr>
        <sz val="11"/>
        <color theme="1"/>
        <rFont val="Calibri"/>
        <family val="2"/>
        <scheme val="minor"/>
      </rPr>
      <t xml:space="preserve"> : le périmètre de l'enquête « Besoin en main-d’œuvre » (BMO) porte sur 200 FAP (sur les 225 que compte la nomenclature). France – </t>
    </r>
    <r>
      <rPr>
        <sz val="11"/>
        <color theme="1"/>
        <rFont val="Calibri"/>
        <family val="2"/>
        <scheme val="minor"/>
      </rPr>
      <t xml:space="preserve">focus </t>
    </r>
    <r>
      <rPr>
        <i/>
        <sz val="11"/>
        <color theme="1"/>
        <rFont val="Calibri"/>
        <family val="2"/>
        <scheme val="minor"/>
      </rPr>
      <t>sur le secteur du bâtiment et travaux publics et celui du transport et de la logistique.</t>
    </r>
  </si>
  <si>
    <r>
      <t>Lecture </t>
    </r>
    <r>
      <rPr>
        <i/>
        <sz val="7"/>
        <color theme="1"/>
        <rFont val="Arial"/>
        <family val="2"/>
      </rPr>
      <t xml:space="preserve">: </t>
    </r>
    <r>
      <rPr>
        <i/>
        <sz val="11"/>
        <color theme="1"/>
        <rFont val="Arial"/>
        <family val="2"/>
      </rPr>
      <t>en 2022, l’indicateur synthétique de tension sur le marché du travail de l’économie verte, pour le métier de couvreur se situe à 2,053.</t>
    </r>
  </si>
  <si>
    <r>
      <t>Source</t>
    </r>
    <r>
      <rPr>
        <sz val="11"/>
        <color theme="1"/>
        <rFont val="Calibri"/>
        <family val="2"/>
        <scheme val="minor"/>
      </rPr>
      <t xml:space="preserve"> : </t>
    </r>
    <r>
      <rPr>
        <sz val="11"/>
        <color theme="1"/>
        <rFont val="Arial"/>
        <family val="2"/>
      </rPr>
      <t>Les sources de données mobilisées sont l’enquête « </t>
    </r>
    <r>
      <rPr>
        <sz val="11"/>
        <color theme="1"/>
        <rFont val="Calibri"/>
        <family val="2"/>
        <scheme val="minor"/>
      </rPr>
      <t>Besoin en main-d’œuvre »</t>
    </r>
    <r>
      <rPr>
        <sz val="11"/>
        <color theme="1"/>
        <rFont val="Arial"/>
        <family val="2"/>
      </rPr>
      <t xml:space="preserve"> de Pôle emploi et les </t>
    </r>
    <r>
      <rPr>
        <sz val="11"/>
        <color theme="1"/>
        <rFont val="Calibri"/>
        <family val="2"/>
        <scheme val="minor"/>
      </rPr>
      <t>indicateurs de tension</t>
    </r>
    <r>
      <rPr>
        <sz val="11"/>
        <color theme="1"/>
        <rFont val="Arial"/>
        <family val="2"/>
      </rPr>
      <t xml:space="preserve"> produits par la Dares et Pôle emploi.  </t>
    </r>
  </si>
  <si>
    <t>Lecture : En 2022, l’indicateur synthétique de tension sur le marché du travail de l'économie verte dans les métiers du BTP se situe à 1,62. Il s’agit d’une moyenne de l’indicateur de tension des différents métiers du secteur du BTP par facteur de tension.</t>
  </si>
  <si>
    <t>Graphique 3 : Facteurs potentiels à l’origine des tensions dans certains métiers de l'économie verte en 2022</t>
  </si>
  <si>
    <r>
      <t xml:space="preserve">Graphique 2 : évolution de l'emploi dans les activités de l'économie verte entre 2004 et 2021 </t>
    </r>
    <r>
      <rPr>
        <sz val="10"/>
        <rFont val="Arial"/>
        <family val="2"/>
      </rPr>
      <t>(en équivalents temps plein)</t>
    </r>
  </si>
  <si>
    <t>Évolution 2021/2020
(en %)</t>
  </si>
  <si>
    <r>
      <t xml:space="preserve">Gestion des ressources, </t>
    </r>
    <r>
      <rPr>
        <sz val="10"/>
        <color theme="0"/>
        <rFont val="Arial"/>
        <family val="2"/>
      </rPr>
      <t>dont</t>
    </r>
  </si>
  <si>
    <r>
      <t xml:space="preserve">Protection de l'environnement, </t>
    </r>
    <r>
      <rPr>
        <sz val="10"/>
        <color theme="0"/>
        <rFont val="Arial"/>
        <family val="2"/>
      </rPr>
      <t>dont</t>
    </r>
  </si>
  <si>
    <r>
      <t xml:space="preserve">Activités transversales, </t>
    </r>
    <r>
      <rPr>
        <sz val="10"/>
        <color theme="0"/>
        <rFont val="Arial"/>
        <family val="2"/>
      </rPr>
      <t>dont</t>
    </r>
  </si>
  <si>
    <r>
      <t xml:space="preserve">Activités périphériques, </t>
    </r>
    <r>
      <rPr>
        <sz val="10"/>
        <color theme="0"/>
        <rFont val="Arial"/>
        <family val="2"/>
      </rPr>
      <t>dont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</si>
</sst>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"/>
    <numFmt numFmtId="165" formatCode="0.0%"/>
    <numFmt numFmtId="166" formatCode="_-* #,##0.00\ _F_-;\-* #,##0.00\ _F_-;_-* &quot;-&quot;??\ _F_-;_-@_-"/>
    <numFmt numFmtId="167" formatCode="_-* #,##0.0\ _€_-;\-* #,##0.0\ _€_-;_-* &quot;-&quot;??\ _€_-;_-@_-"/>
    <numFmt numFmtId="168" formatCode="#,##0.0"/>
    <numFmt numFmtId="169" formatCode="0.000"/>
  </numFmts>
  <fonts count="4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i/>
      <sz val="11"/>
      <color indexed="8"/>
      <name val="Arial"/>
      <family val="2"/>
    </font>
    <font>
      <b/>
      <sz val="16"/>
      <color indexed="8"/>
      <name val="Arial"/>
      <family val="2"/>
    </font>
    <font>
      <b/>
      <sz val="11"/>
      <color indexed="57"/>
      <name val="Arial"/>
      <family val="2"/>
    </font>
    <font>
      <strike/>
      <sz val="11"/>
      <color indexed="8"/>
      <name val="Calibri"/>
      <family val="2"/>
    </font>
    <font>
      <strike/>
      <sz val="1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1"/>
      <color theme="1"/>
      <name val="Arial"/>
      <family val="2"/>
    </font>
    <font>
      <sz val="10.5"/>
      <color theme="1"/>
      <name val="Arial"/>
      <family val="2"/>
    </font>
    <font>
      <i/>
      <sz val="10"/>
      <color indexed="8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8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7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1"/>
      <name val="Arial"/>
      <family val="2"/>
    </font>
    <font>
      <b/>
      <i/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536779"/>
        <bgColor indexed="64"/>
      </patternFill>
    </fill>
    <fill>
      <patternFill patternType="solid">
        <fgColor rgb="FF00009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95B3D7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95B3D7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9" fontId="7" fillId="0" borderId="0" applyFont="0" applyFill="0" applyBorder="0" applyAlignment="0" applyProtection="0"/>
  </cellStyleXfs>
  <cellXfs count="139">
    <xf numFmtId="0" fontId="0" fillId="0" borderId="0" xfId="0"/>
    <xf numFmtId="0" fontId="8" fillId="0" borderId="0" xfId="0" applyFont="1"/>
    <xf numFmtId="0" fontId="9" fillId="0" borderId="0" xfId="0" applyFont="1" applyFill="1"/>
    <xf numFmtId="164" fontId="9" fillId="0" borderId="0" xfId="0" applyNumberFormat="1" applyFont="1" applyFill="1"/>
    <xf numFmtId="0" fontId="2" fillId="2" borderId="0" xfId="0" applyFont="1" applyFill="1"/>
    <xf numFmtId="3" fontId="9" fillId="2" borderId="0" xfId="0" applyNumberFormat="1" applyFont="1" applyFill="1"/>
    <xf numFmtId="165" fontId="9" fillId="0" borderId="0" xfId="4" applyNumberFormat="1" applyFont="1" applyFill="1"/>
    <xf numFmtId="0" fontId="11" fillId="0" borderId="0" xfId="0" applyFont="1"/>
    <xf numFmtId="0" fontId="12" fillId="0" borderId="0" xfId="0" applyFont="1"/>
    <xf numFmtId="0" fontId="13" fillId="0" borderId="0" xfId="0" applyFont="1"/>
    <xf numFmtId="167" fontId="12" fillId="0" borderId="0" xfId="0" applyNumberFormat="1" applyFont="1"/>
    <xf numFmtId="164" fontId="12" fillId="0" borderId="0" xfId="0" applyNumberFormat="1" applyFont="1"/>
    <xf numFmtId="0" fontId="14" fillId="0" borderId="0" xfId="0" applyFont="1"/>
    <xf numFmtId="0" fontId="12" fillId="0" borderId="1" xfId="0" applyFont="1" applyBorder="1" applyAlignment="1"/>
    <xf numFmtId="0" fontId="11" fillId="0" borderId="1" xfId="0" applyFont="1" applyBorder="1" applyAlignment="1"/>
    <xf numFmtId="3" fontId="12" fillId="0" borderId="1" xfId="0" applyNumberFormat="1" applyFont="1" applyBorder="1" applyAlignment="1"/>
    <xf numFmtId="9" fontId="12" fillId="0" borderId="1" xfId="4" applyFont="1" applyBorder="1" applyAlignment="1"/>
    <xf numFmtId="0" fontId="11" fillId="0" borderId="1" xfId="0" applyFont="1" applyBorder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" fillId="0" borderId="0" xfId="0" applyFont="1"/>
    <xf numFmtId="0" fontId="15" fillId="0" borderId="0" xfId="0" applyFont="1"/>
    <xf numFmtId="3" fontId="0" fillId="0" borderId="0" xfId="0" applyNumberFormat="1"/>
    <xf numFmtId="3" fontId="9" fillId="0" borderId="0" xfId="0" applyNumberFormat="1" applyFont="1" applyFill="1"/>
    <xf numFmtId="0" fontId="17" fillId="2" borderId="0" xfId="0" applyFont="1" applyFill="1" applyAlignment="1">
      <alignment horizontal="right"/>
    </xf>
    <xf numFmtId="0" fontId="4" fillId="0" borderId="0" xfId="0" applyFont="1"/>
    <xf numFmtId="0" fontId="4" fillId="0" borderId="0" xfId="0" applyFont="1" applyFill="1"/>
    <xf numFmtId="0" fontId="16" fillId="0" borderId="0" xfId="0" applyFont="1" applyFill="1"/>
    <xf numFmtId="0" fontId="1" fillId="0" borderId="0" xfId="0" applyFont="1" applyFill="1"/>
    <xf numFmtId="3" fontId="4" fillId="2" borderId="0" xfId="2" applyNumberFormat="1" applyFont="1" applyFill="1" applyBorder="1" applyAlignment="1">
      <alignment wrapText="1"/>
    </xf>
    <xf numFmtId="0" fontId="18" fillId="0" borderId="0" xfId="0" applyFont="1" applyFill="1"/>
    <xf numFmtId="3" fontId="12" fillId="0" borderId="0" xfId="0" applyNumberFormat="1" applyFont="1"/>
    <xf numFmtId="165" fontId="18" fillId="0" borderId="0" xfId="4" applyNumberFormat="1" applyFont="1" applyFill="1"/>
    <xf numFmtId="165" fontId="10" fillId="0" borderId="0" xfId="4" applyNumberFormat="1" applyFont="1" applyFill="1" applyAlignment="1">
      <alignment horizontal="center"/>
    </xf>
    <xf numFmtId="0" fontId="1" fillId="0" borderId="0" xfId="0" applyFont="1" applyFill="1" applyAlignment="1">
      <alignment horizontal="right"/>
    </xf>
    <xf numFmtId="2" fontId="9" fillId="0" borderId="0" xfId="0" applyNumberFormat="1" applyFont="1" applyFill="1"/>
    <xf numFmtId="168" fontId="9" fillId="0" borderId="0" xfId="0" applyNumberFormat="1" applyFont="1" applyFill="1"/>
    <xf numFmtId="0" fontId="11" fillId="0" borderId="4" xfId="0" applyFont="1" applyBorder="1" applyAlignment="1"/>
    <xf numFmtId="3" fontId="12" fillId="0" borderId="4" xfId="0" applyNumberFormat="1" applyFont="1" applyBorder="1" applyAlignment="1"/>
    <xf numFmtId="0" fontId="19" fillId="0" borderId="0" xfId="0" applyFont="1" applyAlignment="1">
      <alignment vertical="center"/>
    </xf>
    <xf numFmtId="0" fontId="20" fillId="0" borderId="0" xfId="0" applyFont="1"/>
    <xf numFmtId="0" fontId="21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/>
    <xf numFmtId="3" fontId="27" fillId="3" borderId="5" xfId="0" applyNumberFormat="1" applyFont="1" applyFill="1" applyBorder="1"/>
    <xf numFmtId="3" fontId="27" fillId="3" borderId="1" xfId="0" applyNumberFormat="1" applyFont="1" applyFill="1" applyBorder="1"/>
    <xf numFmtId="3" fontId="28" fillId="0" borderId="0" xfId="0" applyNumberFormat="1" applyFont="1" applyFill="1" applyBorder="1" applyAlignment="1">
      <alignment horizontal="left"/>
    </xf>
    <xf numFmtId="3" fontId="28" fillId="0" borderId="6" xfId="0" applyNumberFormat="1" applyFont="1" applyFill="1" applyBorder="1"/>
    <xf numFmtId="3" fontId="28" fillId="0" borderId="1" xfId="0" applyNumberFormat="1" applyFont="1" applyFill="1" applyBorder="1"/>
    <xf numFmtId="3" fontId="27" fillId="3" borderId="7" xfId="0" applyNumberFormat="1" applyFont="1" applyFill="1" applyBorder="1" applyAlignment="1">
      <alignment horizontal="left"/>
    </xf>
    <xf numFmtId="3" fontId="27" fillId="3" borderId="1" xfId="0" applyNumberFormat="1" applyFont="1" applyFill="1" applyBorder="1" applyAlignment="1">
      <alignment horizontal="right"/>
    </xf>
    <xf numFmtId="3" fontId="4" fillId="0" borderId="0" xfId="0" applyNumberFormat="1" applyFont="1" applyFill="1" applyBorder="1" applyAlignment="1">
      <alignment horizontal="left"/>
    </xf>
    <xf numFmtId="3" fontId="4" fillId="0" borderId="6" xfId="0" applyNumberFormat="1" applyFont="1" applyFill="1" applyBorder="1"/>
    <xf numFmtId="3" fontId="4" fillId="0" borderId="1" xfId="0" applyNumberFormat="1" applyFont="1" applyFill="1" applyBorder="1"/>
    <xf numFmtId="168" fontId="4" fillId="0" borderId="1" xfId="0" applyNumberFormat="1" applyFont="1" applyFill="1" applyBorder="1"/>
    <xf numFmtId="168" fontId="28" fillId="0" borderId="1" xfId="0" applyNumberFormat="1" applyFont="1" applyFill="1" applyBorder="1"/>
    <xf numFmtId="168" fontId="27" fillId="3" borderId="1" xfId="0" applyNumberFormat="1" applyFont="1" applyFill="1" applyBorder="1"/>
    <xf numFmtId="3" fontId="22" fillId="0" borderId="2" xfId="1" applyNumberFormat="1" applyFont="1" applyFill="1" applyBorder="1" applyAlignment="1">
      <alignment horizontal="right" vertical="center"/>
    </xf>
    <xf numFmtId="3" fontId="19" fillId="0" borderId="0" xfId="1" applyNumberFormat="1" applyFont="1" applyFill="1" applyBorder="1" applyAlignment="1">
      <alignment horizontal="right" vertical="center"/>
    </xf>
    <xf numFmtId="3" fontId="23" fillId="0" borderId="0" xfId="1" applyNumberFormat="1" applyFont="1" applyFill="1" applyBorder="1" applyAlignment="1">
      <alignment horizontal="right" vertical="center"/>
    </xf>
    <xf numFmtId="3" fontId="22" fillId="0" borderId="0" xfId="1" applyNumberFormat="1" applyFont="1" applyFill="1" applyBorder="1" applyAlignment="1">
      <alignment horizontal="right"/>
    </xf>
    <xf numFmtId="3" fontId="19" fillId="0" borderId="0" xfId="0" applyNumberFormat="1" applyFont="1" applyFill="1"/>
    <xf numFmtId="3" fontId="23" fillId="0" borderId="0" xfId="0" applyNumberFormat="1" applyFont="1" applyFill="1"/>
    <xf numFmtId="3" fontId="22" fillId="0" borderId="0" xfId="1" applyNumberFormat="1" applyFont="1" applyFill="1" applyBorder="1" applyAlignment="1">
      <alignment horizontal="right" vertical="center"/>
    </xf>
    <xf numFmtId="3" fontId="22" fillId="0" borderId="3" xfId="1" applyNumberFormat="1" applyFont="1" applyFill="1" applyBorder="1" applyAlignment="1">
      <alignment horizontal="right" vertical="center"/>
    </xf>
    <xf numFmtId="0" fontId="27" fillId="3" borderId="5" xfId="0" applyFont="1" applyFill="1" applyBorder="1"/>
    <xf numFmtId="0" fontId="28" fillId="0" borderId="0" xfId="0" applyFont="1" applyFill="1" applyBorder="1" applyAlignment="1">
      <alignment horizontal="left"/>
    </xf>
    <xf numFmtId="1" fontId="28" fillId="0" borderId="0" xfId="0" applyNumberFormat="1" applyFont="1" applyFill="1" applyBorder="1"/>
    <xf numFmtId="0" fontId="27" fillId="3" borderId="7" xfId="0" applyFont="1" applyFill="1" applyBorder="1" applyAlignment="1">
      <alignment horizontal="left"/>
    </xf>
    <xf numFmtId="1" fontId="27" fillId="3" borderId="7" xfId="0" applyNumberFormat="1" applyFont="1" applyFill="1" applyBorder="1"/>
    <xf numFmtId="0" fontId="27" fillId="3" borderId="5" xfId="0" applyFont="1" applyFill="1" applyBorder="1" applyAlignment="1">
      <alignment horizontal="right"/>
    </xf>
    <xf numFmtId="0" fontId="2" fillId="0" borderId="0" xfId="0" applyFont="1" applyFill="1" applyBorder="1" applyAlignment="1">
      <alignment vertical="center"/>
    </xf>
    <xf numFmtId="168" fontId="22" fillId="0" borderId="2" xfId="1" applyNumberFormat="1" applyFont="1" applyFill="1" applyBorder="1" applyAlignment="1">
      <alignment horizontal="right" vertical="center"/>
    </xf>
    <xf numFmtId="168" fontId="19" fillId="0" borderId="0" xfId="1" applyNumberFormat="1" applyFont="1" applyFill="1" applyBorder="1" applyAlignment="1">
      <alignment horizontal="right" vertical="center"/>
    </xf>
    <xf numFmtId="168" fontId="23" fillId="0" borderId="0" xfId="1" applyNumberFormat="1" applyFont="1" applyFill="1" applyBorder="1" applyAlignment="1">
      <alignment horizontal="right" vertical="center"/>
    </xf>
    <xf numFmtId="168" fontId="22" fillId="0" borderId="0" xfId="1" applyNumberFormat="1" applyFont="1" applyFill="1" applyBorder="1" applyAlignment="1">
      <alignment horizontal="right"/>
    </xf>
    <xf numFmtId="168" fontId="23" fillId="0" borderId="0" xfId="0" applyNumberFormat="1" applyFont="1" applyFill="1"/>
    <xf numFmtId="168" fontId="19" fillId="0" borderId="0" xfId="0" applyNumberFormat="1" applyFont="1" applyFill="1"/>
    <xf numFmtId="168" fontId="22" fillId="0" borderId="0" xfId="1" applyNumberFormat="1" applyFont="1" applyFill="1" applyBorder="1" applyAlignment="1">
      <alignment horizontal="right" vertical="center"/>
    </xf>
    <xf numFmtId="168" fontId="22" fillId="0" borderId="3" xfId="1" applyNumberFormat="1" applyFont="1" applyFill="1" applyBorder="1" applyAlignment="1">
      <alignment horizontal="right" vertical="center"/>
    </xf>
    <xf numFmtId="0" fontId="11" fillId="0" borderId="4" xfId="0" applyFont="1" applyBorder="1" applyAlignment="1">
      <alignment horizontal="right"/>
    </xf>
    <xf numFmtId="0" fontId="3" fillId="0" borderId="0" xfId="0" applyFont="1" applyAlignment="1"/>
    <xf numFmtId="0" fontId="26" fillId="0" borderId="0" xfId="0" applyFont="1"/>
    <xf numFmtId="0" fontId="29" fillId="3" borderId="5" xfId="0" applyFont="1" applyFill="1" applyBorder="1"/>
    <xf numFmtId="0" fontId="11" fillId="0" borderId="1" xfId="0" applyFont="1" applyBorder="1" applyAlignment="1">
      <alignment horizontal="right"/>
    </xf>
    <xf numFmtId="2" fontId="0" fillId="0" borderId="0" xfId="0" applyNumberFormat="1"/>
    <xf numFmtId="9" fontId="12" fillId="0" borderId="0" xfId="4" applyFont="1"/>
    <xf numFmtId="9" fontId="28" fillId="0" borderId="0" xfId="4" applyFont="1" applyFill="1" applyBorder="1"/>
    <xf numFmtId="9" fontId="27" fillId="3" borderId="7" xfId="4" applyFont="1" applyFill="1" applyBorder="1"/>
    <xf numFmtId="0" fontId="0" fillId="4" borderId="0" xfId="0" applyFill="1"/>
    <xf numFmtId="165" fontId="0" fillId="4" borderId="0" xfId="4" applyNumberFormat="1" applyFont="1" applyFill="1"/>
    <xf numFmtId="165" fontId="0" fillId="0" borderId="0" xfId="4" applyNumberFormat="1" applyFont="1"/>
    <xf numFmtId="169" fontId="20" fillId="0" borderId="6" xfId="0" applyNumberFormat="1" applyFont="1" applyBorder="1" applyAlignment="1">
      <alignment horizontal="center" vertical="center"/>
    </xf>
    <xf numFmtId="0" fontId="20" fillId="0" borderId="8" xfId="0" applyFont="1" applyBorder="1"/>
    <xf numFmtId="0" fontId="20" fillId="0" borderId="6" xfId="0" applyFont="1" applyBorder="1" applyAlignment="1">
      <alignment horizontal="center" vertical="center"/>
    </xf>
    <xf numFmtId="0" fontId="20" fillId="0" borderId="9" xfId="0" applyFont="1" applyBorder="1"/>
    <xf numFmtId="0" fontId="24" fillId="0" borderId="10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0" fillId="0" borderId="12" xfId="0" applyFont="1" applyBorder="1"/>
    <xf numFmtId="0" fontId="24" fillId="0" borderId="0" xfId="0" applyFont="1"/>
    <xf numFmtId="0" fontId="0" fillId="0" borderId="1" xfId="0" applyBorder="1" applyAlignment="1">
      <alignment horizontal="center"/>
    </xf>
    <xf numFmtId="165" fontId="31" fillId="5" borderId="1" xfId="0" applyNumberFormat="1" applyFont="1" applyFill="1" applyBorder="1"/>
    <xf numFmtId="3" fontId="31" fillId="5" borderId="1" xfId="0" applyNumberFormat="1" applyFont="1" applyFill="1" applyBorder="1"/>
    <xf numFmtId="0" fontId="31" fillId="5" borderId="1" xfId="0" applyFont="1" applyFill="1" applyBorder="1"/>
    <xf numFmtId="169" fontId="32" fillId="0" borderId="1" xfId="0" applyNumberFormat="1" applyFont="1" applyBorder="1" applyAlignment="1">
      <alignment horizontal="right"/>
    </xf>
    <xf numFmtId="165" fontId="32" fillId="0" borderId="1" xfId="0" applyNumberFormat="1" applyFont="1" applyBorder="1"/>
    <xf numFmtId="3" fontId="32" fillId="0" borderId="1" xfId="0" applyNumberFormat="1" applyFont="1" applyBorder="1"/>
    <xf numFmtId="0" fontId="32" fillId="0" borderId="1" xfId="0" applyFont="1" applyBorder="1" applyAlignment="1">
      <alignment horizontal="left"/>
    </xf>
    <xf numFmtId="0" fontId="31" fillId="5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vertical="center"/>
    </xf>
    <xf numFmtId="0" fontId="34" fillId="0" borderId="0" xfId="0" applyFont="1"/>
    <xf numFmtId="0" fontId="4" fillId="0" borderId="1" xfId="0" applyFont="1" applyFill="1" applyBorder="1" applyAlignment="1">
      <alignment horizontal="left" vertical="center"/>
    </xf>
    <xf numFmtId="3" fontId="4" fillId="0" borderId="1" xfId="1" applyNumberFormat="1" applyFont="1" applyFill="1" applyBorder="1" applyAlignment="1">
      <alignment horizontal="right" vertical="center"/>
    </xf>
    <xf numFmtId="168" fontId="4" fillId="0" borderId="1" xfId="1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indent="1"/>
    </xf>
    <xf numFmtId="3" fontId="2" fillId="0" borderId="1" xfId="1" applyNumberFormat="1" applyFont="1" applyFill="1" applyBorder="1" applyAlignment="1">
      <alignment horizontal="right" vertical="center"/>
    </xf>
    <xf numFmtId="168" fontId="2" fillId="0" borderId="1" xfId="1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indent="1"/>
    </xf>
    <xf numFmtId="3" fontId="3" fillId="0" borderId="1" xfId="1" applyNumberFormat="1" applyFont="1" applyFill="1" applyBorder="1" applyAlignment="1">
      <alignment horizontal="right" vertical="center"/>
    </xf>
    <xf numFmtId="168" fontId="3" fillId="0" borderId="1" xfId="1" applyNumberFormat="1" applyFont="1" applyFill="1" applyBorder="1" applyAlignment="1">
      <alignment horizontal="center" vertical="center"/>
    </xf>
    <xf numFmtId="3" fontId="9" fillId="0" borderId="1" xfId="0" applyNumberFormat="1" applyFont="1" applyFill="1" applyBorder="1"/>
    <xf numFmtId="168" fontId="9" fillId="0" borderId="1" xfId="0" applyNumberFormat="1" applyFont="1" applyFill="1" applyBorder="1" applyAlignment="1">
      <alignment horizontal="center"/>
    </xf>
    <xf numFmtId="0" fontId="38" fillId="6" borderId="1" xfId="0" applyFont="1" applyFill="1" applyBorder="1" applyAlignment="1">
      <alignment horizontal="left" vertical="center"/>
    </xf>
    <xf numFmtId="3" fontId="38" fillId="6" borderId="1" xfId="1" applyNumberFormat="1" applyFont="1" applyFill="1" applyBorder="1" applyAlignment="1">
      <alignment horizontal="right" vertical="center"/>
    </xf>
    <xf numFmtId="168" fontId="38" fillId="6" borderId="1" xfId="1" applyNumberFormat="1" applyFont="1" applyFill="1" applyBorder="1" applyAlignment="1">
      <alignment horizontal="center" vertical="center"/>
    </xf>
    <xf numFmtId="0" fontId="4" fillId="0" borderId="0" xfId="2" applyFont="1" applyFill="1" applyBorder="1" applyAlignment="1">
      <alignment horizontal="center" vertical="top" wrapText="1" shrinkToFit="1"/>
    </xf>
    <xf numFmtId="0" fontId="4" fillId="0" borderId="3" xfId="2" applyFont="1" applyFill="1" applyBorder="1" applyAlignment="1">
      <alignment horizontal="center" vertical="top" wrapText="1" shrinkToFit="1"/>
    </xf>
    <xf numFmtId="0" fontId="4" fillId="0" borderId="0" xfId="0" applyFont="1" applyFill="1" applyBorder="1" applyAlignment="1">
      <alignment horizontal="center" vertical="top" wrapText="1" shrinkToFit="1"/>
    </xf>
    <xf numFmtId="0" fontId="4" fillId="0" borderId="3" xfId="0" applyFont="1" applyFill="1" applyBorder="1" applyAlignment="1">
      <alignment horizontal="center" vertical="top" wrapText="1" shrinkToFit="1"/>
    </xf>
    <xf numFmtId="0" fontId="3" fillId="2" borderId="0" xfId="2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7" fillId="7" borderId="1" xfId="0" applyFont="1" applyFill="1" applyBorder="1" applyAlignment="1">
      <alignment horizontal="center" vertical="center" wrapText="1"/>
    </xf>
    <xf numFmtId="0" fontId="38" fillId="7" borderId="1" xfId="0" applyFont="1" applyFill="1" applyBorder="1" applyAlignment="1">
      <alignment horizontal="center" vertical="top" wrapText="1" shrinkToFit="1"/>
    </xf>
    <xf numFmtId="0" fontId="38" fillId="7" borderId="1" xfId="2" applyFont="1" applyFill="1" applyBorder="1" applyAlignment="1">
      <alignment horizontal="center" vertical="top" wrapText="1" shrinkToFit="1"/>
    </xf>
    <xf numFmtId="0" fontId="38" fillId="6" borderId="1" xfId="0" applyFont="1" applyFill="1" applyBorder="1" applyAlignment="1">
      <alignment horizontal="left"/>
    </xf>
    <xf numFmtId="3" fontId="38" fillId="6" borderId="1" xfId="1" applyNumberFormat="1" applyFont="1" applyFill="1" applyBorder="1" applyAlignment="1">
      <alignment horizontal="right"/>
    </xf>
    <xf numFmtId="168" fontId="38" fillId="6" borderId="1" xfId="1" applyNumberFormat="1" applyFont="1" applyFill="1" applyBorder="1" applyAlignment="1">
      <alignment horizontal="center"/>
    </xf>
    <xf numFmtId="3" fontId="1" fillId="0" borderId="1" xfId="0" applyNumberFormat="1" applyFont="1" applyFill="1" applyBorder="1"/>
    <xf numFmtId="168" fontId="1" fillId="0" borderId="1" xfId="0" applyNumberFormat="1" applyFont="1" applyFill="1" applyBorder="1" applyAlignment="1">
      <alignment horizontal="center"/>
    </xf>
  </cellXfs>
  <cellStyles count="5">
    <cellStyle name="Milliers_Estimation emploi 2004b" xfId="1"/>
    <cellStyle name="Normal" xfId="0" builtinId="0"/>
    <cellStyle name="Normal 2" xfId="2"/>
    <cellStyle name="Normal 4" xfId="3"/>
    <cellStyle name="Pourcentage" xfId="4" builtinId="5"/>
  </cellStyles>
  <dxfs count="0"/>
  <tableStyles count="0" defaultTableStyle="TableStyleMedium2" defaultPivotStyle="PivotStyleLight16"/>
  <colors>
    <mruColors>
      <color rgb="FF536779"/>
      <color rgb="FF000091"/>
      <color rgb="FF7FC6A4"/>
      <color rgb="FF009099"/>
      <color rgb="FFFFAF2C"/>
      <color rgb="FF465F9D"/>
      <color rgb="FF00A9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337445319335082"/>
          <c:y val="5.0925925925925923E-2"/>
          <c:w val="0.79606999125109357"/>
          <c:h val="0.48977014951782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Données!$B$32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Données!$A$33:$A$47</c:f>
              <c:strCache>
                <c:ptCount val="15"/>
                <c:pt idx="0">
                  <c:v>Protection des sols et des masses d'eau</c:v>
                </c:pt>
                <c:pt idx="1">
                  <c:v>Maîtrise de l'énergie</c:v>
                </c:pt>
                <c:pt idx="2">
                  <c:v>Energies renouvelables</c:v>
                </c:pt>
                <c:pt idx="3">
                  <c:v>Collecte et traitement des déchets</c:v>
                </c:pt>
                <c:pt idx="4">
                  <c:v>Gestion des eaux usées</c:v>
                </c:pt>
                <c:pt idx="5">
                  <c:v>Administration générale relative à l'environnement</c:v>
                </c:pt>
                <c:pt idx="6">
                  <c:v>Récupération de matériaux de recyclage</c:v>
                </c:pt>
                <c:pt idx="7">
                  <c:v>Protection de la biodiversité et des paysages</c:v>
                </c:pt>
                <c:pt idx="8">
                  <c:v>R &amp; D environnementale</c:v>
                </c:pt>
                <c:pt idx="9">
                  <c:v>Ingénierie environnementale</c:v>
                </c:pt>
                <c:pt idx="10">
                  <c:v>Protection de l'air extérieur</c:v>
                </c:pt>
                <c:pt idx="11">
                  <c:v>Gestion durable de la forêt</c:v>
                </c:pt>
                <c:pt idx="12">
                  <c:v>Lutte contre le bruit</c:v>
                </c:pt>
                <c:pt idx="13">
                  <c:v>Gestion des ressources en eau</c:v>
                </c:pt>
                <c:pt idx="14">
                  <c:v>Protection contre les radiations</c:v>
                </c:pt>
              </c:strCache>
            </c:strRef>
          </c:cat>
          <c:val>
            <c:numRef>
              <c:f>Données!$B$33:$B$47</c:f>
              <c:numCache>
                <c:formatCode>0</c:formatCode>
                <c:ptCount val="15"/>
                <c:pt idx="0">
                  <c:v>31321.424173542924</c:v>
                </c:pt>
                <c:pt idx="1">
                  <c:v>70573.214470210369</c:v>
                </c:pt>
                <c:pt idx="2">
                  <c:v>32978.281283071781</c:v>
                </c:pt>
                <c:pt idx="3">
                  <c:v>73569.135727711531</c:v>
                </c:pt>
                <c:pt idx="4">
                  <c:v>65242.935662403528</c:v>
                </c:pt>
                <c:pt idx="5">
                  <c:v>32371.867317698823</c:v>
                </c:pt>
                <c:pt idx="6">
                  <c:v>17505.178437534534</c:v>
                </c:pt>
                <c:pt idx="7">
                  <c:v>19109.922245152247</c:v>
                </c:pt>
                <c:pt idx="8">
                  <c:v>17399.737990954985</c:v>
                </c:pt>
                <c:pt idx="9">
                  <c:v>9402.9960970931697</c:v>
                </c:pt>
                <c:pt idx="10">
                  <c:v>7797.5827913001876</c:v>
                </c:pt>
                <c:pt idx="11">
                  <c:v>12243.118019775231</c:v>
                </c:pt>
                <c:pt idx="12">
                  <c:v>3659.3728648005317</c:v>
                </c:pt>
                <c:pt idx="13">
                  <c:v>3596.45263811112</c:v>
                </c:pt>
                <c:pt idx="14">
                  <c:v>4079.4274363853792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0D-48D5-8FBE-A97DEB7D2E28}"/>
            </c:ext>
          </c:extLst>
        </c:ser>
        <c:ser>
          <c:idx val="1"/>
          <c:order val="1"/>
          <c:tx>
            <c:strRef>
              <c:f>Données!$J$32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Données!$A$33:$A$47</c:f>
              <c:strCache>
                <c:ptCount val="15"/>
                <c:pt idx="0">
                  <c:v>Protection des sols et des masses d'eau</c:v>
                </c:pt>
                <c:pt idx="1">
                  <c:v>Maîtrise de l'énergie</c:v>
                </c:pt>
                <c:pt idx="2">
                  <c:v>Energies renouvelables</c:v>
                </c:pt>
                <c:pt idx="3">
                  <c:v>Collecte et traitement des déchets</c:v>
                </c:pt>
                <c:pt idx="4">
                  <c:v>Gestion des eaux usées</c:v>
                </c:pt>
                <c:pt idx="5">
                  <c:v>Administration générale relative à l'environnement</c:v>
                </c:pt>
                <c:pt idx="6">
                  <c:v>Récupération de matériaux de recyclage</c:v>
                </c:pt>
                <c:pt idx="7">
                  <c:v>Protection de la biodiversité et des paysages</c:v>
                </c:pt>
                <c:pt idx="8">
                  <c:v>R &amp; D environnementale</c:v>
                </c:pt>
                <c:pt idx="9">
                  <c:v>Ingénierie environnementale</c:v>
                </c:pt>
                <c:pt idx="10">
                  <c:v>Protection de l'air extérieur</c:v>
                </c:pt>
                <c:pt idx="11">
                  <c:v>Gestion durable de la forêt</c:v>
                </c:pt>
                <c:pt idx="12">
                  <c:v>Lutte contre le bruit</c:v>
                </c:pt>
                <c:pt idx="13">
                  <c:v>Gestion des ressources en eau</c:v>
                </c:pt>
                <c:pt idx="14">
                  <c:v>Protection contre les radiations</c:v>
                </c:pt>
              </c:strCache>
            </c:strRef>
          </c:cat>
          <c:val>
            <c:numRef>
              <c:f>Données!$J$33:$J$47</c:f>
              <c:numCache>
                <c:formatCode>0</c:formatCode>
                <c:ptCount val="15"/>
                <c:pt idx="0">
                  <c:v>67327.5561399164</c:v>
                </c:pt>
                <c:pt idx="1">
                  <c:v>102444.4091852023</c:v>
                </c:pt>
                <c:pt idx="2">
                  <c:v>69723.033783426101</c:v>
                </c:pt>
                <c:pt idx="3">
                  <c:v>100457.28811131019</c:v>
                </c:pt>
                <c:pt idx="4">
                  <c:v>55643.180804160053</c:v>
                </c:pt>
                <c:pt idx="5">
                  <c:v>46049.11856365206</c:v>
                </c:pt>
                <c:pt idx="6">
                  <c:v>26912.866556444933</c:v>
                </c:pt>
                <c:pt idx="7">
                  <c:v>25204.374372534752</c:v>
                </c:pt>
                <c:pt idx="8">
                  <c:v>27832.566819695679</c:v>
                </c:pt>
                <c:pt idx="9">
                  <c:v>13204.09839139844</c:v>
                </c:pt>
                <c:pt idx="10">
                  <c:v>6790.779555661934</c:v>
                </c:pt>
                <c:pt idx="11">
                  <c:v>10483.673459059341</c:v>
                </c:pt>
                <c:pt idx="12">
                  <c:v>5656.2240178172069</c:v>
                </c:pt>
                <c:pt idx="13">
                  <c:v>4433.5071657180106</c:v>
                </c:pt>
                <c:pt idx="14">
                  <c:v>3706.7927163272075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0D-48D5-8FBE-A97DEB7D2E28}"/>
            </c:ext>
          </c:extLst>
        </c:ser>
        <c:ser>
          <c:idx val="2"/>
          <c:order val="2"/>
          <c:tx>
            <c:strRef>
              <c:f>Données!$S$32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Données!$A$33:$A$47</c:f>
              <c:strCache>
                <c:ptCount val="15"/>
                <c:pt idx="0">
                  <c:v>Protection des sols et des masses d'eau</c:v>
                </c:pt>
                <c:pt idx="1">
                  <c:v>Maîtrise de l'énergie</c:v>
                </c:pt>
                <c:pt idx="2">
                  <c:v>Energies renouvelables</c:v>
                </c:pt>
                <c:pt idx="3">
                  <c:v>Collecte et traitement des déchets</c:v>
                </c:pt>
                <c:pt idx="4">
                  <c:v>Gestion des eaux usées</c:v>
                </c:pt>
                <c:pt idx="5">
                  <c:v>Administration générale relative à l'environnement</c:v>
                </c:pt>
                <c:pt idx="6">
                  <c:v>Récupération de matériaux de recyclage</c:v>
                </c:pt>
                <c:pt idx="7">
                  <c:v>Protection de la biodiversité et des paysages</c:v>
                </c:pt>
                <c:pt idx="8">
                  <c:v>R &amp; D environnementale</c:v>
                </c:pt>
                <c:pt idx="9">
                  <c:v>Ingénierie environnementale</c:v>
                </c:pt>
                <c:pt idx="10">
                  <c:v>Protection de l'air extérieur</c:v>
                </c:pt>
                <c:pt idx="11">
                  <c:v>Gestion durable de la forêt</c:v>
                </c:pt>
                <c:pt idx="12">
                  <c:v>Lutte contre le bruit</c:v>
                </c:pt>
                <c:pt idx="13">
                  <c:v>Gestion des ressources en eau</c:v>
                </c:pt>
                <c:pt idx="14">
                  <c:v>Protection contre les radiations</c:v>
                </c:pt>
              </c:strCache>
            </c:strRef>
          </c:cat>
          <c:val>
            <c:numRef>
              <c:f>Données!$S$33:$S$47</c:f>
              <c:numCache>
                <c:formatCode>0</c:formatCode>
                <c:ptCount val="15"/>
                <c:pt idx="0">
                  <c:v>151838.79074356207</c:v>
                </c:pt>
                <c:pt idx="1">
                  <c:v>126907.76247328216</c:v>
                </c:pt>
                <c:pt idx="2">
                  <c:v>109781.21716617503</c:v>
                </c:pt>
                <c:pt idx="3">
                  <c:v>101972.56797594904</c:v>
                </c:pt>
                <c:pt idx="4">
                  <c:v>57740.509819253326</c:v>
                </c:pt>
                <c:pt idx="5">
                  <c:v>52724.472333641228</c:v>
                </c:pt>
                <c:pt idx="6">
                  <c:v>34216.392504932453</c:v>
                </c:pt>
                <c:pt idx="7">
                  <c:v>33323.15645481227</c:v>
                </c:pt>
                <c:pt idx="8">
                  <c:v>27048.438626253672</c:v>
                </c:pt>
                <c:pt idx="9">
                  <c:v>13652.6011466661</c:v>
                </c:pt>
                <c:pt idx="10">
                  <c:v>12463.589787398199</c:v>
                </c:pt>
                <c:pt idx="11">
                  <c:v>10484.2923950966</c:v>
                </c:pt>
                <c:pt idx="12">
                  <c:v>5438.045670459318</c:v>
                </c:pt>
                <c:pt idx="13">
                  <c:v>4508.051030591464</c:v>
                </c:pt>
                <c:pt idx="14">
                  <c:v>3541.2216626977488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A2-4268-86F8-B3258CE4C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7550111"/>
        <c:axId val="1572984079"/>
      </c:barChart>
      <c:catAx>
        <c:axId val="157755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fr-FR"/>
          </a:p>
        </c:txPr>
        <c:crossAx val="1572984079"/>
        <c:crosses val="autoZero"/>
        <c:auto val="1"/>
        <c:lblAlgn val="ctr"/>
        <c:lblOffset val="100"/>
        <c:noMultiLvlLbl val="0"/>
      </c:catAx>
      <c:valAx>
        <c:axId val="1572984079"/>
        <c:scaling>
          <c:orientation val="minMax"/>
          <c:max val="140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fr-FR"/>
          </a:p>
        </c:txPr>
        <c:crossAx val="157755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599526557817876"/>
          <c:y val="0.93743176542228179"/>
          <c:w val="0.17552711335611351"/>
          <c:h val="4.43151852590938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186611646033929E-2"/>
          <c:y val="2.3121690713516288E-2"/>
          <c:w val="0.90840660686139596"/>
          <c:h val="0.799375540485185"/>
        </c:manualLayout>
      </c:layout>
      <c:lineChart>
        <c:grouping val="standard"/>
        <c:varyColors val="0"/>
        <c:ser>
          <c:idx val="0"/>
          <c:order val="0"/>
          <c:tx>
            <c:strRef>
              <c:f>'graphique 2'!$A$37</c:f>
              <c:strCache>
                <c:ptCount val="1"/>
                <c:pt idx="0">
                  <c:v>Éco-activités</c:v>
                </c:pt>
              </c:strCache>
            </c:strRef>
          </c:tx>
          <c:spPr>
            <a:ln w="19050">
              <a:solidFill>
                <a:srgbClr val="00A95F"/>
              </a:solidFill>
              <a:prstDash val="solid"/>
            </a:ln>
          </c:spPr>
          <c:marker>
            <c:symbol val="none"/>
          </c:marker>
          <c:cat>
            <c:numRef>
              <c:f>'graphique 2'!$B$36:$S$36</c:f>
              <c:numCache>
                <c:formatCode>General</c:formatCode>
                <c:ptCount val="18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</c:numCache>
            </c:numRef>
          </c:cat>
          <c:val>
            <c:numRef>
              <c:f>'graphique 2'!$B$37:$S$37</c:f>
              <c:numCache>
                <c:formatCode>0.0</c:formatCode>
                <c:ptCount val="18"/>
                <c:pt idx="0">
                  <c:v>82.943613559694512</c:v>
                </c:pt>
                <c:pt idx="1">
                  <c:v>87.006752878563177</c:v>
                </c:pt>
                <c:pt idx="2">
                  <c:v>90.246883715592887</c:v>
                </c:pt>
                <c:pt idx="3">
                  <c:v>94.899474402600717</c:v>
                </c:pt>
                <c:pt idx="4">
                  <c:v>100</c:v>
                </c:pt>
                <c:pt idx="5">
                  <c:v>106.60316450804712</c:v>
                </c:pt>
                <c:pt idx="6">
                  <c:v>117.35937879063212</c:v>
                </c:pt>
                <c:pt idx="7">
                  <c:v>117.92716516589805</c:v>
                </c:pt>
                <c:pt idx="8">
                  <c:v>117.08914267264747</c:v>
                </c:pt>
                <c:pt idx="9">
                  <c:v>117.89703045160786</c:v>
                </c:pt>
                <c:pt idx="10">
                  <c:v>117.79677675107121</c:v>
                </c:pt>
                <c:pt idx="11">
                  <c:v>119.46101043911503</c:v>
                </c:pt>
                <c:pt idx="12">
                  <c:v>119.84965719129852</c:v>
                </c:pt>
                <c:pt idx="13">
                  <c:v>124.10784338591793</c:v>
                </c:pt>
                <c:pt idx="14">
                  <c:v>128.74026104018617</c:v>
                </c:pt>
                <c:pt idx="15">
                  <c:v>133.75049528421309</c:v>
                </c:pt>
                <c:pt idx="16">
                  <c:v>137.98294584490409</c:v>
                </c:pt>
                <c:pt idx="17">
                  <c:v>154.28731000820298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64-4DF3-8D5C-E98244DDDF8D}"/>
            </c:ext>
          </c:extLst>
        </c:ser>
        <c:ser>
          <c:idx val="1"/>
          <c:order val="1"/>
          <c:tx>
            <c:strRef>
              <c:f>'graphique 2'!$A$38</c:f>
              <c:strCache>
                <c:ptCount val="1"/>
                <c:pt idx="0">
                  <c:v>Activités périphériques</c:v>
                </c:pt>
              </c:strCache>
            </c:strRef>
          </c:tx>
          <c:spPr>
            <a:ln w="19050">
              <a:solidFill>
                <a:srgbClr val="FFAF2C"/>
              </a:solidFill>
              <a:prstDash val="solid"/>
            </a:ln>
          </c:spPr>
          <c:marker>
            <c:symbol val="none"/>
          </c:marker>
          <c:cat>
            <c:numRef>
              <c:f>'graphique 2'!$B$36:$S$36</c:f>
              <c:numCache>
                <c:formatCode>General</c:formatCode>
                <c:ptCount val="18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</c:numCache>
            </c:numRef>
          </c:cat>
          <c:val>
            <c:numRef>
              <c:f>'graphique 2'!$B$38:$S$38</c:f>
              <c:numCache>
                <c:formatCode>0.0</c:formatCode>
                <c:ptCount val="18"/>
                <c:pt idx="4">
                  <c:v>100</c:v>
                </c:pt>
                <c:pt idx="5">
                  <c:v>102.04554281489749</c:v>
                </c:pt>
                <c:pt idx="6">
                  <c:v>101.38111305986853</c:v>
                </c:pt>
                <c:pt idx="7">
                  <c:v>102.85888277102922</c:v>
                </c:pt>
                <c:pt idx="8">
                  <c:v>105.1378955670607</c:v>
                </c:pt>
                <c:pt idx="9">
                  <c:v>108.810307737724</c:v>
                </c:pt>
                <c:pt idx="10">
                  <c:v>109.11247746976855</c:v>
                </c:pt>
                <c:pt idx="11">
                  <c:v>108.54114795212746</c:v>
                </c:pt>
                <c:pt idx="12">
                  <c:v>110.57092595898328</c:v>
                </c:pt>
                <c:pt idx="13">
                  <c:v>110.08616529361264</c:v>
                </c:pt>
                <c:pt idx="14">
                  <c:v>111.16956748387014</c:v>
                </c:pt>
                <c:pt idx="15">
                  <c:v>112.28180249544725</c:v>
                </c:pt>
                <c:pt idx="16">
                  <c:v>106.53869739777259</c:v>
                </c:pt>
                <c:pt idx="17">
                  <c:v>113.10626792040976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64-4DF3-8D5C-E98244DDDF8D}"/>
            </c:ext>
          </c:extLst>
        </c:ser>
        <c:ser>
          <c:idx val="2"/>
          <c:order val="2"/>
          <c:tx>
            <c:strRef>
              <c:f>'graphique 2'!$A$39</c:f>
              <c:strCache>
                <c:ptCount val="1"/>
                <c:pt idx="0">
                  <c:v>Emploi total national</c:v>
                </c:pt>
              </c:strCache>
            </c:strRef>
          </c:tx>
          <c:spPr>
            <a:ln w="19050">
              <a:solidFill>
                <a:srgbClr val="465F9D"/>
              </a:solidFill>
              <a:prstDash val="solid"/>
            </a:ln>
          </c:spPr>
          <c:marker>
            <c:symbol val="none"/>
          </c:marker>
          <c:cat>
            <c:numRef>
              <c:f>'graphique 2'!$B$36:$S$36</c:f>
              <c:numCache>
                <c:formatCode>General</c:formatCode>
                <c:ptCount val="18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</c:numCache>
            </c:numRef>
          </c:cat>
          <c:val>
            <c:numRef>
              <c:f>'graphique 2'!$B$39:$S$39</c:f>
              <c:numCache>
                <c:formatCode>0.0</c:formatCode>
                <c:ptCount val="18"/>
                <c:pt idx="0">
                  <c:v>96.023167679478988</c:v>
                </c:pt>
                <c:pt idx="1">
                  <c:v>96.69466302136</c:v>
                </c:pt>
                <c:pt idx="2">
                  <c:v>98.093131660054965</c:v>
                </c:pt>
                <c:pt idx="3">
                  <c:v>99.579489038107639</c:v>
                </c:pt>
                <c:pt idx="4">
                  <c:v>100</c:v>
                </c:pt>
                <c:pt idx="5">
                  <c:v>98.906104366010183</c:v>
                </c:pt>
                <c:pt idx="6">
                  <c:v>98.890299141349374</c:v>
                </c:pt>
                <c:pt idx="7">
                  <c:v>99.377967055748869</c:v>
                </c:pt>
                <c:pt idx="8">
                  <c:v>99.489768338988</c:v>
                </c:pt>
                <c:pt idx="9">
                  <c:v>99.626322822295208</c:v>
                </c:pt>
                <c:pt idx="10">
                  <c:v>99.967015464478948</c:v>
                </c:pt>
                <c:pt idx="11">
                  <c:v>100.30236916693384</c:v>
                </c:pt>
                <c:pt idx="12">
                  <c:v>100.75495674945883</c:v>
                </c:pt>
                <c:pt idx="13">
                  <c:v>101.86901360407975</c:v>
                </c:pt>
                <c:pt idx="14">
                  <c:v>102.87200964962184</c:v>
                </c:pt>
                <c:pt idx="15">
                  <c:v>104.19361913036735</c:v>
                </c:pt>
                <c:pt idx="16">
                  <c:v>104.07797249048704</c:v>
                </c:pt>
                <c:pt idx="17">
                  <c:v>107.11272173401214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4-4DF3-8D5C-E98244DDD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6733184"/>
        <c:axId val="177432256"/>
      </c:lineChart>
      <c:catAx>
        <c:axId val="21673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C0C0C0"/>
            </a:solidFill>
            <a:prstDash val="solid"/>
          </a:ln>
        </c:spPr>
        <c:txPr>
          <a:bodyPr/>
          <a:lstStyle/>
          <a:p>
            <a:pPr>
              <a:defRPr sz="800" baseline="0"/>
            </a:pPr>
            <a:endParaRPr lang="fr-FR"/>
          </a:p>
        </c:txPr>
        <c:crossAx val="177432256"/>
        <c:crosses val="autoZero"/>
        <c:auto val="1"/>
        <c:lblAlgn val="ctr"/>
        <c:lblOffset val="100"/>
        <c:noMultiLvlLbl val="0"/>
      </c:catAx>
      <c:valAx>
        <c:axId val="177432256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  <a:prstDash val="sysDot"/>
            </a:ln>
          </c:spPr>
        </c:majorGridlines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aseline="0"/>
            </a:pPr>
            <a:endParaRPr lang="fr-FR"/>
          </a:p>
        </c:txPr>
        <c:crossAx val="216733184"/>
        <c:crosses val="autoZero"/>
        <c:crossBetween val="midCat"/>
        <c:majorUnit val="20"/>
      </c:valAx>
    </c:plotArea>
    <c:legend>
      <c:legendPos val="r"/>
      <c:layout>
        <c:manualLayout>
          <c:xMode val="edge"/>
          <c:yMode val="edge"/>
          <c:x val="6.0590809854418663E-2"/>
          <c:y val="0.90411298785085226"/>
          <c:w val="0.86244899580124701"/>
          <c:h val="6.0693641618497107E-2"/>
        </c:manualLayout>
      </c:layout>
      <c:overlay val="0"/>
      <c:txPr>
        <a:bodyPr/>
        <a:lstStyle/>
        <a:p>
          <a:pPr>
            <a:defRPr sz="800" baseline="0"/>
          </a:pPr>
          <a:endParaRPr lang="fr-FR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'graphique 3 '!$B$42</c:f>
              <c:strCache>
                <c:ptCount val="1"/>
                <c:pt idx="0">
                  <c:v>BTP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'graphique 3 '!$C$41:$I$41</c:f>
              <c:strCache>
                <c:ptCount val="7"/>
                <c:pt idx="0">
                  <c:v>Tension</c:v>
                </c:pt>
                <c:pt idx="1">
                  <c:v>Intensité d'embauches</c:v>
                </c:pt>
                <c:pt idx="2">
                  <c:v>Lien formation-emploi</c:v>
                </c:pt>
                <c:pt idx="3">
                  <c:v>Manque de main-d'œuvre disponible</c:v>
                </c:pt>
                <c:pt idx="4">
                  <c:v>Non-durabilité de l'emploi</c:v>
                </c:pt>
                <c:pt idx="5">
                  <c:v>Conditions de travail contraignantes</c:v>
                </c:pt>
                <c:pt idx="6">
                  <c:v>Inadéquation géographique</c:v>
                </c:pt>
              </c:strCache>
            </c:strRef>
          </c:cat>
          <c:val>
            <c:numRef>
              <c:f>'graphique 3 '!$C$42:$I$42</c:f>
              <c:numCache>
                <c:formatCode>0.000</c:formatCode>
                <c:ptCount val="7"/>
                <c:pt idx="0" formatCode="General">
                  <c:v>1.6258724962262838</c:v>
                </c:pt>
                <c:pt idx="1">
                  <c:v>2.7508707855030261</c:v>
                </c:pt>
                <c:pt idx="2">
                  <c:v>0.66886452696841137</c:v>
                </c:pt>
                <c:pt idx="3">
                  <c:v>0.2183780976622734</c:v>
                </c:pt>
                <c:pt idx="4">
                  <c:v>-0.31929546917589341</c:v>
                </c:pt>
                <c:pt idx="5">
                  <c:v>-0.10483869249544618</c:v>
                </c:pt>
                <c:pt idx="6">
                  <c:v>0.17104321344247483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8E-435C-A91E-06BAF20D7334}"/>
            </c:ext>
          </c:extLst>
        </c:ser>
        <c:ser>
          <c:idx val="2"/>
          <c:order val="1"/>
          <c:tx>
            <c:strRef>
              <c:f>'graphique 3 '!$B$43</c:f>
              <c:strCache>
                <c:ptCount val="1"/>
                <c:pt idx="0">
                  <c:v>Transports, logistique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'graphique 3 '!$C$41:$I$41</c:f>
              <c:strCache>
                <c:ptCount val="7"/>
                <c:pt idx="0">
                  <c:v>Tension</c:v>
                </c:pt>
                <c:pt idx="1">
                  <c:v>Intensité d'embauches</c:v>
                </c:pt>
                <c:pt idx="2">
                  <c:v>Lien formation-emploi</c:v>
                </c:pt>
                <c:pt idx="3">
                  <c:v>Manque de main-d'œuvre disponible</c:v>
                </c:pt>
                <c:pt idx="4">
                  <c:v>Non-durabilité de l'emploi</c:v>
                </c:pt>
                <c:pt idx="5">
                  <c:v>Conditions de travail contraignantes</c:v>
                </c:pt>
                <c:pt idx="6">
                  <c:v>Inadéquation géographique</c:v>
                </c:pt>
              </c:strCache>
            </c:strRef>
          </c:cat>
          <c:val>
            <c:numRef>
              <c:f>'graphique 3 '!$C$43:$I$43</c:f>
              <c:numCache>
                <c:formatCode>0.000</c:formatCode>
                <c:ptCount val="7"/>
                <c:pt idx="0">
                  <c:v>0.83555230324882068</c:v>
                </c:pt>
                <c:pt idx="1">
                  <c:v>0.46348299340789356</c:v>
                </c:pt>
                <c:pt idx="2">
                  <c:v>-0.4010008739068559</c:v>
                </c:pt>
                <c:pt idx="3">
                  <c:v>0.72760454403737651</c:v>
                </c:pt>
                <c:pt idx="4">
                  <c:v>-0.28484524368201097</c:v>
                </c:pt>
                <c:pt idx="5">
                  <c:v>-0.36800271534359108</c:v>
                </c:pt>
                <c:pt idx="6">
                  <c:v>0.34870608497918476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8E-435C-A91E-06BAF20D7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9035336"/>
        <c:axId val="899032712"/>
        <c:extLst/>
      </c:radarChart>
      <c:catAx>
        <c:axId val="899035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899032712"/>
        <c:crosses val="autoZero"/>
        <c:auto val="1"/>
        <c:lblAlgn val="ctr"/>
        <c:lblOffset val="100"/>
        <c:noMultiLvlLbl val="0"/>
      </c:catAx>
      <c:valAx>
        <c:axId val="899032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899035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117474</xdr:rowOff>
    </xdr:from>
    <xdr:to>
      <xdr:col>8</xdr:col>
      <xdr:colOff>635000</xdr:colOff>
      <xdr:row>24</xdr:row>
      <xdr:rowOff>180975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174625</xdr:rowOff>
    </xdr:from>
    <xdr:to>
      <xdr:col>6</xdr:col>
      <xdr:colOff>47625</xdr:colOff>
      <xdr:row>20</xdr:row>
      <xdr:rowOff>12700</xdr:rowOff>
    </xdr:to>
    <xdr:graphicFrame macro="">
      <xdr:nvGraphicFramePr>
        <xdr:cNvPr id="1040" name="Graphique 2">
          <a:extLst>
            <a:ext uri="{FF2B5EF4-FFF2-40B4-BE49-F238E27FC236}">
              <a16:creationId xmlns:a16="http://schemas.microsoft.com/office/drawing/2014/main" id="{00000000-0008-0000-0200-000010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142874</xdr:rowOff>
    </xdr:from>
    <xdr:to>
      <xdr:col>8</xdr:col>
      <xdr:colOff>595313</xdr:colOff>
      <xdr:row>32</xdr:row>
      <xdr:rowOff>23812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5691B63-F95A-4BCD-B68A-204E581D49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laetitia.otte\Documents\Activite_partielle_Corona\Programmes\Redig_Note_AP_mai_v4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anne-marie.stoliarof\AppData\Local\Microsoft\Windows\Temporary%20Internet%20Files\Content.Outlook\QXX9NMBE\Illustrations_DaresIndicateurs_2019T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caro\PMAPT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nne-marie.stoliarof\AppData\Local\Microsoft\Windows\Temporary%20Internet%20Files\Content.Outlook\QXX9NMBE\Illustrations_DaresIndicateurs_2019T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-utilisateurs\mbobbio\Donnees\Restructurations\Bilan\2003\Etude_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ez-moi"/>
      <sheetName val="Template"/>
      <sheetName val="Figure 1"/>
      <sheetName val="Figure 2"/>
      <sheetName val="Figure 4"/>
      <sheetName val="Figure 5"/>
      <sheetName val="Figure 6"/>
      <sheetName val="Figure 7"/>
      <sheetName val="Figure 8"/>
      <sheetName val="Figure 9"/>
      <sheetName val="Figure 10"/>
      <sheetName val="Figure11"/>
      <sheetName val="Annexe"/>
      <sheetName val="Data"/>
      <sheetName val="Calculs_chiffres_txt"/>
      <sheetName val="DAP par date de dépôt"/>
      <sheetName val="DAP par secteur"/>
      <sheetName val="DAP par région"/>
      <sheetName val="Effectif susceptible AP"/>
      <sheetName val="DI par date de dépôt"/>
      <sheetName val="DI par secteur"/>
      <sheetName val="DI par région"/>
      <sheetName val="DI par taille d'UL"/>
      <sheetName val="DI et DAP par secteur"/>
      <sheetName val="DI et DAP par taille_ul"/>
      <sheetName val="DAP DI date dépot"/>
      <sheetName val="DAP par statut"/>
      <sheetName val="DI par statut"/>
      <sheetName val="Nombre d'UL et d'établissements"/>
      <sheetName val="Listes"/>
      <sheetName val="Calculs"/>
      <sheetName val="Requêtes"/>
    </sheetNames>
    <sheetDataSet>
      <sheetData sheetId="0"/>
      <sheetData sheetId="1"/>
      <sheetData sheetId="2">
        <row r="2">
          <cell r="A2">
            <v>43891</v>
          </cell>
          <cell r="B2">
            <v>1</v>
          </cell>
          <cell r="C2">
            <v>4</v>
          </cell>
        </row>
        <row r="3">
          <cell r="A3">
            <v>43892</v>
          </cell>
          <cell r="B3">
            <v>124</v>
          </cell>
          <cell r="C3">
            <v>6203</v>
          </cell>
        </row>
        <row r="4">
          <cell r="A4">
            <v>43893</v>
          </cell>
          <cell r="B4">
            <v>289</v>
          </cell>
          <cell r="C4">
            <v>10629</v>
          </cell>
        </row>
        <row r="5">
          <cell r="A5">
            <v>43894</v>
          </cell>
          <cell r="B5">
            <v>490</v>
          </cell>
          <cell r="C5">
            <v>13179</v>
          </cell>
        </row>
        <row r="6">
          <cell r="A6">
            <v>43895</v>
          </cell>
          <cell r="B6">
            <v>792</v>
          </cell>
          <cell r="C6">
            <v>21329</v>
          </cell>
        </row>
        <row r="7">
          <cell r="A7">
            <v>43896</v>
          </cell>
          <cell r="B7">
            <v>1269</v>
          </cell>
          <cell r="C7">
            <v>30875</v>
          </cell>
        </row>
        <row r="8">
          <cell r="A8">
            <v>43897</v>
          </cell>
          <cell r="B8">
            <v>1294</v>
          </cell>
          <cell r="C8">
            <v>31014</v>
          </cell>
        </row>
        <row r="9">
          <cell r="A9">
            <v>43898</v>
          </cell>
          <cell r="B9">
            <v>1311</v>
          </cell>
          <cell r="C9">
            <v>31126</v>
          </cell>
        </row>
        <row r="10">
          <cell r="A10">
            <v>43899</v>
          </cell>
          <cell r="B10">
            <v>1940</v>
          </cell>
          <cell r="C10">
            <v>42123</v>
          </cell>
        </row>
        <row r="11">
          <cell r="A11">
            <v>43900</v>
          </cell>
          <cell r="B11">
            <v>2789</v>
          </cell>
          <cell r="C11">
            <v>58927</v>
          </cell>
        </row>
        <row r="12">
          <cell r="A12">
            <v>43901</v>
          </cell>
          <cell r="B12">
            <v>3900</v>
          </cell>
          <cell r="C12">
            <v>74123</v>
          </cell>
        </row>
        <row r="13">
          <cell r="A13">
            <v>43902</v>
          </cell>
          <cell r="B13">
            <v>5444</v>
          </cell>
          <cell r="C13">
            <v>103190</v>
          </cell>
        </row>
        <row r="14">
          <cell r="A14">
            <v>43903</v>
          </cell>
          <cell r="B14">
            <v>7213</v>
          </cell>
          <cell r="C14">
            <v>138645</v>
          </cell>
        </row>
        <row r="15">
          <cell r="A15">
            <v>43904</v>
          </cell>
          <cell r="B15">
            <v>7679</v>
          </cell>
          <cell r="C15">
            <v>146375</v>
          </cell>
        </row>
        <row r="16">
          <cell r="A16">
            <v>43905</v>
          </cell>
          <cell r="B16">
            <v>8329</v>
          </cell>
          <cell r="C16">
            <v>157358</v>
          </cell>
        </row>
        <row r="17">
          <cell r="A17">
            <v>43906</v>
          </cell>
          <cell r="B17">
            <v>8654</v>
          </cell>
          <cell r="C17">
            <v>164800</v>
          </cell>
        </row>
        <row r="18">
          <cell r="A18">
            <v>43907</v>
          </cell>
          <cell r="B18">
            <v>16116</v>
          </cell>
          <cell r="C18">
            <v>329466</v>
          </cell>
        </row>
        <row r="19">
          <cell r="A19">
            <v>43908</v>
          </cell>
          <cell r="B19">
            <v>20648</v>
          </cell>
          <cell r="C19">
            <v>438778</v>
          </cell>
        </row>
        <row r="20">
          <cell r="A20">
            <v>43909</v>
          </cell>
          <cell r="B20">
            <v>25667</v>
          </cell>
          <cell r="C20">
            <v>539405</v>
          </cell>
        </row>
        <row r="21">
          <cell r="A21">
            <v>43910</v>
          </cell>
          <cell r="B21">
            <v>29894</v>
          </cell>
          <cell r="C21">
            <v>635944</v>
          </cell>
        </row>
        <row r="22">
          <cell r="A22">
            <v>43911</v>
          </cell>
          <cell r="B22">
            <v>30541</v>
          </cell>
          <cell r="C22">
            <v>645572</v>
          </cell>
        </row>
        <row r="23">
          <cell r="A23">
            <v>43912</v>
          </cell>
          <cell r="B23">
            <v>31355</v>
          </cell>
          <cell r="C23">
            <v>654455</v>
          </cell>
        </row>
        <row r="24">
          <cell r="A24">
            <v>43913</v>
          </cell>
          <cell r="B24">
            <v>50325</v>
          </cell>
          <cell r="C24">
            <v>847166</v>
          </cell>
        </row>
        <row r="25">
          <cell r="A25">
            <v>43914</v>
          </cell>
          <cell r="B25">
            <v>98464</v>
          </cell>
          <cell r="C25">
            <v>1263896</v>
          </cell>
        </row>
        <row r="26">
          <cell r="A26">
            <v>43915</v>
          </cell>
          <cell r="B26">
            <v>154278</v>
          </cell>
          <cell r="C26">
            <v>1723387</v>
          </cell>
        </row>
        <row r="27">
          <cell r="A27">
            <v>43916</v>
          </cell>
          <cell r="B27">
            <v>207018</v>
          </cell>
          <cell r="C27">
            <v>2176108</v>
          </cell>
        </row>
        <row r="28">
          <cell r="A28">
            <v>43917</v>
          </cell>
          <cell r="B28">
            <v>256368</v>
          </cell>
          <cell r="C28">
            <v>2626042</v>
          </cell>
        </row>
        <row r="29">
          <cell r="A29">
            <v>43918</v>
          </cell>
          <cell r="B29">
            <v>267980</v>
          </cell>
          <cell r="C29">
            <v>2706203</v>
          </cell>
        </row>
        <row r="30">
          <cell r="A30">
            <v>43919</v>
          </cell>
          <cell r="B30">
            <v>282135</v>
          </cell>
          <cell r="C30">
            <v>2801199</v>
          </cell>
        </row>
        <row r="31">
          <cell r="A31">
            <v>43920</v>
          </cell>
          <cell r="B31">
            <v>345296</v>
          </cell>
          <cell r="C31">
            <v>3374407</v>
          </cell>
        </row>
        <row r="32">
          <cell r="A32">
            <v>43921</v>
          </cell>
          <cell r="B32">
            <v>423830</v>
          </cell>
          <cell r="C32">
            <v>4050094</v>
          </cell>
        </row>
        <row r="33">
          <cell r="A33">
            <v>43922</v>
          </cell>
          <cell r="B33">
            <v>486226</v>
          </cell>
          <cell r="C33">
            <v>4578335</v>
          </cell>
        </row>
        <row r="34">
          <cell r="A34">
            <v>43923</v>
          </cell>
          <cell r="B34">
            <v>558649</v>
          </cell>
          <cell r="C34">
            <v>5220345</v>
          </cell>
        </row>
        <row r="35">
          <cell r="A35">
            <v>43924</v>
          </cell>
          <cell r="B35">
            <v>635448</v>
          </cell>
          <cell r="C35">
            <v>5962990</v>
          </cell>
        </row>
        <row r="36">
          <cell r="A36">
            <v>43925</v>
          </cell>
          <cell r="B36">
            <v>649125</v>
          </cell>
          <cell r="C36">
            <v>6057173</v>
          </cell>
        </row>
        <row r="37">
          <cell r="A37">
            <v>43926</v>
          </cell>
          <cell r="B37">
            <v>658316</v>
          </cell>
          <cell r="C37">
            <v>6112229</v>
          </cell>
        </row>
        <row r="38">
          <cell r="A38">
            <v>43927</v>
          </cell>
          <cell r="B38">
            <v>719909</v>
          </cell>
          <cell r="C38">
            <v>6683704</v>
          </cell>
        </row>
        <row r="39">
          <cell r="A39">
            <v>43928</v>
          </cell>
          <cell r="B39">
            <v>776724</v>
          </cell>
          <cell r="C39">
            <v>7266554</v>
          </cell>
        </row>
        <row r="40">
          <cell r="A40">
            <v>43929</v>
          </cell>
          <cell r="B40">
            <v>832961</v>
          </cell>
          <cell r="C40">
            <v>7879679</v>
          </cell>
        </row>
        <row r="41">
          <cell r="A41">
            <v>43930</v>
          </cell>
          <cell r="B41">
            <v>885643</v>
          </cell>
          <cell r="C41">
            <v>8486825</v>
          </cell>
        </row>
        <row r="42">
          <cell r="A42">
            <v>43931</v>
          </cell>
          <cell r="B42">
            <v>917087</v>
          </cell>
          <cell r="C42">
            <v>8930416</v>
          </cell>
        </row>
        <row r="43">
          <cell r="A43">
            <v>43932</v>
          </cell>
          <cell r="B43">
            <v>925281</v>
          </cell>
          <cell r="C43">
            <v>9053874</v>
          </cell>
        </row>
        <row r="44">
          <cell r="A44">
            <v>43933</v>
          </cell>
          <cell r="B44">
            <v>929463</v>
          </cell>
          <cell r="C44">
            <v>9085473</v>
          </cell>
        </row>
        <row r="45">
          <cell r="A45">
            <v>43934</v>
          </cell>
          <cell r="B45">
            <v>937665</v>
          </cell>
          <cell r="C45">
            <v>9140669</v>
          </cell>
        </row>
        <row r="46">
          <cell r="A46">
            <v>43935</v>
          </cell>
          <cell r="B46">
            <v>967719</v>
          </cell>
          <cell r="C46">
            <v>9503955</v>
          </cell>
        </row>
        <row r="47">
          <cell r="A47">
            <v>43936</v>
          </cell>
          <cell r="B47">
            <v>995148</v>
          </cell>
          <cell r="C47">
            <v>9803041</v>
          </cell>
        </row>
        <row r="48">
          <cell r="A48">
            <v>43937</v>
          </cell>
          <cell r="B48">
            <v>1019385</v>
          </cell>
          <cell r="C48">
            <v>10051231</v>
          </cell>
        </row>
        <row r="49">
          <cell r="A49">
            <v>43938</v>
          </cell>
          <cell r="B49">
            <v>1042679</v>
          </cell>
          <cell r="C49">
            <v>10313250</v>
          </cell>
        </row>
        <row r="50">
          <cell r="A50">
            <v>43939</v>
          </cell>
          <cell r="B50">
            <v>1046333</v>
          </cell>
          <cell r="C50">
            <v>10339058</v>
          </cell>
        </row>
        <row r="51">
          <cell r="A51">
            <v>43940</v>
          </cell>
          <cell r="B51">
            <v>1049060</v>
          </cell>
          <cell r="C51">
            <v>10356021</v>
          </cell>
        </row>
        <row r="52">
          <cell r="A52">
            <v>43941</v>
          </cell>
          <cell r="B52">
            <v>1073215</v>
          </cell>
          <cell r="C52">
            <v>10587704</v>
          </cell>
        </row>
        <row r="53">
          <cell r="A53">
            <v>43942</v>
          </cell>
          <cell r="B53">
            <v>1094219</v>
          </cell>
          <cell r="C53">
            <v>10773128</v>
          </cell>
        </row>
        <row r="54">
          <cell r="A54">
            <v>43943</v>
          </cell>
          <cell r="B54">
            <v>1115269</v>
          </cell>
          <cell r="C54">
            <v>10989998</v>
          </cell>
        </row>
        <row r="55">
          <cell r="A55">
            <v>43944</v>
          </cell>
          <cell r="B55">
            <v>1133991</v>
          </cell>
          <cell r="C55">
            <v>11169073</v>
          </cell>
        </row>
        <row r="56">
          <cell r="A56">
            <v>43945</v>
          </cell>
          <cell r="B56">
            <v>1152451</v>
          </cell>
          <cell r="C56">
            <v>11333431</v>
          </cell>
        </row>
        <row r="57">
          <cell r="A57">
            <v>43946</v>
          </cell>
          <cell r="B57">
            <v>1155428</v>
          </cell>
          <cell r="C57">
            <v>11355090</v>
          </cell>
        </row>
        <row r="58">
          <cell r="A58">
            <v>43947</v>
          </cell>
          <cell r="B58">
            <v>1157416</v>
          </cell>
          <cell r="C58">
            <v>11370597</v>
          </cell>
        </row>
        <row r="59">
          <cell r="A59">
            <v>43948</v>
          </cell>
          <cell r="B59">
            <v>1175973</v>
          </cell>
          <cell r="C59">
            <v>11580549</v>
          </cell>
        </row>
        <row r="60">
          <cell r="A60">
            <v>43949</v>
          </cell>
          <cell r="B60">
            <v>1192878</v>
          </cell>
          <cell r="C60">
            <v>11749602</v>
          </cell>
        </row>
        <row r="61">
          <cell r="A61">
            <v>43950</v>
          </cell>
          <cell r="B61">
            <v>1209633</v>
          </cell>
          <cell r="C61">
            <v>11928908</v>
          </cell>
        </row>
        <row r="62">
          <cell r="A62">
            <v>43951</v>
          </cell>
          <cell r="B62">
            <v>1227478</v>
          </cell>
          <cell r="C62">
            <v>12132139</v>
          </cell>
        </row>
        <row r="63">
          <cell r="A63">
            <v>43952</v>
          </cell>
          <cell r="B63">
            <v>1230089</v>
          </cell>
          <cell r="C63">
            <v>12142243</v>
          </cell>
        </row>
        <row r="64">
          <cell r="A64">
            <v>43953</v>
          </cell>
          <cell r="B64">
            <v>1231839</v>
          </cell>
          <cell r="C64">
            <v>12149189</v>
          </cell>
        </row>
        <row r="65">
          <cell r="A65">
            <v>43954</v>
          </cell>
          <cell r="B65">
            <v>1233239</v>
          </cell>
          <cell r="C65">
            <v>12157384</v>
          </cell>
        </row>
        <row r="66">
          <cell r="A66">
            <v>43955</v>
          </cell>
          <cell r="B66">
            <v>1241679</v>
          </cell>
          <cell r="C66">
            <v>12259636</v>
          </cell>
        </row>
        <row r="67">
          <cell r="A67">
            <v>43956</v>
          </cell>
          <cell r="B67">
            <v>1252344</v>
          </cell>
          <cell r="C67">
            <v>12345894</v>
          </cell>
        </row>
        <row r="68">
          <cell r="A68">
            <v>43957</v>
          </cell>
          <cell r="B68">
            <v>1260735</v>
          </cell>
          <cell r="C68">
            <v>12420890</v>
          </cell>
        </row>
        <row r="69">
          <cell r="A69">
            <v>43958</v>
          </cell>
          <cell r="B69">
            <v>1268694</v>
          </cell>
          <cell r="C69">
            <v>12478221</v>
          </cell>
        </row>
        <row r="70">
          <cell r="A70">
            <v>43959</v>
          </cell>
          <cell r="B70">
            <v>1270889</v>
          </cell>
          <cell r="C70">
            <v>12489182</v>
          </cell>
        </row>
        <row r="71">
          <cell r="A71">
            <v>43960</v>
          </cell>
          <cell r="B71">
            <v>1272193</v>
          </cell>
          <cell r="C71">
            <v>12496073</v>
          </cell>
        </row>
        <row r="72">
          <cell r="A72">
            <v>43961</v>
          </cell>
          <cell r="B72">
            <v>1273058</v>
          </cell>
          <cell r="C72">
            <v>12506118</v>
          </cell>
        </row>
        <row r="73">
          <cell r="A73">
            <v>43962</v>
          </cell>
          <cell r="B73">
            <v>1279471</v>
          </cell>
          <cell r="C73">
            <v>12554201</v>
          </cell>
        </row>
        <row r="74">
          <cell r="A74">
            <v>43963</v>
          </cell>
          <cell r="B74">
            <v>1286475</v>
          </cell>
          <cell r="C74">
            <v>12608151</v>
          </cell>
        </row>
        <row r="75">
          <cell r="A75">
            <v>43964</v>
          </cell>
          <cell r="B75">
            <v>1293082</v>
          </cell>
          <cell r="C75">
            <v>12653288</v>
          </cell>
        </row>
        <row r="76">
          <cell r="A76">
            <v>43965</v>
          </cell>
          <cell r="B76">
            <v>1299130</v>
          </cell>
          <cell r="C76">
            <v>12699713</v>
          </cell>
        </row>
        <row r="77">
          <cell r="A77">
            <v>43966</v>
          </cell>
          <cell r="B77">
            <v>1305228</v>
          </cell>
          <cell r="C77">
            <v>12743414</v>
          </cell>
        </row>
        <row r="78">
          <cell r="A78">
            <v>43967</v>
          </cell>
          <cell r="B78">
            <v>1306031</v>
          </cell>
          <cell r="C78">
            <v>12749124</v>
          </cell>
        </row>
        <row r="79">
          <cell r="A79">
            <v>43968</v>
          </cell>
          <cell r="B79">
            <v>1306606</v>
          </cell>
          <cell r="C79">
            <v>12751606</v>
          </cell>
        </row>
        <row r="80">
          <cell r="A80">
            <v>43969</v>
          </cell>
          <cell r="B80">
            <v>1311996</v>
          </cell>
          <cell r="C80">
            <v>12794098</v>
          </cell>
        </row>
        <row r="81">
          <cell r="A81">
            <v>43970</v>
          </cell>
          <cell r="B81">
            <v>1317876</v>
          </cell>
          <cell r="C81">
            <v>12855165</v>
          </cell>
        </row>
        <row r="82">
          <cell r="A82">
            <v>43971</v>
          </cell>
          <cell r="B82">
            <v>1323582</v>
          </cell>
          <cell r="C82">
            <v>12907303</v>
          </cell>
        </row>
        <row r="83">
          <cell r="A83">
            <v>43972</v>
          </cell>
          <cell r="B83">
            <v>1324441</v>
          </cell>
          <cell r="C83">
            <v>12913695</v>
          </cell>
        </row>
        <row r="84">
          <cell r="A84">
            <v>43973</v>
          </cell>
          <cell r="B84">
            <v>1327361</v>
          </cell>
          <cell r="C84">
            <v>12942684</v>
          </cell>
        </row>
        <row r="85">
          <cell r="A85">
            <v>43974</v>
          </cell>
          <cell r="B85">
            <v>1328050</v>
          </cell>
          <cell r="C85">
            <v>12947358</v>
          </cell>
        </row>
        <row r="86">
          <cell r="A86">
            <v>43975</v>
          </cell>
          <cell r="B86">
            <v>1328569</v>
          </cell>
          <cell r="C86">
            <v>12950567</v>
          </cell>
        </row>
        <row r="87">
          <cell r="A87">
            <v>43976</v>
          </cell>
          <cell r="B87">
            <v>1334015</v>
          </cell>
          <cell r="C87">
            <v>12995566</v>
          </cell>
        </row>
        <row r="88">
          <cell r="A88">
            <v>43977</v>
          </cell>
          <cell r="B88">
            <v>1340172</v>
          </cell>
          <cell r="C88">
            <v>13041831</v>
          </cell>
        </row>
        <row r="89">
          <cell r="A89">
            <v>43978</v>
          </cell>
          <cell r="B89">
            <v>1346117</v>
          </cell>
          <cell r="C89">
            <v>13109299</v>
          </cell>
        </row>
        <row r="90">
          <cell r="A90">
            <v>43979</v>
          </cell>
          <cell r="B90">
            <v>1352407</v>
          </cell>
          <cell r="C90">
            <v>13163724</v>
          </cell>
        </row>
        <row r="91">
          <cell r="A91">
            <v>43980</v>
          </cell>
          <cell r="B91">
            <v>1359750</v>
          </cell>
          <cell r="C91">
            <v>13223571</v>
          </cell>
        </row>
        <row r="92">
          <cell r="A92">
            <v>43981</v>
          </cell>
          <cell r="B92">
            <v>1360877</v>
          </cell>
          <cell r="C92">
            <v>13231577</v>
          </cell>
        </row>
        <row r="93">
          <cell r="A93">
            <v>43982</v>
          </cell>
          <cell r="B93">
            <v>1361819</v>
          </cell>
          <cell r="C93">
            <v>13235844</v>
          </cell>
        </row>
        <row r="94">
          <cell r="A94">
            <v>43983</v>
          </cell>
          <cell r="B94">
            <v>1363864</v>
          </cell>
          <cell r="C94">
            <v>13244639</v>
          </cell>
        </row>
        <row r="95">
          <cell r="A95">
            <v>43984</v>
          </cell>
          <cell r="B95">
            <v>1368385</v>
          </cell>
          <cell r="C95">
            <v>13272026</v>
          </cell>
        </row>
        <row r="96">
          <cell r="A96">
            <v>43985</v>
          </cell>
          <cell r="B96">
            <v>1372317</v>
          </cell>
          <cell r="C96">
            <v>13300130</v>
          </cell>
        </row>
        <row r="97">
          <cell r="A97">
            <v>43986</v>
          </cell>
          <cell r="B97">
            <v>1376171</v>
          </cell>
          <cell r="C97">
            <v>13332376</v>
          </cell>
        </row>
        <row r="98">
          <cell r="A98">
            <v>43987</v>
          </cell>
          <cell r="B98">
            <v>1379387</v>
          </cell>
          <cell r="C98">
            <v>13354424</v>
          </cell>
        </row>
        <row r="99">
          <cell r="A99">
            <v>43988</v>
          </cell>
          <cell r="B99">
            <v>1379910</v>
          </cell>
          <cell r="C99">
            <v>13356595</v>
          </cell>
        </row>
        <row r="100">
          <cell r="A100">
            <v>43989</v>
          </cell>
          <cell r="B100">
            <v>1380388</v>
          </cell>
          <cell r="C100">
            <v>13358863</v>
          </cell>
        </row>
        <row r="101">
          <cell r="A101">
            <v>43990</v>
          </cell>
          <cell r="B101">
            <v>1384009</v>
          </cell>
          <cell r="C101">
            <v>13384456</v>
          </cell>
        </row>
        <row r="102">
          <cell r="A102">
            <v>43991</v>
          </cell>
          <cell r="B102">
            <v>1387276</v>
          </cell>
          <cell r="C102">
            <v>13410125</v>
          </cell>
        </row>
        <row r="103">
          <cell r="A103">
            <v>43992</v>
          </cell>
          <cell r="B103">
            <v>1390069</v>
          </cell>
          <cell r="C103">
            <v>13430471</v>
          </cell>
        </row>
        <row r="104">
          <cell r="A104">
            <v>43993</v>
          </cell>
          <cell r="B104">
            <v>1392964</v>
          </cell>
          <cell r="C104">
            <v>13453221</v>
          </cell>
        </row>
        <row r="105">
          <cell r="A105">
            <v>43994</v>
          </cell>
          <cell r="B105">
            <v>1395808</v>
          </cell>
          <cell r="C105">
            <v>13480841</v>
          </cell>
        </row>
        <row r="106">
          <cell r="A106">
            <v>43995</v>
          </cell>
          <cell r="B106">
            <v>1396213</v>
          </cell>
          <cell r="C106">
            <v>13483162</v>
          </cell>
        </row>
        <row r="107">
          <cell r="A107">
            <v>43996</v>
          </cell>
          <cell r="B107">
            <v>1396827</v>
          </cell>
          <cell r="C107">
            <v>13487025</v>
          </cell>
        </row>
        <row r="108">
          <cell r="A108">
            <v>43997</v>
          </cell>
          <cell r="B108">
            <v>1400125</v>
          </cell>
          <cell r="C108">
            <v>13517871</v>
          </cell>
        </row>
        <row r="109">
          <cell r="A109">
            <v>43998</v>
          </cell>
          <cell r="B109">
            <v>1403116</v>
          </cell>
          <cell r="C109">
            <v>13548255</v>
          </cell>
        </row>
        <row r="110">
          <cell r="A110">
            <v>43999</v>
          </cell>
          <cell r="B110">
            <v>1405585</v>
          </cell>
          <cell r="C110">
            <v>13569682</v>
          </cell>
        </row>
        <row r="111">
          <cell r="A111">
            <v>44000</v>
          </cell>
          <cell r="B111">
            <v>1408190</v>
          </cell>
          <cell r="C111">
            <v>13595350</v>
          </cell>
        </row>
        <row r="112">
          <cell r="A112">
            <v>44001</v>
          </cell>
          <cell r="B112">
            <v>1410348</v>
          </cell>
          <cell r="C112">
            <v>13617394</v>
          </cell>
        </row>
        <row r="113">
          <cell r="A113">
            <v>44002</v>
          </cell>
          <cell r="B113">
            <v>1410662</v>
          </cell>
          <cell r="C113">
            <v>13619670</v>
          </cell>
        </row>
        <row r="114">
          <cell r="A114">
            <v>44003</v>
          </cell>
          <cell r="B114">
            <v>1411064</v>
          </cell>
          <cell r="C114">
            <v>13623317</v>
          </cell>
        </row>
        <row r="115">
          <cell r="A115">
            <v>44004</v>
          </cell>
          <cell r="B115">
            <v>1413762</v>
          </cell>
          <cell r="C115">
            <v>13647561</v>
          </cell>
        </row>
        <row r="116">
          <cell r="A116">
            <v>44005</v>
          </cell>
          <cell r="B116">
            <v>1416650</v>
          </cell>
          <cell r="C116">
            <v>13681779</v>
          </cell>
        </row>
        <row r="117">
          <cell r="A117">
            <v>44006</v>
          </cell>
          <cell r="B117">
            <v>1419094</v>
          </cell>
          <cell r="C117">
            <v>13731385</v>
          </cell>
        </row>
        <row r="118">
          <cell r="A118">
            <v>44007</v>
          </cell>
          <cell r="B118">
            <v>1421778</v>
          </cell>
          <cell r="C118">
            <v>13776415</v>
          </cell>
        </row>
        <row r="119">
          <cell r="A119">
            <v>44008</v>
          </cell>
          <cell r="B119">
            <v>1424629</v>
          </cell>
          <cell r="C119">
            <v>13823773</v>
          </cell>
        </row>
        <row r="120">
          <cell r="A120">
            <v>44009</v>
          </cell>
          <cell r="B120">
            <v>1424838</v>
          </cell>
          <cell r="C120">
            <v>13825607</v>
          </cell>
        </row>
        <row r="121">
          <cell r="A121">
            <v>44010</v>
          </cell>
          <cell r="B121">
            <v>1425458</v>
          </cell>
          <cell r="C121">
            <v>13830370</v>
          </cell>
        </row>
        <row r="122">
          <cell r="A122">
            <v>44011</v>
          </cell>
          <cell r="B122">
            <v>1428631</v>
          </cell>
          <cell r="C122">
            <v>13871197</v>
          </cell>
        </row>
        <row r="123">
          <cell r="A123">
            <v>44012</v>
          </cell>
          <cell r="B123">
            <v>1432544</v>
          </cell>
          <cell r="C123">
            <v>13916279</v>
          </cell>
        </row>
        <row r="124">
          <cell r="A124">
            <v>44013</v>
          </cell>
          <cell r="B124">
            <v>1435516</v>
          </cell>
          <cell r="C124">
            <v>13947815</v>
          </cell>
        </row>
        <row r="125">
          <cell r="A125">
            <v>44014</v>
          </cell>
          <cell r="B125">
            <v>1437962</v>
          </cell>
          <cell r="C125">
            <v>13971479</v>
          </cell>
        </row>
        <row r="126">
          <cell r="A126">
            <v>44015</v>
          </cell>
          <cell r="B126">
            <v>1440033</v>
          </cell>
          <cell r="C126">
            <v>13992440</v>
          </cell>
        </row>
        <row r="127">
          <cell r="A127">
            <v>44016</v>
          </cell>
          <cell r="B127">
            <v>1440404</v>
          </cell>
          <cell r="C127">
            <v>13994926</v>
          </cell>
        </row>
        <row r="128">
          <cell r="A128">
            <v>44017</v>
          </cell>
          <cell r="B128">
            <v>1440871</v>
          </cell>
          <cell r="C128">
            <v>13998141</v>
          </cell>
        </row>
        <row r="129">
          <cell r="A129">
            <v>44018</v>
          </cell>
          <cell r="B129">
            <v>1443136</v>
          </cell>
          <cell r="C129">
            <v>14014220</v>
          </cell>
        </row>
        <row r="130">
          <cell r="A130">
            <v>44019</v>
          </cell>
          <cell r="B130">
            <v>1445334</v>
          </cell>
          <cell r="C130">
            <v>14030304</v>
          </cell>
        </row>
        <row r="131">
          <cell r="A131">
            <v>44020</v>
          </cell>
          <cell r="B131">
            <v>1447443</v>
          </cell>
          <cell r="C131">
            <v>14051194</v>
          </cell>
        </row>
        <row r="132">
          <cell r="A132">
            <v>44021</v>
          </cell>
          <cell r="B132">
            <v>1449656</v>
          </cell>
          <cell r="C132">
            <v>14072330</v>
          </cell>
        </row>
        <row r="133">
          <cell r="A133">
            <v>44022</v>
          </cell>
          <cell r="B133">
            <v>1451413</v>
          </cell>
          <cell r="C133">
            <v>14088579</v>
          </cell>
        </row>
        <row r="134">
          <cell r="A134">
            <v>44023</v>
          </cell>
          <cell r="B134">
            <v>1451777</v>
          </cell>
          <cell r="C134">
            <v>14090912</v>
          </cell>
        </row>
        <row r="135">
          <cell r="A135">
            <v>44024</v>
          </cell>
          <cell r="B135">
            <v>1452063</v>
          </cell>
          <cell r="C135">
            <v>14093447</v>
          </cell>
        </row>
        <row r="136">
          <cell r="A136">
            <v>44025</v>
          </cell>
          <cell r="B136">
            <v>1453273</v>
          </cell>
          <cell r="C136">
            <v>14102868</v>
          </cell>
        </row>
        <row r="137">
          <cell r="A137">
            <v>44026</v>
          </cell>
          <cell r="B137">
            <v>1453650</v>
          </cell>
          <cell r="C137">
            <v>14105071</v>
          </cell>
        </row>
        <row r="138">
          <cell r="A138">
            <v>44027</v>
          </cell>
          <cell r="B138">
            <v>1455262</v>
          </cell>
          <cell r="C138">
            <v>14121359</v>
          </cell>
        </row>
        <row r="139">
          <cell r="A139">
            <v>44028</v>
          </cell>
          <cell r="B139">
            <v>1456843</v>
          </cell>
          <cell r="C139">
            <v>14134571</v>
          </cell>
        </row>
        <row r="140">
          <cell r="A140">
            <v>44029</v>
          </cell>
          <cell r="B140">
            <v>1458298</v>
          </cell>
          <cell r="C140">
            <v>14146325</v>
          </cell>
        </row>
        <row r="141">
          <cell r="A141">
            <v>44030</v>
          </cell>
          <cell r="B141">
            <v>1458495</v>
          </cell>
          <cell r="C141">
            <v>14147346</v>
          </cell>
        </row>
        <row r="142">
          <cell r="A142">
            <v>44031</v>
          </cell>
          <cell r="B142">
            <v>1458736</v>
          </cell>
          <cell r="C142">
            <v>14148954</v>
          </cell>
        </row>
        <row r="143">
          <cell r="A143">
            <v>44032</v>
          </cell>
          <cell r="B143">
            <v>1460702</v>
          </cell>
          <cell r="C143">
            <v>14165340</v>
          </cell>
        </row>
        <row r="144">
          <cell r="A144">
            <v>44033</v>
          </cell>
          <cell r="B144">
            <v>1462440</v>
          </cell>
          <cell r="C144">
            <v>14186804</v>
          </cell>
        </row>
        <row r="145">
          <cell r="A145">
            <v>44034</v>
          </cell>
          <cell r="B145">
            <v>1463901</v>
          </cell>
          <cell r="C145">
            <v>14199500</v>
          </cell>
        </row>
        <row r="146">
          <cell r="A146">
            <v>44035</v>
          </cell>
          <cell r="B146">
            <v>1465474</v>
          </cell>
          <cell r="C146">
            <v>14213612</v>
          </cell>
        </row>
        <row r="147">
          <cell r="A147">
            <v>44036</v>
          </cell>
          <cell r="B147">
            <v>1467100</v>
          </cell>
          <cell r="C147">
            <v>14235157</v>
          </cell>
        </row>
        <row r="148">
          <cell r="A148">
            <v>44037</v>
          </cell>
          <cell r="B148">
            <v>1467321</v>
          </cell>
          <cell r="C148">
            <v>14236576</v>
          </cell>
        </row>
        <row r="149">
          <cell r="A149">
            <v>44038</v>
          </cell>
          <cell r="B149">
            <v>1467588</v>
          </cell>
          <cell r="C149">
            <v>14238318</v>
          </cell>
        </row>
        <row r="150">
          <cell r="A150">
            <v>44039</v>
          </cell>
          <cell r="B150">
            <v>1469678</v>
          </cell>
          <cell r="C150">
            <v>14256065</v>
          </cell>
        </row>
        <row r="151">
          <cell r="A151" t="str">
            <v>NA</v>
          </cell>
          <cell r="B151" t="str">
            <v>NA</v>
          </cell>
          <cell r="C151" t="str">
            <v>NA</v>
          </cell>
        </row>
        <row r="152">
          <cell r="A152" t="str">
            <v>NA</v>
          </cell>
          <cell r="B152" t="str">
            <v>NA</v>
          </cell>
          <cell r="C152" t="str">
            <v>NA</v>
          </cell>
        </row>
        <row r="153">
          <cell r="A153" t="str">
            <v>NA</v>
          </cell>
          <cell r="B153" t="str">
            <v>NA</v>
          </cell>
          <cell r="C153" t="str">
            <v>NA</v>
          </cell>
        </row>
        <row r="154">
          <cell r="A154" t="str">
            <v>NA</v>
          </cell>
          <cell r="B154" t="str">
            <v>NA</v>
          </cell>
          <cell r="C154" t="str">
            <v>NA</v>
          </cell>
        </row>
        <row r="155">
          <cell r="A155" t="str">
            <v>NA</v>
          </cell>
          <cell r="B155" t="str">
            <v>NA</v>
          </cell>
          <cell r="C155" t="str">
            <v>NA</v>
          </cell>
        </row>
        <row r="156">
          <cell r="A156" t="str">
            <v>NA</v>
          </cell>
          <cell r="B156" t="str">
            <v>NA</v>
          </cell>
          <cell r="C156" t="str">
            <v>NA</v>
          </cell>
        </row>
        <row r="157">
          <cell r="A157" t="str">
            <v>NA</v>
          </cell>
          <cell r="B157" t="str">
            <v>NA</v>
          </cell>
          <cell r="C157" t="str">
            <v>NA</v>
          </cell>
        </row>
        <row r="158">
          <cell r="A158" t="str">
            <v>NA</v>
          </cell>
          <cell r="B158" t="str">
            <v>NA</v>
          </cell>
          <cell r="C158" t="str">
            <v>NA</v>
          </cell>
        </row>
        <row r="159">
          <cell r="A159" t="str">
            <v>NA</v>
          </cell>
          <cell r="B159" t="str">
            <v>NA</v>
          </cell>
          <cell r="C159" t="str">
            <v>NA</v>
          </cell>
        </row>
        <row r="160">
          <cell r="A160" t="str">
            <v>NA</v>
          </cell>
          <cell r="B160" t="str">
            <v>NA</v>
          </cell>
          <cell r="C160" t="str">
            <v>NA</v>
          </cell>
        </row>
        <row r="161">
          <cell r="A161" t="str">
            <v>NA</v>
          </cell>
          <cell r="B161" t="str">
            <v>NA</v>
          </cell>
          <cell r="C161" t="str">
            <v>NA</v>
          </cell>
        </row>
        <row r="162">
          <cell r="A162" t="str">
            <v>NA</v>
          </cell>
          <cell r="B162" t="str">
            <v>NA</v>
          </cell>
          <cell r="C162" t="str">
            <v>NA</v>
          </cell>
        </row>
        <row r="163">
          <cell r="A163" t="str">
            <v>NA</v>
          </cell>
          <cell r="B163" t="str">
            <v>NA</v>
          </cell>
          <cell r="C163" t="str">
            <v>NA</v>
          </cell>
        </row>
        <row r="164">
          <cell r="A164" t="str">
            <v>NA</v>
          </cell>
          <cell r="B164" t="str">
            <v>NA</v>
          </cell>
          <cell r="C164" t="str">
            <v>NA</v>
          </cell>
        </row>
        <row r="165">
          <cell r="A165" t="str">
            <v>NA</v>
          </cell>
          <cell r="B165" t="str">
            <v>NA</v>
          </cell>
          <cell r="C165" t="str">
            <v>NA</v>
          </cell>
        </row>
        <row r="166">
          <cell r="A166" t="str">
            <v>NA</v>
          </cell>
          <cell r="B166" t="str">
            <v>NA</v>
          </cell>
          <cell r="C166" t="str">
            <v>NA</v>
          </cell>
        </row>
        <row r="167">
          <cell r="A167" t="str">
            <v>NA</v>
          </cell>
          <cell r="B167" t="str">
            <v>NA</v>
          </cell>
          <cell r="C167" t="str">
            <v>NA</v>
          </cell>
        </row>
        <row r="168">
          <cell r="A168" t="str">
            <v>NA</v>
          </cell>
          <cell r="B168" t="str">
            <v>NA</v>
          </cell>
          <cell r="C168" t="str">
            <v>NA</v>
          </cell>
        </row>
        <row r="169">
          <cell r="A169" t="str">
            <v>NA</v>
          </cell>
          <cell r="B169" t="str">
            <v>NA</v>
          </cell>
          <cell r="C169" t="str">
            <v>NA</v>
          </cell>
        </row>
        <row r="170">
          <cell r="A170" t="str">
            <v>NA</v>
          </cell>
          <cell r="B170" t="str">
            <v>NA</v>
          </cell>
          <cell r="C170" t="str">
            <v>NA</v>
          </cell>
        </row>
        <row r="171">
          <cell r="A171" t="str">
            <v>NA</v>
          </cell>
          <cell r="B171" t="str">
            <v>NA</v>
          </cell>
          <cell r="C171" t="str">
            <v>NA</v>
          </cell>
        </row>
        <row r="172">
          <cell r="A172" t="str">
            <v>NA</v>
          </cell>
          <cell r="B172" t="str">
            <v>NA</v>
          </cell>
          <cell r="C172" t="str">
            <v>NA</v>
          </cell>
        </row>
        <row r="173">
          <cell r="A173" t="str">
            <v>NA</v>
          </cell>
          <cell r="B173" t="str">
            <v>NA</v>
          </cell>
          <cell r="C173" t="str">
            <v>NA</v>
          </cell>
        </row>
        <row r="174">
          <cell r="A174" t="str">
            <v>NA</v>
          </cell>
          <cell r="B174" t="str">
            <v>NA</v>
          </cell>
          <cell r="C174" t="str">
            <v>NA</v>
          </cell>
        </row>
        <row r="175">
          <cell r="A175" t="str">
            <v>NA</v>
          </cell>
          <cell r="B175" t="str">
            <v>NA</v>
          </cell>
          <cell r="C175" t="str">
            <v>NA</v>
          </cell>
        </row>
        <row r="176">
          <cell r="A176" t="str">
            <v>NA</v>
          </cell>
          <cell r="B176" t="str">
            <v>NA</v>
          </cell>
          <cell r="C176" t="str">
            <v>NA</v>
          </cell>
        </row>
        <row r="177">
          <cell r="A177" t="str">
            <v>NA</v>
          </cell>
          <cell r="B177" t="str">
            <v>NA</v>
          </cell>
          <cell r="C177" t="str">
            <v>NA</v>
          </cell>
        </row>
        <row r="178">
          <cell r="A178" t="str">
            <v>NA</v>
          </cell>
          <cell r="B178" t="str">
            <v>NA</v>
          </cell>
          <cell r="C178" t="str">
            <v>NA</v>
          </cell>
        </row>
        <row r="179">
          <cell r="A179" t="str">
            <v>NA</v>
          </cell>
          <cell r="B179" t="str">
            <v>NA</v>
          </cell>
          <cell r="C179" t="str">
            <v>NA</v>
          </cell>
        </row>
        <row r="180">
          <cell r="A180" t="str">
            <v>NA</v>
          </cell>
          <cell r="B180" t="str">
            <v>NA</v>
          </cell>
          <cell r="C180" t="str">
            <v>NA</v>
          </cell>
        </row>
        <row r="181">
          <cell r="A181" t="str">
            <v>NA</v>
          </cell>
          <cell r="B181" t="str">
            <v>NA</v>
          </cell>
          <cell r="C181" t="str">
            <v>NA</v>
          </cell>
        </row>
        <row r="182">
          <cell r="A182" t="str">
            <v>NA</v>
          </cell>
          <cell r="B182" t="str">
            <v>NA</v>
          </cell>
          <cell r="C182" t="str">
            <v>NA</v>
          </cell>
        </row>
        <row r="183">
          <cell r="A183" t="str">
            <v>NA</v>
          </cell>
          <cell r="B183" t="str">
            <v>NA</v>
          </cell>
          <cell r="C183" t="str">
            <v>NA</v>
          </cell>
        </row>
        <row r="184">
          <cell r="A184" t="str">
            <v>NA</v>
          </cell>
          <cell r="B184" t="str">
            <v>NA</v>
          </cell>
          <cell r="C184" t="str">
            <v>NA</v>
          </cell>
        </row>
        <row r="185">
          <cell r="A185" t="str">
            <v>NA</v>
          </cell>
          <cell r="B185" t="str">
            <v>NA</v>
          </cell>
          <cell r="C185" t="str">
            <v>NA</v>
          </cell>
        </row>
        <row r="186">
          <cell r="A186" t="str">
            <v>NA</v>
          </cell>
          <cell r="B186" t="str">
            <v>NA</v>
          </cell>
          <cell r="C186" t="str">
            <v>NA</v>
          </cell>
        </row>
        <row r="187">
          <cell r="A187" t="str">
            <v>NA</v>
          </cell>
          <cell r="B187" t="str">
            <v>NA</v>
          </cell>
          <cell r="C187" t="str">
            <v>NA</v>
          </cell>
        </row>
        <row r="188">
          <cell r="A188" t="str">
            <v>NA</v>
          </cell>
          <cell r="B188" t="str">
            <v>NA</v>
          </cell>
          <cell r="C188" t="str">
            <v>NA</v>
          </cell>
        </row>
        <row r="189">
          <cell r="A189" t="str">
            <v>NA</v>
          </cell>
          <cell r="B189" t="str">
            <v>NA</v>
          </cell>
          <cell r="C189" t="str">
            <v>NA</v>
          </cell>
        </row>
        <row r="190">
          <cell r="A190" t="str">
            <v>NA</v>
          </cell>
          <cell r="B190" t="str">
            <v>NA</v>
          </cell>
          <cell r="C190" t="str">
            <v>NA</v>
          </cell>
        </row>
        <row r="191">
          <cell r="A191" t="str">
            <v>NA</v>
          </cell>
          <cell r="B191" t="str">
            <v>NA</v>
          </cell>
          <cell r="C191" t="str">
            <v>NA</v>
          </cell>
        </row>
        <row r="192">
          <cell r="A192" t="str">
            <v>NA</v>
          </cell>
          <cell r="B192" t="str">
            <v>NA</v>
          </cell>
          <cell r="C192" t="str">
            <v>NA</v>
          </cell>
        </row>
        <row r="193">
          <cell r="A193" t="str">
            <v>NA</v>
          </cell>
          <cell r="B193" t="str">
            <v>NA</v>
          </cell>
          <cell r="C193" t="str">
            <v>NA</v>
          </cell>
        </row>
        <row r="194">
          <cell r="A194" t="str">
            <v>NA</v>
          </cell>
          <cell r="B194" t="str">
            <v>NA</v>
          </cell>
          <cell r="C194" t="str">
            <v>NA</v>
          </cell>
        </row>
        <row r="195">
          <cell r="A195" t="str">
            <v>NA</v>
          </cell>
          <cell r="B195" t="str">
            <v>NA</v>
          </cell>
          <cell r="C195" t="str">
            <v>NA</v>
          </cell>
        </row>
        <row r="196">
          <cell r="A196" t="str">
            <v>NA</v>
          </cell>
          <cell r="B196" t="str">
            <v>NA</v>
          </cell>
          <cell r="C196" t="str">
            <v>NA</v>
          </cell>
        </row>
        <row r="197">
          <cell r="A197" t="str">
            <v>NA</v>
          </cell>
          <cell r="B197" t="str">
            <v>NA</v>
          </cell>
          <cell r="C197" t="str">
            <v>NA</v>
          </cell>
        </row>
        <row r="198">
          <cell r="A198" t="str">
            <v>NA</v>
          </cell>
          <cell r="B198" t="str">
            <v>NA</v>
          </cell>
          <cell r="C198" t="str">
            <v>NA</v>
          </cell>
        </row>
        <row r="199">
          <cell r="A199" t="str">
            <v>NA</v>
          </cell>
          <cell r="B199" t="str">
            <v>NA</v>
          </cell>
          <cell r="C199" t="str">
            <v>NA</v>
          </cell>
        </row>
        <row r="200">
          <cell r="A200" t="str">
            <v>NA</v>
          </cell>
          <cell r="B200" t="str">
            <v>NA</v>
          </cell>
          <cell r="C200" t="str">
            <v>NA</v>
          </cell>
        </row>
        <row r="201">
          <cell r="A201" t="str">
            <v>NA</v>
          </cell>
          <cell r="B201" t="str">
            <v>NA</v>
          </cell>
          <cell r="C201" t="str">
            <v>NA</v>
          </cell>
        </row>
        <row r="202">
          <cell r="A202" t="str">
            <v>NA</v>
          </cell>
          <cell r="B202" t="str">
            <v>NA</v>
          </cell>
          <cell r="C202" t="str">
            <v>NA</v>
          </cell>
        </row>
        <row r="203">
          <cell r="A203" t="str">
            <v>NA</v>
          </cell>
          <cell r="B203" t="str">
            <v>NA</v>
          </cell>
          <cell r="C203" t="str">
            <v>NA</v>
          </cell>
        </row>
        <row r="204">
          <cell r="A204" t="str">
            <v>NA</v>
          </cell>
          <cell r="B204" t="str">
            <v>NA</v>
          </cell>
          <cell r="C204" t="str">
            <v>NA</v>
          </cell>
        </row>
        <row r="205">
          <cell r="A205" t="str">
            <v>NA</v>
          </cell>
          <cell r="B205" t="str">
            <v>NA</v>
          </cell>
          <cell r="C205" t="str">
            <v>NA</v>
          </cell>
        </row>
        <row r="206">
          <cell r="A206" t="str">
            <v>NA</v>
          </cell>
          <cell r="B206" t="str">
            <v>NA</v>
          </cell>
          <cell r="C206" t="str">
            <v>NA</v>
          </cell>
        </row>
        <row r="207">
          <cell r="A207" t="str">
            <v>NA</v>
          </cell>
          <cell r="B207" t="str">
            <v>NA</v>
          </cell>
          <cell r="C207" t="str">
            <v>NA</v>
          </cell>
        </row>
        <row r="208">
          <cell r="A208" t="str">
            <v>NA</v>
          </cell>
          <cell r="B208" t="str">
            <v>NA</v>
          </cell>
          <cell r="C208" t="str">
            <v>NA</v>
          </cell>
        </row>
        <row r="209">
          <cell r="A209" t="str">
            <v>NA</v>
          </cell>
          <cell r="B209" t="str">
            <v>NA</v>
          </cell>
          <cell r="C209" t="str">
            <v>NA</v>
          </cell>
        </row>
        <row r="210">
          <cell r="A210" t="str">
            <v>NA</v>
          </cell>
          <cell r="B210" t="str">
            <v>NA</v>
          </cell>
          <cell r="C210" t="str">
            <v>NA</v>
          </cell>
        </row>
        <row r="211">
          <cell r="A211" t="str">
            <v>NA</v>
          </cell>
          <cell r="B211" t="str">
            <v>NA</v>
          </cell>
          <cell r="C211" t="str">
            <v>NA</v>
          </cell>
        </row>
        <row r="212">
          <cell r="A212" t="str">
            <v>NA</v>
          </cell>
          <cell r="B212" t="str">
            <v>NA</v>
          </cell>
          <cell r="C212" t="str">
            <v>NA</v>
          </cell>
        </row>
        <row r="213">
          <cell r="A213" t="str">
            <v>NA</v>
          </cell>
          <cell r="B213" t="str">
            <v>NA</v>
          </cell>
          <cell r="C213" t="str">
            <v>NA</v>
          </cell>
        </row>
        <row r="214">
          <cell r="A214" t="str">
            <v>NA</v>
          </cell>
          <cell r="B214" t="str">
            <v>NA</v>
          </cell>
          <cell r="C214" t="str">
            <v>NA</v>
          </cell>
        </row>
        <row r="215">
          <cell r="A215" t="str">
            <v>NA</v>
          </cell>
          <cell r="B215" t="str">
            <v>NA</v>
          </cell>
          <cell r="C215" t="str">
            <v>NA</v>
          </cell>
        </row>
        <row r="216">
          <cell r="A216" t="str">
            <v>NA</v>
          </cell>
          <cell r="B216" t="str">
            <v>NA</v>
          </cell>
          <cell r="C216" t="str">
            <v>NA</v>
          </cell>
        </row>
        <row r="217">
          <cell r="A217" t="str">
            <v>NA</v>
          </cell>
          <cell r="B217" t="str">
            <v>NA</v>
          </cell>
          <cell r="C217" t="str">
            <v>NA</v>
          </cell>
        </row>
        <row r="218">
          <cell r="A218" t="str">
            <v>NA</v>
          </cell>
          <cell r="B218" t="str">
            <v>NA</v>
          </cell>
          <cell r="C218" t="str">
            <v>NA</v>
          </cell>
        </row>
        <row r="219">
          <cell r="A219" t="str">
            <v>NA</v>
          </cell>
          <cell r="B219" t="str">
            <v>NA</v>
          </cell>
          <cell r="C219" t="str">
            <v>NA</v>
          </cell>
        </row>
        <row r="220">
          <cell r="A220" t="str">
            <v>NA</v>
          </cell>
          <cell r="B220" t="str">
            <v>NA</v>
          </cell>
          <cell r="C220" t="str">
            <v>NA</v>
          </cell>
        </row>
        <row r="221">
          <cell r="A221" t="str">
            <v>NA</v>
          </cell>
          <cell r="B221" t="str">
            <v>NA</v>
          </cell>
          <cell r="C221" t="str">
            <v>NA</v>
          </cell>
        </row>
        <row r="222">
          <cell r="A222" t="str">
            <v>NA</v>
          </cell>
          <cell r="B222" t="str">
            <v>NA</v>
          </cell>
          <cell r="C222" t="str">
            <v>NA</v>
          </cell>
        </row>
        <row r="223">
          <cell r="A223" t="str">
            <v>NA</v>
          </cell>
          <cell r="B223" t="str">
            <v>NA</v>
          </cell>
          <cell r="C223" t="str">
            <v>NA</v>
          </cell>
        </row>
        <row r="224">
          <cell r="A224" t="str">
            <v>NA</v>
          </cell>
          <cell r="B224" t="str">
            <v>NA</v>
          </cell>
          <cell r="C224" t="str">
            <v>NA</v>
          </cell>
        </row>
        <row r="225">
          <cell r="A225" t="str">
            <v>NA</v>
          </cell>
          <cell r="B225" t="str">
            <v>NA</v>
          </cell>
          <cell r="C225" t="str">
            <v>NA</v>
          </cell>
        </row>
        <row r="226">
          <cell r="A226" t="str">
            <v>NA</v>
          </cell>
          <cell r="B226" t="str">
            <v>NA</v>
          </cell>
          <cell r="C226" t="str">
            <v>NA</v>
          </cell>
        </row>
        <row r="227">
          <cell r="A227" t="str">
            <v>NA</v>
          </cell>
          <cell r="B227" t="str">
            <v>NA</v>
          </cell>
          <cell r="C227" t="str">
            <v>NA</v>
          </cell>
        </row>
        <row r="228">
          <cell r="A228" t="str">
            <v>NA</v>
          </cell>
          <cell r="B228" t="str">
            <v>NA</v>
          </cell>
          <cell r="C228" t="str">
            <v>NA</v>
          </cell>
        </row>
        <row r="229">
          <cell r="A229" t="str">
            <v>NA</v>
          </cell>
          <cell r="B229" t="str">
            <v>NA</v>
          </cell>
          <cell r="C229" t="str">
            <v>NA</v>
          </cell>
        </row>
        <row r="230">
          <cell r="A230" t="str">
            <v>NA</v>
          </cell>
          <cell r="B230" t="str">
            <v>NA</v>
          </cell>
          <cell r="C230" t="str">
            <v>NA</v>
          </cell>
        </row>
        <row r="231">
          <cell r="A231" t="str">
            <v>NA</v>
          </cell>
          <cell r="B231" t="str">
            <v>NA</v>
          </cell>
          <cell r="C231" t="str">
            <v>NA</v>
          </cell>
        </row>
        <row r="232">
          <cell r="A232" t="str">
            <v>NA</v>
          </cell>
          <cell r="B232" t="str">
            <v>NA</v>
          </cell>
          <cell r="C232" t="str">
            <v>NA</v>
          </cell>
        </row>
        <row r="233">
          <cell r="A233" t="str">
            <v>NA</v>
          </cell>
          <cell r="B233" t="str">
            <v>NA</v>
          </cell>
          <cell r="C233" t="str">
            <v>NA</v>
          </cell>
        </row>
        <row r="234">
          <cell r="A234" t="str">
            <v>NA</v>
          </cell>
          <cell r="B234" t="str">
            <v>NA</v>
          </cell>
          <cell r="C234" t="str">
            <v>NA</v>
          </cell>
        </row>
        <row r="235">
          <cell r="A235" t="str">
            <v>NA</v>
          </cell>
          <cell r="B235" t="str">
            <v>NA</v>
          </cell>
          <cell r="C235" t="str">
            <v>NA</v>
          </cell>
        </row>
        <row r="236">
          <cell r="A236" t="str">
            <v>NA</v>
          </cell>
          <cell r="B236" t="str">
            <v>NA</v>
          </cell>
          <cell r="C236" t="str">
            <v>NA</v>
          </cell>
        </row>
        <row r="237">
          <cell r="A237" t="str">
            <v>NA</v>
          </cell>
          <cell r="B237" t="str">
            <v>NA</v>
          </cell>
          <cell r="C237" t="str">
            <v>NA</v>
          </cell>
        </row>
        <row r="238">
          <cell r="A238" t="str">
            <v>NA</v>
          </cell>
          <cell r="B238" t="str">
            <v>NA</v>
          </cell>
          <cell r="C238" t="str">
            <v>NA</v>
          </cell>
        </row>
        <row r="239">
          <cell r="A239" t="str">
            <v>NA</v>
          </cell>
          <cell r="B239" t="str">
            <v>NA</v>
          </cell>
          <cell r="C239" t="str">
            <v>NA</v>
          </cell>
        </row>
        <row r="240">
          <cell r="A240" t="str">
            <v>NA</v>
          </cell>
          <cell r="B240" t="str">
            <v>NA</v>
          </cell>
          <cell r="C240" t="str">
            <v>NA</v>
          </cell>
        </row>
        <row r="241">
          <cell r="A241" t="str">
            <v>NA</v>
          </cell>
          <cell r="B241" t="str">
            <v>NA</v>
          </cell>
          <cell r="C241" t="str">
            <v>NA</v>
          </cell>
        </row>
        <row r="242">
          <cell r="A242" t="str">
            <v>NA</v>
          </cell>
          <cell r="B242" t="str">
            <v>NA</v>
          </cell>
          <cell r="C242" t="str">
            <v>NA</v>
          </cell>
        </row>
        <row r="243">
          <cell r="A243" t="str">
            <v>NA</v>
          </cell>
          <cell r="B243" t="str">
            <v>NA</v>
          </cell>
          <cell r="C243" t="str">
            <v>NA</v>
          </cell>
        </row>
        <row r="244">
          <cell r="A244" t="str">
            <v>NA</v>
          </cell>
          <cell r="B244" t="str">
            <v>NA</v>
          </cell>
          <cell r="C244" t="str">
            <v>NA</v>
          </cell>
        </row>
        <row r="245">
          <cell r="A245" t="str">
            <v>NA</v>
          </cell>
          <cell r="B245" t="str">
            <v>NA</v>
          </cell>
          <cell r="C245" t="str">
            <v>NA</v>
          </cell>
        </row>
        <row r="246">
          <cell r="A246" t="str">
            <v>NA</v>
          </cell>
          <cell r="B246" t="str">
            <v>NA</v>
          </cell>
          <cell r="C246" t="str">
            <v>NA</v>
          </cell>
        </row>
        <row r="247">
          <cell r="A247" t="str">
            <v>NA</v>
          </cell>
          <cell r="B247" t="str">
            <v>NA</v>
          </cell>
          <cell r="C247" t="str">
            <v>NA</v>
          </cell>
        </row>
        <row r="248">
          <cell r="A248" t="str">
            <v>NA</v>
          </cell>
          <cell r="B248" t="str">
            <v>NA</v>
          </cell>
          <cell r="C248" t="str">
            <v>NA</v>
          </cell>
        </row>
        <row r="249">
          <cell r="A249" t="str">
            <v>NA</v>
          </cell>
          <cell r="B249" t="str">
            <v>NA</v>
          </cell>
          <cell r="C249" t="str">
            <v>NA</v>
          </cell>
        </row>
        <row r="250">
          <cell r="A250" t="str">
            <v>NA</v>
          </cell>
          <cell r="B250" t="str">
            <v>NA</v>
          </cell>
          <cell r="C250" t="str">
            <v>NA</v>
          </cell>
        </row>
      </sheetData>
      <sheetData sheetId="3"/>
      <sheetData sheetId="4">
        <row r="2">
          <cell r="A2">
            <v>43891</v>
          </cell>
          <cell r="B2">
            <v>128786</v>
          </cell>
        </row>
        <row r="3">
          <cell r="A3">
            <v>43892</v>
          </cell>
          <cell r="B3">
            <v>165677</v>
          </cell>
        </row>
        <row r="4">
          <cell r="A4">
            <v>43893</v>
          </cell>
          <cell r="B4">
            <v>176576</v>
          </cell>
        </row>
        <row r="5">
          <cell r="A5">
            <v>43894</v>
          </cell>
          <cell r="B5">
            <v>178895</v>
          </cell>
        </row>
        <row r="6">
          <cell r="A6">
            <v>43895</v>
          </cell>
          <cell r="B6">
            <v>181045</v>
          </cell>
        </row>
        <row r="7">
          <cell r="A7">
            <v>43896</v>
          </cell>
          <cell r="B7">
            <v>187371</v>
          </cell>
        </row>
        <row r="8">
          <cell r="A8">
            <v>43897</v>
          </cell>
          <cell r="B8">
            <v>190642</v>
          </cell>
        </row>
        <row r="9">
          <cell r="A9">
            <v>43898</v>
          </cell>
          <cell r="B9">
            <v>196144</v>
          </cell>
        </row>
        <row r="10">
          <cell r="A10">
            <v>43899</v>
          </cell>
          <cell r="B10">
            <v>264465</v>
          </cell>
        </row>
        <row r="11">
          <cell r="A11">
            <v>43900</v>
          </cell>
          <cell r="B11">
            <v>272464</v>
          </cell>
        </row>
        <row r="12">
          <cell r="A12">
            <v>43901</v>
          </cell>
          <cell r="B12">
            <v>288230</v>
          </cell>
        </row>
        <row r="13">
          <cell r="A13">
            <v>43902</v>
          </cell>
          <cell r="B13">
            <v>312908</v>
          </cell>
        </row>
        <row r="14">
          <cell r="A14">
            <v>43903</v>
          </cell>
          <cell r="B14">
            <v>409522</v>
          </cell>
        </row>
        <row r="15">
          <cell r="A15">
            <v>43904</v>
          </cell>
          <cell r="B15">
            <v>486242</v>
          </cell>
        </row>
        <row r="16">
          <cell r="A16">
            <v>43905</v>
          </cell>
          <cell r="B16">
            <v>1248919</v>
          </cell>
        </row>
        <row r="17">
          <cell r="A17">
            <v>43906</v>
          </cell>
          <cell r="B17">
            <v>5496289</v>
          </cell>
        </row>
        <row r="18">
          <cell r="A18">
            <v>43907</v>
          </cell>
          <cell r="B18">
            <v>8195438</v>
          </cell>
        </row>
        <row r="19">
          <cell r="A19">
            <v>43908</v>
          </cell>
          <cell r="B19">
            <v>9546580</v>
          </cell>
        </row>
        <row r="20">
          <cell r="A20">
            <v>43909</v>
          </cell>
          <cell r="B20">
            <v>9872664</v>
          </cell>
        </row>
        <row r="21">
          <cell r="A21">
            <v>43910</v>
          </cell>
          <cell r="B21">
            <v>10018192</v>
          </cell>
        </row>
        <row r="22">
          <cell r="A22">
            <v>43911</v>
          </cell>
          <cell r="B22">
            <v>10038428</v>
          </cell>
        </row>
        <row r="23">
          <cell r="A23">
            <v>43912</v>
          </cell>
          <cell r="B23">
            <v>10042311</v>
          </cell>
        </row>
        <row r="24">
          <cell r="A24">
            <v>43913</v>
          </cell>
          <cell r="B24">
            <v>10767675</v>
          </cell>
        </row>
        <row r="25">
          <cell r="A25">
            <v>43914</v>
          </cell>
          <cell r="B25">
            <v>10829511</v>
          </cell>
        </row>
        <row r="26">
          <cell r="A26">
            <v>43915</v>
          </cell>
          <cell r="B26">
            <v>10871770</v>
          </cell>
        </row>
        <row r="27">
          <cell r="A27">
            <v>43916</v>
          </cell>
          <cell r="B27">
            <v>10898268</v>
          </cell>
        </row>
        <row r="28">
          <cell r="A28">
            <v>43917</v>
          </cell>
          <cell r="B28">
            <v>10908613</v>
          </cell>
        </row>
        <row r="29">
          <cell r="A29">
            <v>43918</v>
          </cell>
          <cell r="B29">
            <v>10907430</v>
          </cell>
        </row>
        <row r="30">
          <cell r="A30">
            <v>43919</v>
          </cell>
          <cell r="B30">
            <v>10907674</v>
          </cell>
        </row>
        <row r="31">
          <cell r="A31">
            <v>43920</v>
          </cell>
          <cell r="B31">
            <v>11063809</v>
          </cell>
        </row>
        <row r="32">
          <cell r="A32">
            <v>43921</v>
          </cell>
          <cell r="B32">
            <v>11071220</v>
          </cell>
        </row>
        <row r="33">
          <cell r="A33">
            <v>43922</v>
          </cell>
          <cell r="B33">
            <v>11664465</v>
          </cell>
        </row>
        <row r="34">
          <cell r="A34">
            <v>43923</v>
          </cell>
          <cell r="B34">
            <v>11672505</v>
          </cell>
        </row>
        <row r="35">
          <cell r="A35">
            <v>43924</v>
          </cell>
          <cell r="B35">
            <v>11683367</v>
          </cell>
        </row>
        <row r="36">
          <cell r="A36">
            <v>43925</v>
          </cell>
          <cell r="B36">
            <v>11680294</v>
          </cell>
        </row>
        <row r="37">
          <cell r="A37">
            <v>43926</v>
          </cell>
          <cell r="B37">
            <v>11679852</v>
          </cell>
        </row>
        <row r="38">
          <cell r="A38">
            <v>43927</v>
          </cell>
          <cell r="B38">
            <v>11775321</v>
          </cell>
        </row>
        <row r="39">
          <cell r="A39">
            <v>43928</v>
          </cell>
          <cell r="B39">
            <v>11784000</v>
          </cell>
        </row>
        <row r="40">
          <cell r="A40">
            <v>43929</v>
          </cell>
          <cell r="B40">
            <v>11795971</v>
          </cell>
        </row>
        <row r="41">
          <cell r="A41">
            <v>43930</v>
          </cell>
          <cell r="B41">
            <v>11802489</v>
          </cell>
        </row>
        <row r="42">
          <cell r="A42">
            <v>43931</v>
          </cell>
          <cell r="B42">
            <v>11806390</v>
          </cell>
        </row>
        <row r="43">
          <cell r="A43">
            <v>43932</v>
          </cell>
          <cell r="B43">
            <v>11802279</v>
          </cell>
        </row>
        <row r="44">
          <cell r="A44">
            <v>43933</v>
          </cell>
          <cell r="B44">
            <v>11803315</v>
          </cell>
        </row>
        <row r="45">
          <cell r="A45">
            <v>43934</v>
          </cell>
          <cell r="B45">
            <v>11820703</v>
          </cell>
        </row>
        <row r="46">
          <cell r="A46">
            <v>43935</v>
          </cell>
          <cell r="B46">
            <v>11885530</v>
          </cell>
        </row>
        <row r="47">
          <cell r="A47">
            <v>43936</v>
          </cell>
          <cell r="B47">
            <v>11895113</v>
          </cell>
        </row>
        <row r="48">
          <cell r="A48">
            <v>43937</v>
          </cell>
          <cell r="B48">
            <v>11896878</v>
          </cell>
        </row>
        <row r="49">
          <cell r="A49">
            <v>43938</v>
          </cell>
          <cell r="B49">
            <v>11899219</v>
          </cell>
        </row>
        <row r="50">
          <cell r="A50">
            <v>43939</v>
          </cell>
          <cell r="B50">
            <v>11891062</v>
          </cell>
        </row>
        <row r="51">
          <cell r="A51">
            <v>43940</v>
          </cell>
          <cell r="B51">
            <v>11889383</v>
          </cell>
        </row>
        <row r="52">
          <cell r="A52">
            <v>43941</v>
          </cell>
          <cell r="B52">
            <v>11969609</v>
          </cell>
        </row>
        <row r="53">
          <cell r="A53">
            <v>43942</v>
          </cell>
          <cell r="B53">
            <v>11973322</v>
          </cell>
        </row>
        <row r="54">
          <cell r="A54">
            <v>43943</v>
          </cell>
          <cell r="B54">
            <v>11974936</v>
          </cell>
        </row>
        <row r="55">
          <cell r="A55">
            <v>43944</v>
          </cell>
          <cell r="B55">
            <v>11976207</v>
          </cell>
        </row>
        <row r="56">
          <cell r="A56">
            <v>43945</v>
          </cell>
          <cell r="B56">
            <v>11977715</v>
          </cell>
        </row>
        <row r="57">
          <cell r="A57">
            <v>43946</v>
          </cell>
          <cell r="B57">
            <v>11974147</v>
          </cell>
        </row>
        <row r="58">
          <cell r="A58">
            <v>43947</v>
          </cell>
          <cell r="B58">
            <v>11972871</v>
          </cell>
        </row>
        <row r="59">
          <cell r="A59">
            <v>43948</v>
          </cell>
          <cell r="B59">
            <v>11993085</v>
          </cell>
        </row>
        <row r="60">
          <cell r="A60">
            <v>43949</v>
          </cell>
          <cell r="B60">
            <v>11993446</v>
          </cell>
        </row>
        <row r="61">
          <cell r="A61">
            <v>43950</v>
          </cell>
          <cell r="B61">
            <v>11994004</v>
          </cell>
        </row>
        <row r="62">
          <cell r="A62">
            <v>43951</v>
          </cell>
          <cell r="B62">
            <v>11996097</v>
          </cell>
        </row>
        <row r="63">
          <cell r="A63">
            <v>43952</v>
          </cell>
          <cell r="B63">
            <v>12274404</v>
          </cell>
        </row>
        <row r="64">
          <cell r="A64">
            <v>43953</v>
          </cell>
          <cell r="B64">
            <v>12345633</v>
          </cell>
        </row>
        <row r="65">
          <cell r="A65">
            <v>43954</v>
          </cell>
          <cell r="B65">
            <v>12343163</v>
          </cell>
        </row>
        <row r="66">
          <cell r="A66">
            <v>43955</v>
          </cell>
          <cell r="B66">
            <v>12392246</v>
          </cell>
        </row>
        <row r="67">
          <cell r="A67">
            <v>43956</v>
          </cell>
          <cell r="B67">
            <v>12386217</v>
          </cell>
        </row>
        <row r="68">
          <cell r="A68">
            <v>43957</v>
          </cell>
          <cell r="B68">
            <v>12382104</v>
          </cell>
        </row>
        <row r="69">
          <cell r="A69">
            <v>43958</v>
          </cell>
          <cell r="B69">
            <v>12382573</v>
          </cell>
        </row>
        <row r="70">
          <cell r="A70">
            <v>43959</v>
          </cell>
          <cell r="B70">
            <v>12378383</v>
          </cell>
        </row>
        <row r="71">
          <cell r="A71">
            <v>43960</v>
          </cell>
          <cell r="B71">
            <v>12373290</v>
          </cell>
        </row>
        <row r="72">
          <cell r="A72">
            <v>43961</v>
          </cell>
          <cell r="B72">
            <v>12370791</v>
          </cell>
        </row>
        <row r="73">
          <cell r="A73">
            <v>43962</v>
          </cell>
          <cell r="B73">
            <v>12361160</v>
          </cell>
        </row>
        <row r="74">
          <cell r="A74">
            <v>43963</v>
          </cell>
          <cell r="B74">
            <v>12310874</v>
          </cell>
        </row>
        <row r="75">
          <cell r="A75">
            <v>43964</v>
          </cell>
          <cell r="B75">
            <v>12309605</v>
          </cell>
        </row>
        <row r="76">
          <cell r="A76">
            <v>43965</v>
          </cell>
          <cell r="B76">
            <v>12309432</v>
          </cell>
        </row>
        <row r="77">
          <cell r="A77">
            <v>43966</v>
          </cell>
          <cell r="B77">
            <v>12310283</v>
          </cell>
        </row>
        <row r="78">
          <cell r="A78">
            <v>43967</v>
          </cell>
          <cell r="B78">
            <v>12283507</v>
          </cell>
        </row>
        <row r="79">
          <cell r="A79">
            <v>43968</v>
          </cell>
          <cell r="B79">
            <v>12275875</v>
          </cell>
        </row>
        <row r="80">
          <cell r="A80">
            <v>43969</v>
          </cell>
          <cell r="B80">
            <v>12275274</v>
          </cell>
        </row>
        <row r="81">
          <cell r="A81">
            <v>43970</v>
          </cell>
          <cell r="B81">
            <v>12272847</v>
          </cell>
        </row>
        <row r="82">
          <cell r="A82">
            <v>43971</v>
          </cell>
          <cell r="B82">
            <v>12272836</v>
          </cell>
        </row>
        <row r="83">
          <cell r="A83">
            <v>43972</v>
          </cell>
          <cell r="B83">
            <v>12271286</v>
          </cell>
        </row>
        <row r="84">
          <cell r="A84">
            <v>43973</v>
          </cell>
          <cell r="B84">
            <v>12271309</v>
          </cell>
        </row>
        <row r="85">
          <cell r="A85">
            <v>43974</v>
          </cell>
          <cell r="B85">
            <v>12269571</v>
          </cell>
        </row>
        <row r="86">
          <cell r="A86">
            <v>43975</v>
          </cell>
          <cell r="B86">
            <v>12268591</v>
          </cell>
        </row>
        <row r="87">
          <cell r="A87">
            <v>43976</v>
          </cell>
          <cell r="B87">
            <v>12267684</v>
          </cell>
        </row>
        <row r="88">
          <cell r="A88">
            <v>43977</v>
          </cell>
          <cell r="B88">
            <v>12266821</v>
          </cell>
        </row>
        <row r="89">
          <cell r="A89">
            <v>43978</v>
          </cell>
          <cell r="B89">
            <v>12266738</v>
          </cell>
        </row>
        <row r="90">
          <cell r="A90">
            <v>43979</v>
          </cell>
          <cell r="B90">
            <v>12267013</v>
          </cell>
        </row>
        <row r="91">
          <cell r="A91">
            <v>43980</v>
          </cell>
          <cell r="B91">
            <v>12267070</v>
          </cell>
        </row>
        <row r="92">
          <cell r="A92">
            <v>43981</v>
          </cell>
          <cell r="B92">
            <v>12241865</v>
          </cell>
        </row>
        <row r="93">
          <cell r="A93">
            <v>43982</v>
          </cell>
          <cell r="B93">
            <v>12219345</v>
          </cell>
        </row>
        <row r="94">
          <cell r="A94">
            <v>43983</v>
          </cell>
          <cell r="B94">
            <v>11735222</v>
          </cell>
        </row>
        <row r="95">
          <cell r="A95">
            <v>43984</v>
          </cell>
          <cell r="B95">
            <v>11739219</v>
          </cell>
        </row>
        <row r="96">
          <cell r="A96">
            <v>43985</v>
          </cell>
          <cell r="B96">
            <v>11734633</v>
          </cell>
        </row>
        <row r="97">
          <cell r="A97">
            <v>43986</v>
          </cell>
          <cell r="B97">
            <v>11732831</v>
          </cell>
        </row>
        <row r="98">
          <cell r="A98">
            <v>43987</v>
          </cell>
          <cell r="B98">
            <v>11734715</v>
          </cell>
        </row>
        <row r="99">
          <cell r="A99">
            <v>43988</v>
          </cell>
          <cell r="B99">
            <v>11733201</v>
          </cell>
        </row>
        <row r="100">
          <cell r="A100">
            <v>43989</v>
          </cell>
          <cell r="B100">
            <v>11732250</v>
          </cell>
        </row>
        <row r="101">
          <cell r="A101">
            <v>43990</v>
          </cell>
          <cell r="B101">
            <v>11731751</v>
          </cell>
        </row>
        <row r="102">
          <cell r="A102">
            <v>43991</v>
          </cell>
          <cell r="B102">
            <v>11732721</v>
          </cell>
        </row>
        <row r="103">
          <cell r="A103">
            <v>43992</v>
          </cell>
          <cell r="B103">
            <v>11730761</v>
          </cell>
        </row>
        <row r="104">
          <cell r="A104">
            <v>43993</v>
          </cell>
          <cell r="B104">
            <v>11730331</v>
          </cell>
        </row>
        <row r="105">
          <cell r="A105">
            <v>43994</v>
          </cell>
          <cell r="B105">
            <v>11731469</v>
          </cell>
        </row>
        <row r="106">
          <cell r="A106">
            <v>43995</v>
          </cell>
          <cell r="B106">
            <v>11725048</v>
          </cell>
        </row>
        <row r="107">
          <cell r="A107">
            <v>43996</v>
          </cell>
          <cell r="B107">
            <v>11722327</v>
          </cell>
        </row>
        <row r="108">
          <cell r="A108">
            <v>43997</v>
          </cell>
          <cell r="B108">
            <v>11697803</v>
          </cell>
        </row>
        <row r="109">
          <cell r="A109">
            <v>43998</v>
          </cell>
          <cell r="B109">
            <v>11647326</v>
          </cell>
        </row>
        <row r="110">
          <cell r="A110">
            <v>43999</v>
          </cell>
          <cell r="B110">
            <v>11602113</v>
          </cell>
        </row>
        <row r="111">
          <cell r="A111">
            <v>44000</v>
          </cell>
          <cell r="B111">
            <v>11575661</v>
          </cell>
        </row>
        <row r="112">
          <cell r="A112">
            <v>44001</v>
          </cell>
          <cell r="B112">
            <v>11566703</v>
          </cell>
        </row>
        <row r="113">
          <cell r="A113">
            <v>44002</v>
          </cell>
          <cell r="B113">
            <v>11557230</v>
          </cell>
        </row>
        <row r="114">
          <cell r="A114">
            <v>44003</v>
          </cell>
          <cell r="B114">
            <v>11551629</v>
          </cell>
        </row>
        <row r="115">
          <cell r="A115">
            <v>44004</v>
          </cell>
          <cell r="B115">
            <v>11545893</v>
          </cell>
        </row>
        <row r="116">
          <cell r="A116">
            <v>44005</v>
          </cell>
          <cell r="B116">
            <v>11540389</v>
          </cell>
        </row>
        <row r="117">
          <cell r="A117">
            <v>44006</v>
          </cell>
          <cell r="B117">
            <v>11536699</v>
          </cell>
        </row>
        <row r="118">
          <cell r="A118">
            <v>44007</v>
          </cell>
          <cell r="B118">
            <v>11535822</v>
          </cell>
        </row>
        <row r="119">
          <cell r="A119">
            <v>44008</v>
          </cell>
          <cell r="B119">
            <v>11535043</v>
          </cell>
        </row>
        <row r="120">
          <cell r="A120">
            <v>44009</v>
          </cell>
          <cell r="B120">
            <v>11510522</v>
          </cell>
        </row>
        <row r="121">
          <cell r="A121">
            <v>44010</v>
          </cell>
          <cell r="B121">
            <v>11495205</v>
          </cell>
        </row>
        <row r="122">
          <cell r="A122">
            <v>44011</v>
          </cell>
          <cell r="B122">
            <v>11393371</v>
          </cell>
        </row>
        <row r="123">
          <cell r="A123">
            <v>44012</v>
          </cell>
          <cell r="B123">
            <v>11387724</v>
          </cell>
        </row>
        <row r="124">
          <cell r="A124">
            <v>44013</v>
          </cell>
          <cell r="B124">
            <v>7260395</v>
          </cell>
        </row>
        <row r="125">
          <cell r="A125">
            <v>44014</v>
          </cell>
          <cell r="B125">
            <v>7253313</v>
          </cell>
        </row>
        <row r="126">
          <cell r="A126">
            <v>44015</v>
          </cell>
          <cell r="B126">
            <v>7253067</v>
          </cell>
        </row>
        <row r="127">
          <cell r="A127">
            <v>44016</v>
          </cell>
          <cell r="B127">
            <v>7214410</v>
          </cell>
        </row>
        <row r="128">
          <cell r="A128">
            <v>44017</v>
          </cell>
          <cell r="B128">
            <v>7196615</v>
          </cell>
        </row>
        <row r="129">
          <cell r="A129">
            <v>44018</v>
          </cell>
          <cell r="B129">
            <v>7170861</v>
          </cell>
        </row>
        <row r="130">
          <cell r="A130">
            <v>44019</v>
          </cell>
          <cell r="B130">
            <v>7162154</v>
          </cell>
        </row>
        <row r="131">
          <cell r="A131">
            <v>44020</v>
          </cell>
          <cell r="B131">
            <v>7161583</v>
          </cell>
        </row>
        <row r="132">
          <cell r="A132">
            <v>44021</v>
          </cell>
          <cell r="B132">
            <v>7160833</v>
          </cell>
        </row>
        <row r="133">
          <cell r="A133">
            <v>44022</v>
          </cell>
          <cell r="B133">
            <v>7160939</v>
          </cell>
        </row>
        <row r="134">
          <cell r="A134">
            <v>44023</v>
          </cell>
          <cell r="B134">
            <v>7116855</v>
          </cell>
        </row>
        <row r="135">
          <cell r="A135">
            <v>44024</v>
          </cell>
          <cell r="B135">
            <v>7109093</v>
          </cell>
        </row>
        <row r="136">
          <cell r="A136">
            <v>44025</v>
          </cell>
          <cell r="B136">
            <v>7102969</v>
          </cell>
        </row>
        <row r="137">
          <cell r="A137">
            <v>44026</v>
          </cell>
          <cell r="B137">
            <v>7099814</v>
          </cell>
        </row>
        <row r="138">
          <cell r="A138">
            <v>44027</v>
          </cell>
          <cell r="B138">
            <v>7096958</v>
          </cell>
        </row>
        <row r="139">
          <cell r="A139">
            <v>44028</v>
          </cell>
          <cell r="B139">
            <v>7064345</v>
          </cell>
        </row>
        <row r="140">
          <cell r="A140">
            <v>44029</v>
          </cell>
          <cell r="B140">
            <v>7056149</v>
          </cell>
        </row>
        <row r="141">
          <cell r="A141">
            <v>44030</v>
          </cell>
          <cell r="B141">
            <v>7041617</v>
          </cell>
        </row>
        <row r="142">
          <cell r="A142">
            <v>44031</v>
          </cell>
          <cell r="B142">
            <v>7038776</v>
          </cell>
        </row>
        <row r="143">
          <cell r="A143">
            <v>44032</v>
          </cell>
          <cell r="B143">
            <v>7034733</v>
          </cell>
        </row>
        <row r="144">
          <cell r="A144">
            <v>44033</v>
          </cell>
          <cell r="B144">
            <v>7033399</v>
          </cell>
        </row>
        <row r="145">
          <cell r="A145">
            <v>44034</v>
          </cell>
          <cell r="B145">
            <v>7033119</v>
          </cell>
        </row>
        <row r="146">
          <cell r="A146">
            <v>44035</v>
          </cell>
          <cell r="B146">
            <v>7025022</v>
          </cell>
        </row>
        <row r="147">
          <cell r="A147">
            <v>44036</v>
          </cell>
          <cell r="B147">
            <v>7023678</v>
          </cell>
        </row>
        <row r="148">
          <cell r="A148">
            <v>44037</v>
          </cell>
          <cell r="B148">
            <v>7016804</v>
          </cell>
        </row>
        <row r="149">
          <cell r="A149">
            <v>44038</v>
          </cell>
          <cell r="B149">
            <v>7015618</v>
          </cell>
        </row>
        <row r="150">
          <cell r="A150">
            <v>44039</v>
          </cell>
          <cell r="B150">
            <v>7011808</v>
          </cell>
        </row>
        <row r="151">
          <cell r="A151" t="str">
            <v>NA</v>
          </cell>
          <cell r="B151" t="str">
            <v>NA</v>
          </cell>
        </row>
        <row r="152">
          <cell r="A152" t="str">
            <v>NA</v>
          </cell>
          <cell r="B152" t="str">
            <v>NA</v>
          </cell>
        </row>
        <row r="153">
          <cell r="A153" t="str">
            <v>NA</v>
          </cell>
          <cell r="B153" t="str">
            <v>NA</v>
          </cell>
        </row>
        <row r="154">
          <cell r="A154" t="str">
            <v>NA</v>
          </cell>
          <cell r="B154" t="str">
            <v>NA</v>
          </cell>
        </row>
        <row r="155">
          <cell r="A155" t="str">
            <v>NA</v>
          </cell>
          <cell r="B155" t="str">
            <v>NA</v>
          </cell>
        </row>
        <row r="156">
          <cell r="A156" t="str">
            <v>NA</v>
          </cell>
          <cell r="B156" t="str">
            <v>NA</v>
          </cell>
        </row>
        <row r="157">
          <cell r="A157" t="str">
            <v>NA</v>
          </cell>
          <cell r="B157" t="str">
            <v>NA</v>
          </cell>
        </row>
        <row r="158">
          <cell r="A158" t="str">
            <v>NA</v>
          </cell>
          <cell r="B158" t="str">
            <v>NA</v>
          </cell>
        </row>
        <row r="159">
          <cell r="A159" t="str">
            <v>NA</v>
          </cell>
          <cell r="B159" t="str">
            <v>NA</v>
          </cell>
        </row>
        <row r="160">
          <cell r="A160" t="str">
            <v>NA</v>
          </cell>
          <cell r="B160" t="str">
            <v>NA</v>
          </cell>
        </row>
        <row r="161">
          <cell r="A161" t="str">
            <v>NA</v>
          </cell>
          <cell r="B161" t="str">
            <v>NA</v>
          </cell>
        </row>
        <row r="162">
          <cell r="A162" t="str">
            <v>NA</v>
          </cell>
          <cell r="B162" t="str">
            <v>NA</v>
          </cell>
        </row>
        <row r="163">
          <cell r="A163" t="str">
            <v>NA</v>
          </cell>
          <cell r="B163" t="str">
            <v>NA</v>
          </cell>
        </row>
        <row r="164">
          <cell r="A164" t="str">
            <v>NA</v>
          </cell>
          <cell r="B164" t="str">
            <v>NA</v>
          </cell>
        </row>
        <row r="165">
          <cell r="A165" t="str">
            <v>NA</v>
          </cell>
          <cell r="B165" t="str">
            <v>NA</v>
          </cell>
        </row>
        <row r="166">
          <cell r="A166" t="str">
            <v>NA</v>
          </cell>
          <cell r="B166" t="str">
            <v>NA</v>
          </cell>
        </row>
        <row r="167">
          <cell r="A167" t="str">
            <v>NA</v>
          </cell>
          <cell r="B167" t="str">
            <v>NA</v>
          </cell>
        </row>
        <row r="168">
          <cell r="A168" t="str">
            <v>NA</v>
          </cell>
          <cell r="B168" t="str">
            <v>NA</v>
          </cell>
        </row>
        <row r="169">
          <cell r="A169" t="str">
            <v>NA</v>
          </cell>
          <cell r="B169" t="str">
            <v>NA</v>
          </cell>
        </row>
        <row r="170">
          <cell r="A170" t="str">
            <v>NA</v>
          </cell>
          <cell r="B170" t="str">
            <v>NA</v>
          </cell>
        </row>
        <row r="171">
          <cell r="A171" t="str">
            <v>NA</v>
          </cell>
          <cell r="B171" t="str">
            <v>NA</v>
          </cell>
        </row>
        <row r="172">
          <cell r="A172" t="str">
            <v>NA</v>
          </cell>
          <cell r="B172" t="str">
            <v>NA</v>
          </cell>
        </row>
        <row r="173">
          <cell r="A173" t="str">
            <v>NA</v>
          </cell>
          <cell r="B173" t="str">
            <v>NA</v>
          </cell>
        </row>
        <row r="174">
          <cell r="A174" t="str">
            <v>NA</v>
          </cell>
          <cell r="B174" t="str">
            <v>NA</v>
          </cell>
        </row>
        <row r="175">
          <cell r="A175" t="str">
            <v>NA</v>
          </cell>
          <cell r="B175" t="str">
            <v>NA</v>
          </cell>
        </row>
        <row r="176">
          <cell r="A176" t="str">
            <v>NA</v>
          </cell>
          <cell r="B176" t="str">
            <v>NA</v>
          </cell>
        </row>
        <row r="177">
          <cell r="A177" t="str">
            <v>NA</v>
          </cell>
          <cell r="B177" t="str">
            <v>NA</v>
          </cell>
        </row>
        <row r="178">
          <cell r="A178" t="str">
            <v>NA</v>
          </cell>
          <cell r="B178" t="str">
            <v>NA</v>
          </cell>
        </row>
        <row r="179">
          <cell r="A179" t="str">
            <v>NA</v>
          </cell>
          <cell r="B179" t="str">
            <v>NA</v>
          </cell>
        </row>
        <row r="180">
          <cell r="A180" t="str">
            <v>NA</v>
          </cell>
          <cell r="B180" t="str">
            <v>NA</v>
          </cell>
        </row>
        <row r="181">
          <cell r="A181" t="str">
            <v>NA</v>
          </cell>
          <cell r="B181" t="str">
            <v>NA</v>
          </cell>
        </row>
        <row r="182">
          <cell r="A182" t="str">
            <v>NA</v>
          </cell>
          <cell r="B182" t="str">
            <v>NA</v>
          </cell>
        </row>
        <row r="183">
          <cell r="A183" t="str">
            <v>NA</v>
          </cell>
          <cell r="B183" t="str">
            <v>NA</v>
          </cell>
        </row>
        <row r="184">
          <cell r="A184" t="str">
            <v>NA</v>
          </cell>
          <cell r="B184" t="str">
            <v>NA</v>
          </cell>
        </row>
        <row r="185">
          <cell r="A185" t="str">
            <v>NA</v>
          </cell>
          <cell r="B185" t="str">
            <v>NA</v>
          </cell>
        </row>
        <row r="186">
          <cell r="A186" t="str">
            <v>NA</v>
          </cell>
          <cell r="B186" t="str">
            <v>NA</v>
          </cell>
        </row>
        <row r="187">
          <cell r="A187" t="str">
            <v>NA</v>
          </cell>
          <cell r="B187" t="str">
            <v>NA</v>
          </cell>
        </row>
        <row r="188">
          <cell r="A188" t="str">
            <v>NA</v>
          </cell>
          <cell r="B188" t="str">
            <v>NA</v>
          </cell>
        </row>
        <row r="189">
          <cell r="A189" t="str">
            <v>NA</v>
          </cell>
          <cell r="B189" t="str">
            <v>NA</v>
          </cell>
        </row>
        <row r="190">
          <cell r="A190" t="str">
            <v>NA</v>
          </cell>
          <cell r="B190" t="str">
            <v>NA</v>
          </cell>
        </row>
        <row r="191">
          <cell r="A191" t="str">
            <v>NA</v>
          </cell>
          <cell r="B191" t="str">
            <v>NA</v>
          </cell>
        </row>
        <row r="192">
          <cell r="A192" t="str">
            <v>NA</v>
          </cell>
          <cell r="B192" t="str">
            <v>NA</v>
          </cell>
        </row>
        <row r="193">
          <cell r="A193" t="str">
            <v>NA</v>
          </cell>
          <cell r="B193" t="str">
            <v>NA</v>
          </cell>
        </row>
        <row r="194">
          <cell r="A194" t="str">
            <v>NA</v>
          </cell>
          <cell r="B194" t="str">
            <v>NA</v>
          </cell>
        </row>
        <row r="195">
          <cell r="A195" t="str">
            <v>NA</v>
          </cell>
          <cell r="B195" t="str">
            <v>NA</v>
          </cell>
        </row>
        <row r="196">
          <cell r="A196" t="str">
            <v>NA</v>
          </cell>
          <cell r="B196" t="str">
            <v>NA</v>
          </cell>
        </row>
        <row r="197">
          <cell r="A197" t="str">
            <v>NA</v>
          </cell>
          <cell r="B197" t="str">
            <v>NA</v>
          </cell>
        </row>
        <row r="198">
          <cell r="A198" t="str">
            <v>NA</v>
          </cell>
          <cell r="B198" t="str">
            <v>NA</v>
          </cell>
        </row>
        <row r="199">
          <cell r="A199" t="str">
            <v>NA</v>
          </cell>
          <cell r="B199" t="str">
            <v>NA</v>
          </cell>
        </row>
        <row r="200">
          <cell r="A200" t="str">
            <v>NA</v>
          </cell>
          <cell r="B200" t="str">
            <v>NA</v>
          </cell>
        </row>
        <row r="201">
          <cell r="A201" t="str">
            <v>NA</v>
          </cell>
          <cell r="B201" t="str">
            <v>NA</v>
          </cell>
        </row>
        <row r="202">
          <cell r="A202" t="str">
            <v>NA</v>
          </cell>
          <cell r="B202" t="str">
            <v>NA</v>
          </cell>
        </row>
        <row r="203">
          <cell r="A203" t="str">
            <v>NA</v>
          </cell>
          <cell r="B203" t="str">
            <v>NA</v>
          </cell>
        </row>
        <row r="204">
          <cell r="A204" t="str">
            <v>NA</v>
          </cell>
          <cell r="B204" t="str">
            <v>NA</v>
          </cell>
        </row>
        <row r="205">
          <cell r="A205" t="str">
            <v>NA</v>
          </cell>
          <cell r="B205" t="str">
            <v>NA</v>
          </cell>
        </row>
        <row r="206">
          <cell r="A206" t="str">
            <v>NA</v>
          </cell>
          <cell r="B206" t="str">
            <v>NA</v>
          </cell>
        </row>
        <row r="207">
          <cell r="A207" t="str">
            <v>NA</v>
          </cell>
          <cell r="B207" t="str">
            <v>NA</v>
          </cell>
        </row>
        <row r="208">
          <cell r="A208" t="str">
            <v>NA</v>
          </cell>
          <cell r="B208" t="str">
            <v>NA</v>
          </cell>
        </row>
        <row r="209">
          <cell r="A209" t="str">
            <v>NA</v>
          </cell>
          <cell r="B209" t="str">
            <v>NA</v>
          </cell>
        </row>
        <row r="210">
          <cell r="A210" t="str">
            <v>NA</v>
          </cell>
          <cell r="B210" t="str">
            <v>NA</v>
          </cell>
        </row>
        <row r="211">
          <cell r="A211" t="str">
            <v>NA</v>
          </cell>
          <cell r="B211" t="str">
            <v>NA</v>
          </cell>
        </row>
        <row r="212">
          <cell r="A212" t="str">
            <v>NA</v>
          </cell>
          <cell r="B212" t="str">
            <v>NA</v>
          </cell>
        </row>
        <row r="213">
          <cell r="A213" t="str">
            <v>NA</v>
          </cell>
          <cell r="B213" t="str">
            <v>NA</v>
          </cell>
        </row>
        <row r="214">
          <cell r="A214" t="str">
            <v>NA</v>
          </cell>
          <cell r="B214" t="str">
            <v>NA</v>
          </cell>
        </row>
        <row r="215">
          <cell r="A215" t="str">
            <v>NA</v>
          </cell>
          <cell r="B215" t="str">
            <v>NA</v>
          </cell>
        </row>
        <row r="216">
          <cell r="A216" t="str">
            <v>NA</v>
          </cell>
          <cell r="B216" t="str">
            <v>NA</v>
          </cell>
        </row>
        <row r="217">
          <cell r="A217" t="str">
            <v>NA</v>
          </cell>
          <cell r="B217" t="str">
            <v>NA</v>
          </cell>
        </row>
        <row r="218">
          <cell r="A218" t="str">
            <v>NA</v>
          </cell>
          <cell r="B218" t="str">
            <v>NA</v>
          </cell>
        </row>
        <row r="219">
          <cell r="A219" t="str">
            <v>NA</v>
          </cell>
          <cell r="B219" t="str">
            <v>NA</v>
          </cell>
        </row>
        <row r="220">
          <cell r="A220" t="str">
            <v>NA</v>
          </cell>
          <cell r="B220" t="str">
            <v>NA</v>
          </cell>
        </row>
        <row r="221">
          <cell r="A221" t="str">
            <v>NA</v>
          </cell>
          <cell r="B221" t="str">
            <v>NA</v>
          </cell>
        </row>
        <row r="222">
          <cell r="A222" t="str">
            <v>NA</v>
          </cell>
          <cell r="B222" t="str">
            <v>NA</v>
          </cell>
        </row>
        <row r="223">
          <cell r="A223" t="str">
            <v>NA</v>
          </cell>
          <cell r="B223" t="str">
            <v>NA</v>
          </cell>
        </row>
        <row r="224">
          <cell r="A224" t="str">
            <v>NA</v>
          </cell>
          <cell r="B224" t="str">
            <v>NA</v>
          </cell>
        </row>
        <row r="225">
          <cell r="A225" t="str">
            <v>NA</v>
          </cell>
          <cell r="B225" t="str">
            <v>NA</v>
          </cell>
        </row>
        <row r="226">
          <cell r="A226" t="str">
            <v>NA</v>
          </cell>
          <cell r="B226" t="str">
            <v>NA</v>
          </cell>
        </row>
        <row r="227">
          <cell r="A227" t="str">
            <v>NA</v>
          </cell>
          <cell r="B227" t="str">
            <v>NA</v>
          </cell>
        </row>
        <row r="228">
          <cell r="A228" t="str">
            <v>NA</v>
          </cell>
          <cell r="B228" t="str">
            <v>NA</v>
          </cell>
        </row>
        <row r="229">
          <cell r="A229" t="str">
            <v>NA</v>
          </cell>
          <cell r="B229" t="str">
            <v>NA</v>
          </cell>
        </row>
        <row r="230">
          <cell r="A230" t="str">
            <v>NA</v>
          </cell>
          <cell r="B230" t="str">
            <v>NA</v>
          </cell>
        </row>
        <row r="231">
          <cell r="A231" t="str">
            <v>NA</v>
          </cell>
          <cell r="B231" t="str">
            <v>NA</v>
          </cell>
        </row>
        <row r="232">
          <cell r="A232" t="str">
            <v>NA</v>
          </cell>
          <cell r="B232" t="str">
            <v>NA</v>
          </cell>
        </row>
        <row r="233">
          <cell r="A233" t="str">
            <v>NA</v>
          </cell>
          <cell r="B233" t="str">
            <v>NA</v>
          </cell>
        </row>
        <row r="234">
          <cell r="A234" t="str">
            <v>NA</v>
          </cell>
          <cell r="B234" t="str">
            <v>NA</v>
          </cell>
        </row>
        <row r="235">
          <cell r="A235" t="str">
            <v>NA</v>
          </cell>
          <cell r="B235" t="str">
            <v>NA</v>
          </cell>
        </row>
        <row r="236">
          <cell r="A236" t="str">
            <v>NA</v>
          </cell>
          <cell r="B236" t="str">
            <v>NA</v>
          </cell>
        </row>
        <row r="237">
          <cell r="A237" t="str">
            <v>NA</v>
          </cell>
          <cell r="B237" t="str">
            <v>NA</v>
          </cell>
        </row>
        <row r="238">
          <cell r="A238" t="str">
            <v>NA</v>
          </cell>
          <cell r="B238" t="str">
            <v>NA</v>
          </cell>
        </row>
        <row r="239">
          <cell r="A239" t="str">
            <v>NA</v>
          </cell>
          <cell r="B239" t="str">
            <v>NA</v>
          </cell>
        </row>
        <row r="240">
          <cell r="A240" t="str">
            <v>NA</v>
          </cell>
          <cell r="B240" t="str">
            <v>NA</v>
          </cell>
        </row>
        <row r="241">
          <cell r="A241" t="str">
            <v>NA</v>
          </cell>
          <cell r="B241" t="str">
            <v>NA</v>
          </cell>
        </row>
        <row r="242">
          <cell r="A242" t="str">
            <v>NA</v>
          </cell>
          <cell r="B242" t="str">
            <v>NA</v>
          </cell>
        </row>
        <row r="243">
          <cell r="A243" t="str">
            <v>NA</v>
          </cell>
          <cell r="B243" t="str">
            <v>NA</v>
          </cell>
        </row>
        <row r="244">
          <cell r="A244" t="str">
            <v>NA</v>
          </cell>
          <cell r="B244" t="str">
            <v>NA</v>
          </cell>
        </row>
        <row r="245">
          <cell r="A245" t="str">
            <v>NA</v>
          </cell>
          <cell r="B245" t="str">
            <v>NA</v>
          </cell>
        </row>
        <row r="246">
          <cell r="A246" t="str">
            <v>NA</v>
          </cell>
          <cell r="B246" t="str">
            <v>NA</v>
          </cell>
        </row>
        <row r="247">
          <cell r="A247" t="str">
            <v>NA</v>
          </cell>
          <cell r="B247" t="str">
            <v>NA</v>
          </cell>
        </row>
        <row r="248">
          <cell r="A248" t="str">
            <v>NA</v>
          </cell>
          <cell r="B248" t="str">
            <v>NA</v>
          </cell>
        </row>
        <row r="249">
          <cell r="A249" t="str">
            <v>NA</v>
          </cell>
          <cell r="B249" t="str">
            <v>NA</v>
          </cell>
        </row>
        <row r="250">
          <cell r="A250" t="str">
            <v>NA</v>
          </cell>
          <cell r="B250" t="str">
            <v>NA</v>
          </cell>
        </row>
        <row r="251">
          <cell r="A251" t="str">
            <v>NA</v>
          </cell>
          <cell r="B251" t="str">
            <v>NA</v>
          </cell>
        </row>
        <row r="252">
          <cell r="A252" t="str">
            <v>NA</v>
          </cell>
          <cell r="B252" t="str">
            <v>NA</v>
          </cell>
        </row>
        <row r="253">
          <cell r="A253" t="str">
            <v>NA</v>
          </cell>
          <cell r="B253" t="str">
            <v>NA</v>
          </cell>
        </row>
        <row r="254">
          <cell r="A254" t="str">
            <v>NA</v>
          </cell>
          <cell r="B254" t="str">
            <v>NA</v>
          </cell>
        </row>
        <row r="255">
          <cell r="A255" t="str">
            <v>NA</v>
          </cell>
          <cell r="B255" t="str">
            <v>NA</v>
          </cell>
        </row>
        <row r="256">
          <cell r="A256" t="str">
            <v>NA</v>
          </cell>
          <cell r="B256" t="str">
            <v>NA</v>
          </cell>
        </row>
        <row r="257">
          <cell r="A257" t="str">
            <v>NA</v>
          </cell>
          <cell r="B257" t="str">
            <v>NA</v>
          </cell>
        </row>
        <row r="258">
          <cell r="A258" t="str">
            <v>NA</v>
          </cell>
          <cell r="B258" t="str">
            <v>NA</v>
          </cell>
        </row>
        <row r="259">
          <cell r="A259" t="str">
            <v>NA</v>
          </cell>
          <cell r="B259" t="str">
            <v>NA</v>
          </cell>
        </row>
        <row r="260">
          <cell r="A260" t="str">
            <v>NA</v>
          </cell>
          <cell r="B260" t="str">
            <v>NA</v>
          </cell>
        </row>
        <row r="261">
          <cell r="A261" t="str">
            <v>NA</v>
          </cell>
          <cell r="B261" t="str">
            <v>NA</v>
          </cell>
        </row>
        <row r="262">
          <cell r="A262" t="str">
            <v>NA</v>
          </cell>
          <cell r="B262" t="str">
            <v>NA</v>
          </cell>
        </row>
        <row r="263">
          <cell r="A263" t="str">
            <v>NA</v>
          </cell>
          <cell r="B263" t="str">
            <v>NA</v>
          </cell>
        </row>
        <row r="264">
          <cell r="A264" t="str">
            <v>NA</v>
          </cell>
          <cell r="B264" t="str">
            <v>NA</v>
          </cell>
        </row>
        <row r="265">
          <cell r="A265" t="str">
            <v>NA</v>
          </cell>
          <cell r="B265" t="str">
            <v>NA</v>
          </cell>
        </row>
        <row r="266">
          <cell r="A266" t="str">
            <v>NA</v>
          </cell>
          <cell r="B266" t="str">
            <v>NA</v>
          </cell>
        </row>
        <row r="267">
          <cell r="A267" t="str">
            <v>NA</v>
          </cell>
          <cell r="B267" t="str">
            <v>NA</v>
          </cell>
        </row>
        <row r="268">
          <cell r="A268" t="str">
            <v>NA</v>
          </cell>
          <cell r="B268" t="str">
            <v>NA</v>
          </cell>
        </row>
        <row r="269">
          <cell r="A269" t="str">
            <v>NA</v>
          </cell>
          <cell r="B269" t="str">
            <v>NA</v>
          </cell>
        </row>
        <row r="270">
          <cell r="A270" t="str">
            <v>NA</v>
          </cell>
          <cell r="B270" t="str">
            <v>NA</v>
          </cell>
        </row>
        <row r="271">
          <cell r="A271" t="str">
            <v>NA</v>
          </cell>
          <cell r="B271" t="str">
            <v>NA</v>
          </cell>
        </row>
        <row r="272">
          <cell r="A272" t="str">
            <v>NA</v>
          </cell>
          <cell r="B272" t="str">
            <v>NA</v>
          </cell>
        </row>
        <row r="273">
          <cell r="A273" t="str">
            <v>NA</v>
          </cell>
          <cell r="B273" t="str">
            <v>NA</v>
          </cell>
        </row>
        <row r="274">
          <cell r="A274" t="str">
            <v>NA</v>
          </cell>
          <cell r="B274" t="str">
            <v>NA</v>
          </cell>
        </row>
        <row r="275">
          <cell r="A275" t="str">
            <v>NA</v>
          </cell>
          <cell r="B275" t="str">
            <v>NA</v>
          </cell>
        </row>
        <row r="276">
          <cell r="A276" t="str">
            <v>NA</v>
          </cell>
          <cell r="B276" t="str">
            <v>NA</v>
          </cell>
        </row>
        <row r="277">
          <cell r="A277" t="str">
            <v>NA</v>
          </cell>
          <cell r="B277" t="str">
            <v>NA</v>
          </cell>
        </row>
        <row r="278">
          <cell r="A278" t="str">
            <v>NA</v>
          </cell>
          <cell r="B278" t="str">
            <v>NA</v>
          </cell>
        </row>
        <row r="279">
          <cell r="A279" t="str">
            <v>NA</v>
          </cell>
          <cell r="B279" t="str">
            <v>NA</v>
          </cell>
        </row>
        <row r="280">
          <cell r="A280" t="str">
            <v>NA</v>
          </cell>
          <cell r="B280" t="str">
            <v>NA</v>
          </cell>
        </row>
        <row r="281">
          <cell r="A281" t="str">
            <v>NA</v>
          </cell>
          <cell r="B281" t="str">
            <v>NA</v>
          </cell>
        </row>
        <row r="282">
          <cell r="A282" t="str">
            <v>NA</v>
          </cell>
          <cell r="B282" t="str">
            <v>NA</v>
          </cell>
        </row>
        <row r="283">
          <cell r="A283" t="str">
            <v>NA</v>
          </cell>
          <cell r="B283" t="str">
            <v>NA</v>
          </cell>
        </row>
        <row r="284">
          <cell r="A284" t="str">
            <v>NA</v>
          </cell>
          <cell r="B284" t="str">
            <v>NA</v>
          </cell>
        </row>
        <row r="285">
          <cell r="A285" t="str">
            <v>NA</v>
          </cell>
          <cell r="B285" t="str">
            <v>NA</v>
          </cell>
        </row>
        <row r="286">
          <cell r="A286" t="str">
            <v>NA</v>
          </cell>
          <cell r="B286" t="str">
            <v>NA</v>
          </cell>
        </row>
        <row r="287">
          <cell r="A287" t="str">
            <v>NA</v>
          </cell>
          <cell r="B287" t="str">
            <v>NA</v>
          </cell>
        </row>
        <row r="288">
          <cell r="A288" t="str">
            <v>NA</v>
          </cell>
          <cell r="B288" t="str">
            <v>NA</v>
          </cell>
        </row>
        <row r="289">
          <cell r="A289" t="str">
            <v>NA</v>
          </cell>
          <cell r="B289" t="str">
            <v>NA</v>
          </cell>
        </row>
        <row r="290">
          <cell r="A290" t="str">
            <v>NA</v>
          </cell>
          <cell r="B290" t="str">
            <v>NA</v>
          </cell>
        </row>
        <row r="291">
          <cell r="A291" t="str">
            <v>NA</v>
          </cell>
          <cell r="B291" t="str">
            <v>NA</v>
          </cell>
        </row>
        <row r="292">
          <cell r="A292" t="str">
            <v>NA</v>
          </cell>
          <cell r="B292" t="str">
            <v>NA</v>
          </cell>
        </row>
        <row r="293">
          <cell r="A293" t="str">
            <v>NA</v>
          </cell>
          <cell r="B293" t="str">
            <v>NA</v>
          </cell>
        </row>
        <row r="294">
          <cell r="A294" t="str">
            <v>NA</v>
          </cell>
          <cell r="B294" t="str">
            <v>NA</v>
          </cell>
        </row>
        <row r="295">
          <cell r="A295" t="str">
            <v>NA</v>
          </cell>
          <cell r="B295" t="str">
            <v>NA</v>
          </cell>
        </row>
        <row r="296">
          <cell r="A296" t="str">
            <v>NA</v>
          </cell>
          <cell r="B296" t="str">
            <v>NA</v>
          </cell>
        </row>
        <row r="297">
          <cell r="A297" t="str">
            <v>NA</v>
          </cell>
          <cell r="B297" t="str">
            <v>NA</v>
          </cell>
        </row>
        <row r="298">
          <cell r="A298" t="str">
            <v>NA</v>
          </cell>
          <cell r="B298" t="str">
            <v>NA</v>
          </cell>
        </row>
        <row r="299">
          <cell r="A299" t="str">
            <v>NA</v>
          </cell>
          <cell r="B299" t="str">
            <v>NA</v>
          </cell>
        </row>
        <row r="300">
          <cell r="A300" t="str">
            <v>NA</v>
          </cell>
          <cell r="B300" t="str">
            <v>NA</v>
          </cell>
        </row>
        <row r="301">
          <cell r="A301" t="str">
            <v>NA</v>
          </cell>
          <cell r="B301" t="str">
            <v>NA</v>
          </cell>
        </row>
        <row r="302">
          <cell r="A302" t="str">
            <v>NA</v>
          </cell>
          <cell r="B302" t="str">
            <v>NA</v>
          </cell>
        </row>
        <row r="303">
          <cell r="A303" t="str">
            <v>NA</v>
          </cell>
          <cell r="B303" t="str">
            <v>NA</v>
          </cell>
        </row>
        <row r="304">
          <cell r="A304" t="str">
            <v>NA</v>
          </cell>
          <cell r="B304" t="str">
            <v>NA</v>
          </cell>
        </row>
        <row r="305">
          <cell r="A305" t="str">
            <v>NA</v>
          </cell>
          <cell r="B305" t="str">
            <v>NA</v>
          </cell>
        </row>
        <row r="306">
          <cell r="A306" t="str">
            <v>NA</v>
          </cell>
          <cell r="B306" t="str">
            <v>NA</v>
          </cell>
        </row>
        <row r="307">
          <cell r="A307" t="str">
            <v>NA</v>
          </cell>
          <cell r="B307" t="str">
            <v>NA</v>
          </cell>
        </row>
      </sheetData>
      <sheetData sheetId="5">
        <row r="2">
          <cell r="A2">
            <v>43891</v>
          </cell>
          <cell r="B2">
            <v>4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</row>
        <row r="3">
          <cell r="A3">
            <v>43892</v>
          </cell>
          <cell r="B3">
            <v>4020</v>
          </cell>
          <cell r="C3">
            <v>0</v>
          </cell>
          <cell r="D3">
            <v>3969</v>
          </cell>
          <cell r="E3">
            <v>0</v>
          </cell>
          <cell r="F3">
            <v>2295</v>
          </cell>
          <cell r="G3">
            <v>0</v>
          </cell>
        </row>
        <row r="4">
          <cell r="A4">
            <v>43893</v>
          </cell>
          <cell r="B4">
            <v>8235</v>
          </cell>
          <cell r="C4">
            <v>0</v>
          </cell>
          <cell r="D4">
            <v>7953</v>
          </cell>
          <cell r="E4">
            <v>0</v>
          </cell>
          <cell r="F4">
            <v>4749</v>
          </cell>
          <cell r="G4">
            <v>0</v>
          </cell>
        </row>
        <row r="5">
          <cell r="A5">
            <v>43894</v>
          </cell>
          <cell r="B5">
            <v>10218</v>
          </cell>
          <cell r="C5">
            <v>0</v>
          </cell>
          <cell r="D5">
            <v>10202</v>
          </cell>
          <cell r="E5">
            <v>0</v>
          </cell>
          <cell r="F5">
            <v>6923</v>
          </cell>
          <cell r="G5">
            <v>0</v>
          </cell>
        </row>
        <row r="6">
          <cell r="A6">
            <v>43895</v>
          </cell>
          <cell r="B6">
            <v>17954</v>
          </cell>
          <cell r="C6">
            <v>0</v>
          </cell>
          <cell r="D6">
            <v>15233</v>
          </cell>
          <cell r="E6">
            <v>0</v>
          </cell>
          <cell r="F6">
            <v>11872</v>
          </cell>
          <cell r="G6">
            <v>0</v>
          </cell>
        </row>
        <row r="7">
          <cell r="A7">
            <v>43896</v>
          </cell>
          <cell r="B7">
            <v>26995</v>
          </cell>
          <cell r="C7">
            <v>0</v>
          </cell>
          <cell r="D7">
            <v>24409</v>
          </cell>
          <cell r="E7">
            <v>0</v>
          </cell>
          <cell r="F7">
            <v>20769</v>
          </cell>
          <cell r="G7">
            <v>0</v>
          </cell>
        </row>
        <row r="8">
          <cell r="A8">
            <v>43897</v>
          </cell>
          <cell r="B8">
            <v>27132</v>
          </cell>
          <cell r="C8">
            <v>0</v>
          </cell>
          <cell r="D8">
            <v>24541</v>
          </cell>
          <cell r="E8">
            <v>0</v>
          </cell>
          <cell r="F8">
            <v>20888</v>
          </cell>
          <cell r="G8">
            <v>0</v>
          </cell>
        </row>
        <row r="9">
          <cell r="A9">
            <v>43898</v>
          </cell>
          <cell r="B9">
            <v>27217</v>
          </cell>
          <cell r="C9">
            <v>0</v>
          </cell>
          <cell r="D9">
            <v>24632</v>
          </cell>
          <cell r="E9">
            <v>0</v>
          </cell>
          <cell r="F9">
            <v>20986</v>
          </cell>
          <cell r="G9">
            <v>0</v>
          </cell>
        </row>
        <row r="10">
          <cell r="A10">
            <v>43899</v>
          </cell>
          <cell r="B10">
            <v>37883</v>
          </cell>
          <cell r="C10">
            <v>0</v>
          </cell>
          <cell r="D10">
            <v>34133</v>
          </cell>
          <cell r="E10">
            <v>0</v>
          </cell>
          <cell r="F10">
            <v>30187</v>
          </cell>
          <cell r="G10">
            <v>0</v>
          </cell>
        </row>
        <row r="11">
          <cell r="A11">
            <v>43900</v>
          </cell>
          <cell r="B11">
            <v>52782</v>
          </cell>
          <cell r="C11">
            <v>0</v>
          </cell>
          <cell r="D11">
            <v>50088</v>
          </cell>
          <cell r="E11">
            <v>0</v>
          </cell>
          <cell r="F11">
            <v>45755</v>
          </cell>
          <cell r="G11">
            <v>0</v>
          </cell>
        </row>
        <row r="12">
          <cell r="A12">
            <v>43901</v>
          </cell>
          <cell r="B12">
            <v>67068</v>
          </cell>
          <cell r="C12">
            <v>8</v>
          </cell>
          <cell r="D12">
            <v>64803</v>
          </cell>
          <cell r="E12">
            <v>0</v>
          </cell>
          <cell r="F12">
            <v>60317</v>
          </cell>
          <cell r="G12">
            <v>0</v>
          </cell>
        </row>
        <row r="13">
          <cell r="A13">
            <v>43902</v>
          </cell>
          <cell r="B13">
            <v>95034</v>
          </cell>
          <cell r="C13">
            <v>0</v>
          </cell>
          <cell r="D13">
            <v>93366</v>
          </cell>
          <cell r="E13">
            <v>0</v>
          </cell>
          <cell r="F13">
            <v>88088</v>
          </cell>
          <cell r="G13">
            <v>0</v>
          </cell>
        </row>
        <row r="14">
          <cell r="A14">
            <v>43903</v>
          </cell>
          <cell r="B14">
            <v>129672</v>
          </cell>
          <cell r="C14">
            <v>0</v>
          </cell>
          <cell r="D14">
            <v>126160</v>
          </cell>
          <cell r="E14">
            <v>0</v>
          </cell>
          <cell r="F14">
            <v>118737</v>
          </cell>
          <cell r="G14">
            <v>0</v>
          </cell>
        </row>
        <row r="15">
          <cell r="A15">
            <v>43904</v>
          </cell>
          <cell r="B15">
            <v>137325</v>
          </cell>
          <cell r="C15">
            <v>14</v>
          </cell>
          <cell r="D15">
            <v>133580</v>
          </cell>
          <cell r="E15">
            <v>0</v>
          </cell>
          <cell r="F15">
            <v>125334</v>
          </cell>
          <cell r="G15">
            <v>0</v>
          </cell>
        </row>
        <row r="16">
          <cell r="A16">
            <v>43905</v>
          </cell>
          <cell r="B16">
            <v>148147</v>
          </cell>
          <cell r="C16">
            <v>0</v>
          </cell>
          <cell r="D16">
            <v>144078</v>
          </cell>
          <cell r="E16">
            <v>0</v>
          </cell>
          <cell r="F16">
            <v>135172</v>
          </cell>
          <cell r="G16">
            <v>0</v>
          </cell>
        </row>
        <row r="17">
          <cell r="A17">
            <v>43906</v>
          </cell>
          <cell r="B17">
            <v>155555</v>
          </cell>
          <cell r="C17">
            <v>0</v>
          </cell>
          <cell r="D17">
            <v>151225</v>
          </cell>
          <cell r="E17">
            <v>0</v>
          </cell>
          <cell r="F17">
            <v>141389</v>
          </cell>
          <cell r="G17">
            <v>0</v>
          </cell>
        </row>
        <row r="18">
          <cell r="A18">
            <v>43907</v>
          </cell>
          <cell r="B18">
            <v>316704</v>
          </cell>
          <cell r="C18">
            <v>0</v>
          </cell>
          <cell r="D18">
            <v>305472</v>
          </cell>
          <cell r="E18">
            <v>0</v>
          </cell>
          <cell r="F18">
            <v>279316</v>
          </cell>
          <cell r="G18">
            <v>0</v>
          </cell>
        </row>
        <row r="19">
          <cell r="A19">
            <v>43908</v>
          </cell>
          <cell r="B19">
            <v>424449</v>
          </cell>
          <cell r="C19">
            <v>0</v>
          </cell>
          <cell r="D19">
            <v>409382</v>
          </cell>
          <cell r="E19">
            <v>0</v>
          </cell>
          <cell r="F19">
            <v>366491</v>
          </cell>
          <cell r="G19">
            <v>0</v>
          </cell>
        </row>
        <row r="20">
          <cell r="A20">
            <v>43909</v>
          </cell>
          <cell r="B20">
            <v>523653</v>
          </cell>
          <cell r="C20">
            <v>15</v>
          </cell>
          <cell r="D20">
            <v>505309</v>
          </cell>
          <cell r="E20">
            <v>0</v>
          </cell>
          <cell r="F20">
            <v>447119</v>
          </cell>
          <cell r="G20">
            <v>0</v>
          </cell>
        </row>
        <row r="21">
          <cell r="A21">
            <v>43910</v>
          </cell>
          <cell r="B21">
            <v>617307</v>
          </cell>
          <cell r="C21">
            <v>42</v>
          </cell>
          <cell r="D21">
            <v>597833</v>
          </cell>
          <cell r="E21">
            <v>0</v>
          </cell>
          <cell r="F21">
            <v>527896</v>
          </cell>
          <cell r="G21">
            <v>0</v>
          </cell>
        </row>
        <row r="22">
          <cell r="A22">
            <v>43911</v>
          </cell>
          <cell r="B22">
            <v>626875</v>
          </cell>
          <cell r="C22">
            <v>0</v>
          </cell>
          <cell r="D22">
            <v>607034</v>
          </cell>
          <cell r="E22">
            <v>0</v>
          </cell>
          <cell r="F22">
            <v>536197</v>
          </cell>
          <cell r="G22">
            <v>0</v>
          </cell>
        </row>
        <row r="23">
          <cell r="A23">
            <v>43912</v>
          </cell>
          <cell r="B23">
            <v>635668</v>
          </cell>
          <cell r="C23">
            <v>44</v>
          </cell>
          <cell r="D23">
            <v>615527</v>
          </cell>
          <cell r="E23">
            <v>0</v>
          </cell>
          <cell r="F23">
            <v>544089</v>
          </cell>
          <cell r="G23">
            <v>0</v>
          </cell>
        </row>
        <row r="24">
          <cell r="A24">
            <v>43913</v>
          </cell>
          <cell r="B24">
            <v>826571</v>
          </cell>
          <cell r="C24">
            <v>174</v>
          </cell>
          <cell r="D24">
            <v>797055</v>
          </cell>
          <cell r="E24">
            <v>0</v>
          </cell>
          <cell r="F24">
            <v>708074</v>
          </cell>
          <cell r="G24">
            <v>0</v>
          </cell>
        </row>
        <row r="25">
          <cell r="A25">
            <v>43914</v>
          </cell>
          <cell r="B25">
            <v>1239455</v>
          </cell>
          <cell r="C25">
            <v>194</v>
          </cell>
          <cell r="D25">
            <v>1192805</v>
          </cell>
          <cell r="E25">
            <v>0</v>
          </cell>
          <cell r="F25">
            <v>1064080</v>
          </cell>
          <cell r="G25">
            <v>0</v>
          </cell>
        </row>
        <row r="26">
          <cell r="A26">
            <v>43915</v>
          </cell>
          <cell r="B26">
            <v>1693004</v>
          </cell>
          <cell r="C26">
            <v>221</v>
          </cell>
          <cell r="D26">
            <v>1639952</v>
          </cell>
          <cell r="E26">
            <v>0</v>
          </cell>
          <cell r="F26">
            <v>1467605</v>
          </cell>
          <cell r="G26">
            <v>0</v>
          </cell>
        </row>
        <row r="27">
          <cell r="A27">
            <v>43916</v>
          </cell>
          <cell r="B27">
            <v>2136803</v>
          </cell>
          <cell r="C27">
            <v>239</v>
          </cell>
          <cell r="D27">
            <v>2082093</v>
          </cell>
          <cell r="E27">
            <v>0</v>
          </cell>
          <cell r="F27">
            <v>1880693</v>
          </cell>
          <cell r="G27">
            <v>0</v>
          </cell>
        </row>
        <row r="28">
          <cell r="A28">
            <v>43917</v>
          </cell>
          <cell r="B28">
            <v>2572931</v>
          </cell>
          <cell r="C28">
            <v>318</v>
          </cell>
          <cell r="D28">
            <v>2524042</v>
          </cell>
          <cell r="E28">
            <v>0</v>
          </cell>
          <cell r="F28">
            <v>2301467</v>
          </cell>
          <cell r="G28">
            <v>0</v>
          </cell>
        </row>
        <row r="29">
          <cell r="A29">
            <v>43918</v>
          </cell>
          <cell r="B29">
            <v>2651549</v>
          </cell>
          <cell r="C29">
            <v>325</v>
          </cell>
          <cell r="D29">
            <v>2602940</v>
          </cell>
          <cell r="E29">
            <v>0</v>
          </cell>
          <cell r="F29">
            <v>2375876</v>
          </cell>
          <cell r="G29">
            <v>0</v>
          </cell>
        </row>
        <row r="30">
          <cell r="A30">
            <v>43919</v>
          </cell>
          <cell r="B30">
            <v>2744413</v>
          </cell>
          <cell r="C30">
            <v>958</v>
          </cell>
          <cell r="D30">
            <v>2696215</v>
          </cell>
          <cell r="E30">
            <v>0</v>
          </cell>
          <cell r="F30">
            <v>2460847</v>
          </cell>
          <cell r="G30">
            <v>0</v>
          </cell>
        </row>
        <row r="31">
          <cell r="A31">
            <v>43920</v>
          </cell>
          <cell r="B31">
            <v>3292066</v>
          </cell>
          <cell r="C31">
            <v>4913</v>
          </cell>
          <cell r="D31">
            <v>3254486</v>
          </cell>
          <cell r="E31">
            <v>0</v>
          </cell>
          <cell r="F31">
            <v>2983919</v>
          </cell>
          <cell r="G31">
            <v>0</v>
          </cell>
        </row>
        <row r="32">
          <cell r="A32">
            <v>43921</v>
          </cell>
          <cell r="B32">
            <v>3930551</v>
          </cell>
          <cell r="C32">
            <v>21050</v>
          </cell>
          <cell r="D32">
            <v>3919177</v>
          </cell>
          <cell r="E32">
            <v>0</v>
          </cell>
          <cell r="F32">
            <v>3613144</v>
          </cell>
          <cell r="G32">
            <v>0</v>
          </cell>
        </row>
        <row r="33">
          <cell r="A33">
            <v>43922</v>
          </cell>
          <cell r="B33">
            <v>4417112</v>
          </cell>
          <cell r="C33">
            <v>56909</v>
          </cell>
          <cell r="D33">
            <v>4439313</v>
          </cell>
          <cell r="E33">
            <v>3</v>
          </cell>
          <cell r="F33">
            <v>4103328</v>
          </cell>
          <cell r="G33">
            <v>0</v>
          </cell>
        </row>
        <row r="34">
          <cell r="A34">
            <v>43923</v>
          </cell>
          <cell r="B34">
            <v>5018860</v>
          </cell>
          <cell r="C34">
            <v>131542</v>
          </cell>
          <cell r="D34">
            <v>5073417</v>
          </cell>
          <cell r="E34">
            <v>23</v>
          </cell>
          <cell r="F34">
            <v>4704187</v>
          </cell>
          <cell r="G34">
            <v>0</v>
          </cell>
        </row>
        <row r="35">
          <cell r="A35">
            <v>43924</v>
          </cell>
          <cell r="B35">
            <v>5709877</v>
          </cell>
          <cell r="C35">
            <v>218876</v>
          </cell>
          <cell r="D35">
            <v>5805818</v>
          </cell>
          <cell r="E35">
            <v>63</v>
          </cell>
          <cell r="F35">
            <v>5410711</v>
          </cell>
          <cell r="G35">
            <v>0</v>
          </cell>
        </row>
        <row r="36">
          <cell r="A36">
            <v>43925</v>
          </cell>
          <cell r="B36">
            <v>5798811</v>
          </cell>
          <cell r="C36">
            <v>236378</v>
          </cell>
          <cell r="D36">
            <v>5898395</v>
          </cell>
          <cell r="E36">
            <v>77</v>
          </cell>
          <cell r="F36">
            <v>5499739</v>
          </cell>
          <cell r="G36">
            <v>0</v>
          </cell>
        </row>
        <row r="37">
          <cell r="A37">
            <v>43926</v>
          </cell>
          <cell r="B37">
            <v>5851120</v>
          </cell>
          <cell r="C37">
            <v>247512</v>
          </cell>
          <cell r="D37">
            <v>5952419</v>
          </cell>
          <cell r="E37">
            <v>82</v>
          </cell>
          <cell r="F37">
            <v>5551967</v>
          </cell>
          <cell r="G37">
            <v>0</v>
          </cell>
        </row>
        <row r="38">
          <cell r="A38">
            <v>43927</v>
          </cell>
          <cell r="B38">
            <v>6378592</v>
          </cell>
          <cell r="C38">
            <v>391801</v>
          </cell>
          <cell r="D38">
            <v>6516805</v>
          </cell>
          <cell r="E38">
            <v>209</v>
          </cell>
          <cell r="F38">
            <v>6097507</v>
          </cell>
          <cell r="G38">
            <v>0</v>
          </cell>
        </row>
        <row r="39">
          <cell r="A39">
            <v>43928</v>
          </cell>
          <cell r="B39">
            <v>6914151</v>
          </cell>
          <cell r="C39">
            <v>565451</v>
          </cell>
          <cell r="D39">
            <v>7093132</v>
          </cell>
          <cell r="E39">
            <v>268</v>
          </cell>
          <cell r="F39">
            <v>6661010</v>
          </cell>
          <cell r="G39">
            <v>0</v>
          </cell>
        </row>
        <row r="40">
          <cell r="A40">
            <v>43929</v>
          </cell>
          <cell r="B40">
            <v>7480492</v>
          </cell>
          <cell r="C40">
            <v>746857</v>
          </cell>
          <cell r="D40">
            <v>7699885</v>
          </cell>
          <cell r="E40">
            <v>373</v>
          </cell>
          <cell r="F40">
            <v>7253879</v>
          </cell>
          <cell r="G40">
            <v>0</v>
          </cell>
        </row>
        <row r="41">
          <cell r="A41">
            <v>43930</v>
          </cell>
          <cell r="B41">
            <v>8034321</v>
          </cell>
          <cell r="C41">
            <v>954154</v>
          </cell>
          <cell r="D41">
            <v>8298451</v>
          </cell>
          <cell r="E41">
            <v>525</v>
          </cell>
          <cell r="F41">
            <v>7841993</v>
          </cell>
          <cell r="G41">
            <v>0</v>
          </cell>
        </row>
        <row r="42">
          <cell r="A42">
            <v>43931</v>
          </cell>
          <cell r="B42">
            <v>8441247</v>
          </cell>
          <cell r="C42">
            <v>1106460</v>
          </cell>
          <cell r="D42">
            <v>8734931</v>
          </cell>
          <cell r="E42">
            <v>693</v>
          </cell>
          <cell r="F42">
            <v>8274653</v>
          </cell>
          <cell r="G42">
            <v>0</v>
          </cell>
        </row>
        <row r="43">
          <cell r="A43">
            <v>43932</v>
          </cell>
          <cell r="B43">
            <v>8557177</v>
          </cell>
          <cell r="C43">
            <v>1145861</v>
          </cell>
          <cell r="D43">
            <v>8857303</v>
          </cell>
          <cell r="E43">
            <v>728</v>
          </cell>
          <cell r="F43">
            <v>8395499</v>
          </cell>
          <cell r="G43">
            <v>0</v>
          </cell>
        </row>
        <row r="44">
          <cell r="A44">
            <v>43933</v>
          </cell>
          <cell r="B44">
            <v>8584589</v>
          </cell>
          <cell r="C44">
            <v>1171301</v>
          </cell>
          <cell r="D44">
            <v>8887890</v>
          </cell>
          <cell r="E44">
            <v>738</v>
          </cell>
          <cell r="F44">
            <v>8425622</v>
          </cell>
          <cell r="G44">
            <v>0</v>
          </cell>
        </row>
        <row r="45">
          <cell r="A45">
            <v>43934</v>
          </cell>
          <cell r="B45">
            <v>8631664</v>
          </cell>
          <cell r="C45">
            <v>1236965</v>
          </cell>
          <cell r="D45">
            <v>8941929</v>
          </cell>
          <cell r="E45">
            <v>857</v>
          </cell>
          <cell r="F45">
            <v>8477807</v>
          </cell>
          <cell r="G45">
            <v>0</v>
          </cell>
        </row>
        <row r="46">
          <cell r="A46">
            <v>43935</v>
          </cell>
          <cell r="B46">
            <v>8935585</v>
          </cell>
          <cell r="C46">
            <v>1508356</v>
          </cell>
          <cell r="D46">
            <v>9294274</v>
          </cell>
          <cell r="E46">
            <v>1488</v>
          </cell>
          <cell r="F46">
            <v>8827833</v>
          </cell>
          <cell r="G46">
            <v>0</v>
          </cell>
        </row>
        <row r="47">
          <cell r="A47">
            <v>43936</v>
          </cell>
          <cell r="B47">
            <v>9181789</v>
          </cell>
          <cell r="C47">
            <v>1807215</v>
          </cell>
          <cell r="D47">
            <v>9584906</v>
          </cell>
          <cell r="E47">
            <v>3449</v>
          </cell>
          <cell r="F47">
            <v>9115390</v>
          </cell>
          <cell r="G47">
            <v>0</v>
          </cell>
        </row>
        <row r="48">
          <cell r="A48">
            <v>43937</v>
          </cell>
          <cell r="B48">
            <v>9374723</v>
          </cell>
          <cell r="C48">
            <v>2089954</v>
          </cell>
          <cell r="D48">
            <v>9825422</v>
          </cell>
          <cell r="E48">
            <v>4739</v>
          </cell>
          <cell r="F48">
            <v>9357980</v>
          </cell>
          <cell r="G48">
            <v>0</v>
          </cell>
        </row>
        <row r="49">
          <cell r="A49">
            <v>43938</v>
          </cell>
          <cell r="B49">
            <v>9569139</v>
          </cell>
          <cell r="C49">
            <v>2347061</v>
          </cell>
          <cell r="D49">
            <v>10080195</v>
          </cell>
          <cell r="E49">
            <v>6114</v>
          </cell>
          <cell r="F49">
            <v>9612957</v>
          </cell>
          <cell r="G49">
            <v>0</v>
          </cell>
        </row>
        <row r="50">
          <cell r="A50">
            <v>43939</v>
          </cell>
          <cell r="B50">
            <v>9589980</v>
          </cell>
          <cell r="C50">
            <v>2377981</v>
          </cell>
          <cell r="D50">
            <v>10104976</v>
          </cell>
          <cell r="E50">
            <v>6423</v>
          </cell>
          <cell r="F50">
            <v>9637611</v>
          </cell>
          <cell r="G50">
            <v>0</v>
          </cell>
        </row>
        <row r="51">
          <cell r="A51">
            <v>43940</v>
          </cell>
          <cell r="B51">
            <v>9602728</v>
          </cell>
          <cell r="C51">
            <v>2402351</v>
          </cell>
          <cell r="D51">
            <v>10120951</v>
          </cell>
          <cell r="E51">
            <v>6658</v>
          </cell>
          <cell r="F51">
            <v>9653512</v>
          </cell>
          <cell r="G51">
            <v>0</v>
          </cell>
        </row>
        <row r="52">
          <cell r="A52">
            <v>43941</v>
          </cell>
          <cell r="B52">
            <v>9778914</v>
          </cell>
          <cell r="C52">
            <v>2631966</v>
          </cell>
          <cell r="D52">
            <v>10339474</v>
          </cell>
          <cell r="E52">
            <v>9233</v>
          </cell>
          <cell r="F52">
            <v>9877313</v>
          </cell>
          <cell r="G52">
            <v>0</v>
          </cell>
        </row>
        <row r="53">
          <cell r="A53">
            <v>43942</v>
          </cell>
          <cell r="B53">
            <v>9915056</v>
          </cell>
          <cell r="C53">
            <v>2842251</v>
          </cell>
          <cell r="D53">
            <v>10511620</v>
          </cell>
          <cell r="E53">
            <v>10574</v>
          </cell>
          <cell r="F53">
            <v>10055198</v>
          </cell>
          <cell r="G53">
            <v>0</v>
          </cell>
        </row>
        <row r="54">
          <cell r="A54">
            <v>43943</v>
          </cell>
          <cell r="B54">
            <v>10046032</v>
          </cell>
          <cell r="C54">
            <v>3008314</v>
          </cell>
          <cell r="D54">
            <v>10684919</v>
          </cell>
          <cell r="E54">
            <v>11985</v>
          </cell>
          <cell r="F54">
            <v>10266548</v>
          </cell>
          <cell r="G54">
            <v>0</v>
          </cell>
        </row>
        <row r="55">
          <cell r="A55">
            <v>43944</v>
          </cell>
          <cell r="B55">
            <v>10176992</v>
          </cell>
          <cell r="C55">
            <v>3165948</v>
          </cell>
          <cell r="D55">
            <v>10849242</v>
          </cell>
          <cell r="E55">
            <v>13313</v>
          </cell>
          <cell r="F55">
            <v>10439735</v>
          </cell>
          <cell r="G55">
            <v>0</v>
          </cell>
        </row>
        <row r="56">
          <cell r="A56">
            <v>43945</v>
          </cell>
          <cell r="B56">
            <v>10296019</v>
          </cell>
          <cell r="C56">
            <v>3306712</v>
          </cell>
          <cell r="D56">
            <v>10998400</v>
          </cell>
          <cell r="E56">
            <v>14499</v>
          </cell>
          <cell r="F56">
            <v>10597829</v>
          </cell>
          <cell r="G56">
            <v>0</v>
          </cell>
        </row>
        <row r="57">
          <cell r="A57">
            <v>43946</v>
          </cell>
          <cell r="B57">
            <v>10310133</v>
          </cell>
          <cell r="C57">
            <v>3323522</v>
          </cell>
          <cell r="D57">
            <v>11018413</v>
          </cell>
          <cell r="E57">
            <v>15084</v>
          </cell>
          <cell r="F57">
            <v>10618612</v>
          </cell>
          <cell r="G57">
            <v>0</v>
          </cell>
        </row>
        <row r="58">
          <cell r="A58">
            <v>43947</v>
          </cell>
          <cell r="B58">
            <v>10320952</v>
          </cell>
          <cell r="C58">
            <v>3337046</v>
          </cell>
          <cell r="D58">
            <v>11032249</v>
          </cell>
          <cell r="E58">
            <v>15352</v>
          </cell>
          <cell r="F58">
            <v>10633231</v>
          </cell>
          <cell r="G58">
            <v>0</v>
          </cell>
        </row>
        <row r="59">
          <cell r="A59">
            <v>43948</v>
          </cell>
          <cell r="B59">
            <v>10469989</v>
          </cell>
          <cell r="C59">
            <v>3454736</v>
          </cell>
          <cell r="D59">
            <v>11218842</v>
          </cell>
          <cell r="E59">
            <v>17233</v>
          </cell>
          <cell r="F59">
            <v>10836190</v>
          </cell>
          <cell r="G59">
            <v>0</v>
          </cell>
        </row>
        <row r="60">
          <cell r="A60">
            <v>43949</v>
          </cell>
          <cell r="B60">
            <v>10585035</v>
          </cell>
          <cell r="C60">
            <v>3585662</v>
          </cell>
          <cell r="D60">
            <v>11360820</v>
          </cell>
          <cell r="E60">
            <v>19537</v>
          </cell>
          <cell r="F60">
            <v>10998643</v>
          </cell>
          <cell r="G60">
            <v>0</v>
          </cell>
        </row>
        <row r="61">
          <cell r="A61">
            <v>43950</v>
          </cell>
          <cell r="B61">
            <v>10703597</v>
          </cell>
          <cell r="C61">
            <v>3691091</v>
          </cell>
          <cell r="D61">
            <v>11511220</v>
          </cell>
          <cell r="E61">
            <v>22127</v>
          </cell>
          <cell r="F61">
            <v>11170363</v>
          </cell>
          <cell r="G61">
            <v>0</v>
          </cell>
        </row>
        <row r="62">
          <cell r="A62">
            <v>43951</v>
          </cell>
          <cell r="B62">
            <v>10810991</v>
          </cell>
          <cell r="C62">
            <v>3805116</v>
          </cell>
          <cell r="D62">
            <v>11673089</v>
          </cell>
          <cell r="E62">
            <v>42260</v>
          </cell>
          <cell r="F62">
            <v>11363019</v>
          </cell>
          <cell r="G62">
            <v>0</v>
          </cell>
        </row>
        <row r="63">
          <cell r="A63">
            <v>43952</v>
          </cell>
          <cell r="B63">
            <v>10812889</v>
          </cell>
          <cell r="C63">
            <v>3825111</v>
          </cell>
          <cell r="D63">
            <v>11678783</v>
          </cell>
          <cell r="E63">
            <v>50603</v>
          </cell>
          <cell r="F63">
            <v>11371382</v>
          </cell>
          <cell r="G63">
            <v>0</v>
          </cell>
        </row>
        <row r="64">
          <cell r="A64">
            <v>43953</v>
          </cell>
          <cell r="B64">
            <v>10814310</v>
          </cell>
          <cell r="C64">
            <v>3843239</v>
          </cell>
          <cell r="D64">
            <v>11682625</v>
          </cell>
          <cell r="E64">
            <v>56066</v>
          </cell>
          <cell r="F64">
            <v>11377114</v>
          </cell>
          <cell r="G64">
            <v>0</v>
          </cell>
        </row>
        <row r="65">
          <cell r="A65">
            <v>43954</v>
          </cell>
          <cell r="B65">
            <v>10815643</v>
          </cell>
          <cell r="C65">
            <v>3853053</v>
          </cell>
          <cell r="D65">
            <v>11685709</v>
          </cell>
          <cell r="E65">
            <v>118314</v>
          </cell>
          <cell r="F65">
            <v>11383915</v>
          </cell>
          <cell r="G65">
            <v>0</v>
          </cell>
        </row>
        <row r="66">
          <cell r="A66">
            <v>43955</v>
          </cell>
          <cell r="B66">
            <v>10871663</v>
          </cell>
          <cell r="C66">
            <v>3938620</v>
          </cell>
          <cell r="D66">
            <v>11763081</v>
          </cell>
          <cell r="E66">
            <v>527054</v>
          </cell>
          <cell r="F66">
            <v>11481218</v>
          </cell>
          <cell r="G66">
            <v>8</v>
          </cell>
        </row>
        <row r="67">
          <cell r="A67">
            <v>43956</v>
          </cell>
          <cell r="B67">
            <v>10908270</v>
          </cell>
          <cell r="C67">
            <v>4055610</v>
          </cell>
          <cell r="D67">
            <v>11815508</v>
          </cell>
          <cell r="E67">
            <v>898205</v>
          </cell>
          <cell r="F67">
            <v>11560663</v>
          </cell>
          <cell r="G67">
            <v>42</v>
          </cell>
        </row>
        <row r="68">
          <cell r="A68">
            <v>43957</v>
          </cell>
          <cell r="B68">
            <v>10925607</v>
          </cell>
          <cell r="C68">
            <v>4172285</v>
          </cell>
          <cell r="D68">
            <v>11854683</v>
          </cell>
          <cell r="E68">
            <v>1253799</v>
          </cell>
          <cell r="F68">
            <v>11631961</v>
          </cell>
          <cell r="G68">
            <v>109</v>
          </cell>
        </row>
        <row r="69">
          <cell r="A69">
            <v>43958</v>
          </cell>
          <cell r="B69">
            <v>10939766</v>
          </cell>
          <cell r="C69">
            <v>4278179</v>
          </cell>
          <cell r="D69">
            <v>11878551</v>
          </cell>
          <cell r="E69">
            <v>1640398</v>
          </cell>
          <cell r="F69">
            <v>11685393</v>
          </cell>
          <cell r="G69">
            <v>137</v>
          </cell>
        </row>
        <row r="70">
          <cell r="A70">
            <v>43959</v>
          </cell>
          <cell r="B70">
            <v>10941662</v>
          </cell>
          <cell r="C70">
            <v>4294949</v>
          </cell>
          <cell r="D70">
            <v>11882820</v>
          </cell>
          <cell r="E70">
            <v>1731922</v>
          </cell>
          <cell r="F70">
            <v>11695360</v>
          </cell>
          <cell r="G70">
            <v>171</v>
          </cell>
        </row>
        <row r="71">
          <cell r="A71">
            <v>43960</v>
          </cell>
          <cell r="B71">
            <v>10943318</v>
          </cell>
          <cell r="C71">
            <v>4307352</v>
          </cell>
          <cell r="D71">
            <v>11885583</v>
          </cell>
          <cell r="E71">
            <v>1789238</v>
          </cell>
          <cell r="F71">
            <v>11700941</v>
          </cell>
          <cell r="G71">
            <v>202</v>
          </cell>
        </row>
        <row r="72">
          <cell r="A72">
            <v>43961</v>
          </cell>
          <cell r="B72">
            <v>10950390</v>
          </cell>
          <cell r="C72">
            <v>4314615</v>
          </cell>
          <cell r="D72">
            <v>11893312</v>
          </cell>
          <cell r="E72">
            <v>1829250</v>
          </cell>
          <cell r="F72">
            <v>11710664</v>
          </cell>
          <cell r="G72">
            <v>350</v>
          </cell>
        </row>
        <row r="73">
          <cell r="A73">
            <v>43962</v>
          </cell>
          <cell r="B73">
            <v>10959539</v>
          </cell>
          <cell r="C73">
            <v>4403792</v>
          </cell>
          <cell r="D73">
            <v>11909604</v>
          </cell>
          <cell r="E73">
            <v>2129241</v>
          </cell>
          <cell r="F73">
            <v>11754276</v>
          </cell>
          <cell r="G73">
            <v>2841</v>
          </cell>
        </row>
        <row r="74">
          <cell r="A74">
            <v>43963</v>
          </cell>
          <cell r="B74">
            <v>10969491</v>
          </cell>
          <cell r="C74">
            <v>4506907</v>
          </cell>
          <cell r="D74">
            <v>11931662</v>
          </cell>
          <cell r="E74">
            <v>2493931</v>
          </cell>
          <cell r="F74">
            <v>11803469</v>
          </cell>
          <cell r="G74">
            <v>4181</v>
          </cell>
        </row>
        <row r="75">
          <cell r="A75">
            <v>43964</v>
          </cell>
          <cell r="B75">
            <v>10977360</v>
          </cell>
          <cell r="C75">
            <v>4601538</v>
          </cell>
          <cell r="D75">
            <v>11946839</v>
          </cell>
          <cell r="E75">
            <v>2829512</v>
          </cell>
          <cell r="F75">
            <v>11843478</v>
          </cell>
          <cell r="G75">
            <v>5152</v>
          </cell>
        </row>
        <row r="76">
          <cell r="A76">
            <v>43965</v>
          </cell>
          <cell r="B76">
            <v>10987407</v>
          </cell>
          <cell r="C76">
            <v>4686014</v>
          </cell>
          <cell r="D76">
            <v>11962666</v>
          </cell>
          <cell r="E76">
            <v>3158548</v>
          </cell>
          <cell r="F76">
            <v>11882215</v>
          </cell>
          <cell r="G76">
            <v>5936</v>
          </cell>
        </row>
        <row r="77">
          <cell r="A77">
            <v>43966</v>
          </cell>
          <cell r="B77">
            <v>10995112</v>
          </cell>
          <cell r="C77">
            <v>4785427</v>
          </cell>
          <cell r="D77">
            <v>11974425</v>
          </cell>
          <cell r="E77">
            <v>3508285</v>
          </cell>
          <cell r="F77">
            <v>11918555</v>
          </cell>
          <cell r="G77">
            <v>6796</v>
          </cell>
        </row>
        <row r="78">
          <cell r="A78">
            <v>43967</v>
          </cell>
          <cell r="B78">
            <v>10996080</v>
          </cell>
          <cell r="C78">
            <v>4791436</v>
          </cell>
          <cell r="D78">
            <v>11975970</v>
          </cell>
          <cell r="E78">
            <v>3533855</v>
          </cell>
          <cell r="F78">
            <v>11923943</v>
          </cell>
          <cell r="G78">
            <v>7016</v>
          </cell>
        </row>
        <row r="79">
          <cell r="A79">
            <v>43968</v>
          </cell>
          <cell r="B79">
            <v>10996469</v>
          </cell>
          <cell r="C79">
            <v>4796958</v>
          </cell>
          <cell r="D79">
            <v>11976989</v>
          </cell>
          <cell r="E79">
            <v>3558495</v>
          </cell>
          <cell r="F79">
            <v>11926153</v>
          </cell>
          <cell r="G79">
            <v>7255</v>
          </cell>
        </row>
        <row r="80">
          <cell r="A80">
            <v>43969</v>
          </cell>
          <cell r="B80">
            <v>11001383</v>
          </cell>
          <cell r="C80">
            <v>4882903</v>
          </cell>
          <cell r="D80">
            <v>11986214</v>
          </cell>
          <cell r="E80">
            <v>3860524</v>
          </cell>
          <cell r="F80">
            <v>11963389</v>
          </cell>
          <cell r="G80">
            <v>8688</v>
          </cell>
        </row>
        <row r="81">
          <cell r="A81">
            <v>43970</v>
          </cell>
          <cell r="B81">
            <v>11007932</v>
          </cell>
          <cell r="C81">
            <v>4989245</v>
          </cell>
          <cell r="D81">
            <v>11995564</v>
          </cell>
          <cell r="E81">
            <v>4130547</v>
          </cell>
          <cell r="F81">
            <v>12017071</v>
          </cell>
          <cell r="G81">
            <v>10077</v>
          </cell>
        </row>
        <row r="82">
          <cell r="A82">
            <v>43971</v>
          </cell>
          <cell r="B82">
            <v>11011858</v>
          </cell>
          <cell r="C82">
            <v>5081258</v>
          </cell>
          <cell r="D82">
            <v>12003158</v>
          </cell>
          <cell r="E82">
            <v>4320310</v>
          </cell>
          <cell r="F82">
            <v>12062689</v>
          </cell>
          <cell r="G82">
            <v>11123</v>
          </cell>
        </row>
        <row r="83">
          <cell r="A83">
            <v>43972</v>
          </cell>
          <cell r="B83">
            <v>11012698</v>
          </cell>
          <cell r="C83">
            <v>5087794</v>
          </cell>
          <cell r="D83">
            <v>12005344</v>
          </cell>
          <cell r="E83">
            <v>4344903</v>
          </cell>
          <cell r="F83">
            <v>12068110</v>
          </cell>
          <cell r="G83">
            <v>11385</v>
          </cell>
        </row>
        <row r="84">
          <cell r="A84">
            <v>43973</v>
          </cell>
          <cell r="B84">
            <v>11015264</v>
          </cell>
          <cell r="C84">
            <v>5116917</v>
          </cell>
          <cell r="D84">
            <v>12009829</v>
          </cell>
          <cell r="E84">
            <v>4434005</v>
          </cell>
          <cell r="F84">
            <v>12092889</v>
          </cell>
          <cell r="G84">
            <v>12161</v>
          </cell>
        </row>
        <row r="85">
          <cell r="A85">
            <v>43974</v>
          </cell>
          <cell r="B85">
            <v>11016037</v>
          </cell>
          <cell r="C85">
            <v>5120135</v>
          </cell>
          <cell r="D85">
            <v>12010955</v>
          </cell>
          <cell r="E85">
            <v>4448344</v>
          </cell>
          <cell r="F85">
            <v>12097196</v>
          </cell>
          <cell r="G85">
            <v>12336</v>
          </cell>
        </row>
        <row r="86">
          <cell r="A86">
            <v>43975</v>
          </cell>
          <cell r="B86">
            <v>11016352</v>
          </cell>
          <cell r="C86">
            <v>5123655</v>
          </cell>
          <cell r="D86">
            <v>12011467</v>
          </cell>
          <cell r="E86">
            <v>4461350</v>
          </cell>
          <cell r="F86">
            <v>12099815</v>
          </cell>
          <cell r="G86">
            <v>12491</v>
          </cell>
        </row>
        <row r="87">
          <cell r="A87">
            <v>43976</v>
          </cell>
          <cell r="B87">
            <v>11024756</v>
          </cell>
          <cell r="C87">
            <v>5173755</v>
          </cell>
          <cell r="D87">
            <v>12023397</v>
          </cell>
          <cell r="E87">
            <v>4588542</v>
          </cell>
          <cell r="F87">
            <v>12135290</v>
          </cell>
          <cell r="G87">
            <v>14038</v>
          </cell>
        </row>
        <row r="88">
          <cell r="A88">
            <v>43977</v>
          </cell>
          <cell r="B88">
            <v>11028832</v>
          </cell>
          <cell r="C88">
            <v>5227337</v>
          </cell>
          <cell r="D88">
            <v>12029793</v>
          </cell>
          <cell r="E88">
            <v>4696532</v>
          </cell>
          <cell r="F88">
            <v>12173380</v>
          </cell>
          <cell r="G88">
            <v>15863</v>
          </cell>
        </row>
        <row r="89">
          <cell r="A89">
            <v>43978</v>
          </cell>
          <cell r="B89">
            <v>11033356</v>
          </cell>
          <cell r="C89">
            <v>5268521</v>
          </cell>
          <cell r="D89">
            <v>12036127</v>
          </cell>
          <cell r="E89">
            <v>4786145</v>
          </cell>
          <cell r="F89">
            <v>12229602</v>
          </cell>
          <cell r="G89">
            <v>17149</v>
          </cell>
        </row>
        <row r="90">
          <cell r="A90">
            <v>43979</v>
          </cell>
          <cell r="B90">
            <v>11035984</v>
          </cell>
          <cell r="C90">
            <v>5308141</v>
          </cell>
          <cell r="D90">
            <v>12040279</v>
          </cell>
          <cell r="E90">
            <v>4881721</v>
          </cell>
          <cell r="F90">
            <v>12270818</v>
          </cell>
          <cell r="G90">
            <v>18929</v>
          </cell>
        </row>
        <row r="91">
          <cell r="A91">
            <v>43980</v>
          </cell>
          <cell r="B91">
            <v>11040308</v>
          </cell>
          <cell r="C91">
            <v>5354073</v>
          </cell>
          <cell r="D91">
            <v>12046269</v>
          </cell>
          <cell r="E91">
            <v>4975758</v>
          </cell>
          <cell r="F91">
            <v>12317361</v>
          </cell>
          <cell r="G91">
            <v>21788</v>
          </cell>
        </row>
        <row r="92">
          <cell r="A92">
            <v>43981</v>
          </cell>
          <cell r="B92">
            <v>11040879</v>
          </cell>
          <cell r="C92">
            <v>5357625</v>
          </cell>
          <cell r="D92">
            <v>12047058</v>
          </cell>
          <cell r="E92">
            <v>4988341</v>
          </cell>
          <cell r="F92">
            <v>12323991</v>
          </cell>
          <cell r="G92">
            <v>22594</v>
          </cell>
        </row>
        <row r="93">
          <cell r="A93">
            <v>43982</v>
          </cell>
          <cell r="B93">
            <v>11041398</v>
          </cell>
          <cell r="C93">
            <v>5359755</v>
          </cell>
          <cell r="D93">
            <v>12047730</v>
          </cell>
          <cell r="E93">
            <v>4996140</v>
          </cell>
          <cell r="F93">
            <v>12327012</v>
          </cell>
          <cell r="G93">
            <v>46525</v>
          </cell>
        </row>
        <row r="94">
          <cell r="A94">
            <v>43983</v>
          </cell>
          <cell r="B94">
            <v>11042167</v>
          </cell>
          <cell r="C94">
            <v>5368928</v>
          </cell>
          <cell r="D94">
            <v>12048889</v>
          </cell>
          <cell r="E94">
            <v>5025711</v>
          </cell>
          <cell r="F94">
            <v>12331886</v>
          </cell>
          <cell r="G94">
            <v>165050</v>
          </cell>
        </row>
        <row r="95">
          <cell r="A95">
            <v>43984</v>
          </cell>
          <cell r="B95">
            <v>11044110</v>
          </cell>
          <cell r="C95">
            <v>5415424</v>
          </cell>
          <cell r="D95">
            <v>12051758</v>
          </cell>
          <cell r="E95">
            <v>5127678</v>
          </cell>
          <cell r="F95">
            <v>12346811</v>
          </cell>
          <cell r="G95">
            <v>445550</v>
          </cell>
        </row>
        <row r="96">
          <cell r="A96">
            <v>43985</v>
          </cell>
          <cell r="B96">
            <v>11049433</v>
          </cell>
          <cell r="C96">
            <v>5465387</v>
          </cell>
          <cell r="D96">
            <v>12057136</v>
          </cell>
          <cell r="E96">
            <v>5232316</v>
          </cell>
          <cell r="F96">
            <v>12362021</v>
          </cell>
          <cell r="G96">
            <v>691267</v>
          </cell>
        </row>
        <row r="97">
          <cell r="A97">
            <v>43986</v>
          </cell>
          <cell r="B97">
            <v>11051237</v>
          </cell>
          <cell r="C97">
            <v>5511791</v>
          </cell>
          <cell r="D97">
            <v>12059898</v>
          </cell>
          <cell r="E97">
            <v>5340010</v>
          </cell>
          <cell r="F97">
            <v>12377805</v>
          </cell>
          <cell r="G97">
            <v>975358</v>
          </cell>
        </row>
        <row r="98">
          <cell r="A98">
            <v>43987</v>
          </cell>
          <cell r="B98">
            <v>11053423</v>
          </cell>
          <cell r="C98">
            <v>5555050</v>
          </cell>
          <cell r="D98">
            <v>12062541</v>
          </cell>
          <cell r="E98">
            <v>5445634</v>
          </cell>
          <cell r="F98">
            <v>12388422</v>
          </cell>
          <cell r="G98">
            <v>1269398</v>
          </cell>
        </row>
        <row r="99">
          <cell r="A99">
            <v>43988</v>
          </cell>
          <cell r="B99">
            <v>11053852</v>
          </cell>
          <cell r="C99">
            <v>5558195</v>
          </cell>
          <cell r="D99">
            <v>12063066</v>
          </cell>
          <cell r="E99">
            <v>5454011</v>
          </cell>
          <cell r="F99">
            <v>12389616</v>
          </cell>
          <cell r="G99">
            <v>1298015</v>
          </cell>
        </row>
        <row r="100">
          <cell r="A100">
            <v>43989</v>
          </cell>
          <cell r="B100">
            <v>11054200</v>
          </cell>
          <cell r="C100">
            <v>5560475</v>
          </cell>
          <cell r="D100">
            <v>12063542</v>
          </cell>
          <cell r="E100">
            <v>5458980</v>
          </cell>
          <cell r="F100">
            <v>12390762</v>
          </cell>
          <cell r="G100">
            <v>1318972</v>
          </cell>
        </row>
        <row r="101">
          <cell r="A101">
            <v>43990</v>
          </cell>
          <cell r="B101">
            <v>11056606</v>
          </cell>
          <cell r="C101">
            <v>5607518</v>
          </cell>
          <cell r="D101">
            <v>12067211</v>
          </cell>
          <cell r="E101">
            <v>5568300</v>
          </cell>
          <cell r="F101">
            <v>12403668</v>
          </cell>
          <cell r="G101">
            <v>1681903</v>
          </cell>
        </row>
        <row r="102">
          <cell r="A102">
            <v>43991</v>
          </cell>
          <cell r="B102">
            <v>11058461</v>
          </cell>
          <cell r="C102">
            <v>5658310</v>
          </cell>
          <cell r="D102">
            <v>12069729</v>
          </cell>
          <cell r="E102">
            <v>5684437</v>
          </cell>
          <cell r="F102">
            <v>12413244</v>
          </cell>
          <cell r="G102">
            <v>2026761</v>
          </cell>
        </row>
        <row r="103">
          <cell r="A103">
            <v>43992</v>
          </cell>
          <cell r="B103">
            <v>11060582</v>
          </cell>
          <cell r="C103">
            <v>5707621</v>
          </cell>
          <cell r="D103">
            <v>12072351</v>
          </cell>
          <cell r="E103">
            <v>5797867</v>
          </cell>
          <cell r="F103">
            <v>12421601</v>
          </cell>
          <cell r="G103">
            <v>2312032</v>
          </cell>
        </row>
        <row r="104">
          <cell r="A104">
            <v>43993</v>
          </cell>
          <cell r="B104">
            <v>11062647</v>
          </cell>
          <cell r="C104">
            <v>5747332</v>
          </cell>
          <cell r="D104">
            <v>12075290</v>
          </cell>
          <cell r="E104">
            <v>5909082</v>
          </cell>
          <cell r="F104">
            <v>12429408</v>
          </cell>
          <cell r="G104">
            <v>2602588</v>
          </cell>
        </row>
        <row r="105">
          <cell r="A105">
            <v>43994</v>
          </cell>
          <cell r="B105">
            <v>11065550</v>
          </cell>
          <cell r="C105">
            <v>5789768</v>
          </cell>
          <cell r="D105">
            <v>12078921</v>
          </cell>
          <cell r="E105">
            <v>6029890</v>
          </cell>
          <cell r="F105">
            <v>12439688</v>
          </cell>
          <cell r="G105">
            <v>2893471</v>
          </cell>
        </row>
        <row r="106">
          <cell r="A106">
            <v>43995</v>
          </cell>
          <cell r="B106">
            <v>11066237</v>
          </cell>
          <cell r="C106">
            <v>5792217</v>
          </cell>
          <cell r="D106">
            <v>12080165</v>
          </cell>
          <cell r="E106">
            <v>6034899</v>
          </cell>
          <cell r="F106">
            <v>12441330</v>
          </cell>
          <cell r="G106">
            <v>2918596</v>
          </cell>
        </row>
        <row r="107">
          <cell r="A107">
            <v>43996</v>
          </cell>
          <cell r="B107">
            <v>11067355</v>
          </cell>
          <cell r="C107">
            <v>5796071</v>
          </cell>
          <cell r="D107">
            <v>12081492</v>
          </cell>
          <cell r="E107">
            <v>6041520</v>
          </cell>
          <cell r="F107">
            <v>12443061</v>
          </cell>
          <cell r="G107">
            <v>2938751</v>
          </cell>
        </row>
        <row r="108">
          <cell r="A108">
            <v>43997</v>
          </cell>
          <cell r="B108">
            <v>11069676</v>
          </cell>
          <cell r="C108">
            <v>5835363</v>
          </cell>
          <cell r="D108">
            <v>12084343</v>
          </cell>
          <cell r="E108">
            <v>6172029</v>
          </cell>
          <cell r="F108">
            <v>12450293</v>
          </cell>
          <cell r="G108">
            <v>3236647</v>
          </cell>
        </row>
        <row r="109">
          <cell r="A109">
            <v>43998</v>
          </cell>
          <cell r="B109">
            <v>11072085</v>
          </cell>
          <cell r="C109">
            <v>5876049</v>
          </cell>
          <cell r="D109">
            <v>12087702</v>
          </cell>
          <cell r="E109">
            <v>6303442</v>
          </cell>
          <cell r="F109">
            <v>12458985</v>
          </cell>
          <cell r="G109">
            <v>3497739</v>
          </cell>
        </row>
        <row r="110">
          <cell r="A110">
            <v>43999</v>
          </cell>
          <cell r="B110">
            <v>11074101</v>
          </cell>
          <cell r="C110">
            <v>5908471</v>
          </cell>
          <cell r="D110">
            <v>12090565</v>
          </cell>
          <cell r="E110">
            <v>6399820</v>
          </cell>
          <cell r="F110">
            <v>12464694</v>
          </cell>
          <cell r="G110">
            <v>3683081</v>
          </cell>
        </row>
        <row r="111">
          <cell r="A111">
            <v>44000</v>
          </cell>
          <cell r="B111">
            <v>11075815</v>
          </cell>
          <cell r="C111">
            <v>5938124</v>
          </cell>
          <cell r="D111">
            <v>12094977</v>
          </cell>
          <cell r="E111">
            <v>6481327</v>
          </cell>
          <cell r="F111">
            <v>12472486</v>
          </cell>
          <cell r="G111">
            <v>3860472</v>
          </cell>
        </row>
        <row r="112">
          <cell r="A112">
            <v>44001</v>
          </cell>
          <cell r="B112">
            <v>11077412</v>
          </cell>
          <cell r="C112">
            <v>5960814</v>
          </cell>
          <cell r="D112">
            <v>12097296</v>
          </cell>
          <cell r="E112">
            <v>6552286</v>
          </cell>
          <cell r="F112">
            <v>12478227</v>
          </cell>
          <cell r="G112">
            <v>4005133</v>
          </cell>
        </row>
        <row r="113">
          <cell r="A113">
            <v>44002</v>
          </cell>
          <cell r="B113">
            <v>11077744</v>
          </cell>
          <cell r="C113">
            <v>5962266</v>
          </cell>
          <cell r="D113">
            <v>12098030</v>
          </cell>
          <cell r="E113">
            <v>6555286</v>
          </cell>
          <cell r="F113">
            <v>12479190</v>
          </cell>
          <cell r="G113">
            <v>4015221</v>
          </cell>
        </row>
        <row r="114">
          <cell r="A114">
            <v>44003</v>
          </cell>
          <cell r="B114">
            <v>11077970</v>
          </cell>
          <cell r="C114">
            <v>5963916</v>
          </cell>
          <cell r="D114">
            <v>12098890</v>
          </cell>
          <cell r="E114">
            <v>6560956</v>
          </cell>
          <cell r="F114">
            <v>12480272</v>
          </cell>
          <cell r="G114">
            <v>4027126</v>
          </cell>
        </row>
        <row r="115">
          <cell r="A115">
            <v>44004</v>
          </cell>
          <cell r="B115">
            <v>11079161</v>
          </cell>
          <cell r="C115">
            <v>5988576</v>
          </cell>
          <cell r="D115">
            <v>12100803</v>
          </cell>
          <cell r="E115">
            <v>6629770</v>
          </cell>
          <cell r="F115">
            <v>12484190</v>
          </cell>
          <cell r="G115">
            <v>4163031</v>
          </cell>
        </row>
        <row r="116">
          <cell r="A116">
            <v>44005</v>
          </cell>
          <cell r="B116">
            <v>11080901</v>
          </cell>
          <cell r="C116">
            <v>6012487</v>
          </cell>
          <cell r="D116">
            <v>12106354</v>
          </cell>
          <cell r="E116">
            <v>6689897</v>
          </cell>
          <cell r="F116">
            <v>12491962</v>
          </cell>
          <cell r="G116">
            <v>4275134</v>
          </cell>
        </row>
        <row r="117">
          <cell r="A117">
            <v>44006</v>
          </cell>
          <cell r="B117">
            <v>11082607</v>
          </cell>
          <cell r="C117">
            <v>6033250</v>
          </cell>
          <cell r="D117">
            <v>12109829</v>
          </cell>
          <cell r="E117">
            <v>6736589</v>
          </cell>
          <cell r="F117">
            <v>12497444</v>
          </cell>
          <cell r="G117">
            <v>4362791</v>
          </cell>
        </row>
        <row r="118">
          <cell r="A118">
            <v>44007</v>
          </cell>
          <cell r="B118">
            <v>11083999</v>
          </cell>
          <cell r="C118">
            <v>6050399</v>
          </cell>
          <cell r="D118">
            <v>12113734</v>
          </cell>
          <cell r="E118">
            <v>6785938</v>
          </cell>
          <cell r="F118">
            <v>12502949</v>
          </cell>
          <cell r="G118">
            <v>4446617</v>
          </cell>
        </row>
        <row r="119">
          <cell r="A119">
            <v>44008</v>
          </cell>
          <cell r="B119">
            <v>11086449</v>
          </cell>
          <cell r="C119">
            <v>6070992</v>
          </cell>
          <cell r="D119">
            <v>12118568</v>
          </cell>
          <cell r="E119">
            <v>6846587</v>
          </cell>
          <cell r="F119">
            <v>12508644</v>
          </cell>
          <cell r="G119">
            <v>4532840</v>
          </cell>
        </row>
        <row r="120">
          <cell r="A120">
            <v>44009</v>
          </cell>
          <cell r="B120">
            <v>11086648</v>
          </cell>
          <cell r="C120">
            <v>6072384</v>
          </cell>
          <cell r="D120">
            <v>12119063</v>
          </cell>
          <cell r="E120">
            <v>6847683</v>
          </cell>
          <cell r="F120">
            <v>12509262</v>
          </cell>
          <cell r="G120">
            <v>4537426</v>
          </cell>
        </row>
        <row r="121">
          <cell r="A121">
            <v>44010</v>
          </cell>
          <cell r="B121">
            <v>11087058</v>
          </cell>
          <cell r="C121">
            <v>6073773</v>
          </cell>
          <cell r="D121">
            <v>12121945</v>
          </cell>
          <cell r="E121">
            <v>6851402</v>
          </cell>
          <cell r="F121">
            <v>12512345</v>
          </cell>
          <cell r="G121">
            <v>4547264</v>
          </cell>
        </row>
        <row r="122">
          <cell r="A122">
            <v>44011</v>
          </cell>
          <cell r="B122">
            <v>11088776</v>
          </cell>
          <cell r="C122">
            <v>6092586</v>
          </cell>
          <cell r="D122">
            <v>12125072</v>
          </cell>
          <cell r="E122">
            <v>6893012</v>
          </cell>
          <cell r="F122">
            <v>12516952</v>
          </cell>
          <cell r="G122">
            <v>4622063</v>
          </cell>
        </row>
        <row r="123">
          <cell r="A123">
            <v>44012</v>
          </cell>
          <cell r="B123">
            <v>11091202</v>
          </cell>
          <cell r="C123">
            <v>6111265</v>
          </cell>
          <cell r="D123">
            <v>12130059</v>
          </cell>
          <cell r="E123">
            <v>6933775</v>
          </cell>
          <cell r="F123">
            <v>12523073</v>
          </cell>
          <cell r="G123">
            <v>4719079</v>
          </cell>
        </row>
        <row r="124">
          <cell r="A124">
            <v>44013</v>
          </cell>
          <cell r="B124">
            <v>11092930</v>
          </cell>
          <cell r="C124">
            <v>6126338</v>
          </cell>
          <cell r="D124">
            <v>12133481</v>
          </cell>
          <cell r="E124">
            <v>6971167</v>
          </cell>
          <cell r="F124">
            <v>12527360</v>
          </cell>
          <cell r="G124">
            <v>4797041</v>
          </cell>
        </row>
        <row r="125">
          <cell r="A125">
            <v>44014</v>
          </cell>
          <cell r="B125">
            <v>11095774</v>
          </cell>
          <cell r="C125">
            <v>6144609</v>
          </cell>
          <cell r="D125">
            <v>12140151</v>
          </cell>
          <cell r="E125">
            <v>7017986</v>
          </cell>
          <cell r="F125">
            <v>12534611</v>
          </cell>
          <cell r="G125">
            <v>4884140</v>
          </cell>
        </row>
        <row r="126">
          <cell r="A126">
            <v>44015</v>
          </cell>
          <cell r="B126">
            <v>11098627</v>
          </cell>
          <cell r="C126">
            <v>6169702</v>
          </cell>
          <cell r="D126">
            <v>12143565</v>
          </cell>
          <cell r="E126">
            <v>7063952</v>
          </cell>
          <cell r="F126">
            <v>12539780</v>
          </cell>
          <cell r="G126">
            <v>4987762</v>
          </cell>
        </row>
        <row r="127">
          <cell r="A127">
            <v>44016</v>
          </cell>
          <cell r="B127">
            <v>11099397</v>
          </cell>
          <cell r="C127">
            <v>6170792</v>
          </cell>
          <cell r="D127">
            <v>12144391</v>
          </cell>
          <cell r="E127">
            <v>7068895</v>
          </cell>
          <cell r="F127">
            <v>12540655</v>
          </cell>
          <cell r="G127">
            <v>4992672</v>
          </cell>
        </row>
        <row r="128">
          <cell r="A128">
            <v>44017</v>
          </cell>
          <cell r="B128">
            <v>11099541</v>
          </cell>
          <cell r="C128">
            <v>6172354</v>
          </cell>
          <cell r="D128">
            <v>12145606</v>
          </cell>
          <cell r="E128">
            <v>7071954</v>
          </cell>
          <cell r="F128">
            <v>12541905</v>
          </cell>
          <cell r="G128">
            <v>4998710</v>
          </cell>
        </row>
        <row r="129">
          <cell r="A129">
            <v>44018</v>
          </cell>
          <cell r="B129">
            <v>11100395</v>
          </cell>
          <cell r="C129">
            <v>6189880</v>
          </cell>
          <cell r="D129">
            <v>12148131</v>
          </cell>
          <cell r="E129">
            <v>7118524</v>
          </cell>
          <cell r="F129">
            <v>12545213</v>
          </cell>
          <cell r="G129">
            <v>5086844</v>
          </cell>
        </row>
        <row r="130">
          <cell r="A130">
            <v>44019</v>
          </cell>
          <cell r="B130">
            <v>11101544</v>
          </cell>
          <cell r="C130">
            <v>6214673</v>
          </cell>
          <cell r="D130">
            <v>12150265</v>
          </cell>
          <cell r="E130">
            <v>7172149</v>
          </cell>
          <cell r="F130">
            <v>12548826</v>
          </cell>
          <cell r="G130">
            <v>5171568</v>
          </cell>
        </row>
        <row r="131">
          <cell r="A131">
            <v>44020</v>
          </cell>
          <cell r="B131">
            <v>11103089</v>
          </cell>
          <cell r="C131">
            <v>6236042</v>
          </cell>
          <cell r="D131">
            <v>12152528</v>
          </cell>
          <cell r="E131">
            <v>7222339</v>
          </cell>
          <cell r="F131">
            <v>12552688</v>
          </cell>
          <cell r="G131">
            <v>5262033</v>
          </cell>
        </row>
        <row r="132">
          <cell r="A132">
            <v>44021</v>
          </cell>
          <cell r="B132">
            <v>11104552</v>
          </cell>
          <cell r="C132">
            <v>6255806</v>
          </cell>
          <cell r="D132">
            <v>12155290</v>
          </cell>
          <cell r="E132">
            <v>7275853</v>
          </cell>
          <cell r="F132">
            <v>12556626</v>
          </cell>
          <cell r="G132">
            <v>5358966</v>
          </cell>
        </row>
        <row r="133">
          <cell r="A133">
            <v>44022</v>
          </cell>
          <cell r="B133">
            <v>11105918</v>
          </cell>
          <cell r="C133">
            <v>6278195</v>
          </cell>
          <cell r="D133">
            <v>12157361</v>
          </cell>
          <cell r="E133">
            <v>7323102</v>
          </cell>
          <cell r="F133">
            <v>12559291</v>
          </cell>
          <cell r="G133">
            <v>5447489</v>
          </cell>
        </row>
        <row r="134">
          <cell r="A134">
            <v>44023</v>
          </cell>
          <cell r="B134">
            <v>11106127</v>
          </cell>
          <cell r="C134">
            <v>6279407</v>
          </cell>
          <cell r="D134">
            <v>12157713</v>
          </cell>
          <cell r="E134">
            <v>7325922</v>
          </cell>
          <cell r="F134">
            <v>12559835</v>
          </cell>
          <cell r="G134">
            <v>5452693</v>
          </cell>
        </row>
        <row r="135">
          <cell r="A135">
            <v>44024</v>
          </cell>
          <cell r="B135">
            <v>11106291</v>
          </cell>
          <cell r="C135">
            <v>6280905</v>
          </cell>
          <cell r="D135">
            <v>12158403</v>
          </cell>
          <cell r="E135">
            <v>7327977</v>
          </cell>
          <cell r="F135">
            <v>12560907</v>
          </cell>
          <cell r="G135">
            <v>5457609</v>
          </cell>
        </row>
        <row r="136">
          <cell r="A136">
            <v>44025</v>
          </cell>
          <cell r="B136">
            <v>11107225</v>
          </cell>
          <cell r="C136">
            <v>6291402</v>
          </cell>
          <cell r="D136">
            <v>12159831</v>
          </cell>
          <cell r="E136">
            <v>7348431</v>
          </cell>
          <cell r="F136">
            <v>12562745</v>
          </cell>
          <cell r="G136">
            <v>5504114</v>
          </cell>
        </row>
        <row r="137">
          <cell r="A137">
            <v>44026</v>
          </cell>
          <cell r="B137">
            <v>11107437</v>
          </cell>
          <cell r="C137">
            <v>6293283</v>
          </cell>
          <cell r="D137">
            <v>12160484</v>
          </cell>
          <cell r="E137">
            <v>7352027</v>
          </cell>
          <cell r="F137">
            <v>12563504</v>
          </cell>
          <cell r="G137">
            <v>5520432</v>
          </cell>
        </row>
        <row r="138">
          <cell r="A138">
            <v>44027</v>
          </cell>
          <cell r="B138">
            <v>11108850</v>
          </cell>
          <cell r="C138">
            <v>6304194</v>
          </cell>
          <cell r="D138">
            <v>12162151</v>
          </cell>
          <cell r="E138">
            <v>7388043</v>
          </cell>
          <cell r="F138">
            <v>12566110</v>
          </cell>
          <cell r="G138">
            <v>5586319</v>
          </cell>
        </row>
        <row r="139">
          <cell r="A139">
            <v>44028</v>
          </cell>
          <cell r="B139">
            <v>11109444</v>
          </cell>
          <cell r="C139">
            <v>6318612</v>
          </cell>
          <cell r="D139">
            <v>12162897</v>
          </cell>
          <cell r="E139">
            <v>7425399</v>
          </cell>
          <cell r="F139">
            <v>12567680</v>
          </cell>
          <cell r="G139">
            <v>5675989</v>
          </cell>
        </row>
        <row r="140">
          <cell r="A140">
            <v>44029</v>
          </cell>
          <cell r="B140">
            <v>11110037</v>
          </cell>
          <cell r="C140">
            <v>6341190</v>
          </cell>
          <cell r="D140">
            <v>12163848</v>
          </cell>
          <cell r="E140">
            <v>7468899</v>
          </cell>
          <cell r="F140">
            <v>12569419</v>
          </cell>
          <cell r="G140">
            <v>5765722</v>
          </cell>
        </row>
        <row r="141">
          <cell r="A141">
            <v>44030</v>
          </cell>
          <cell r="B141">
            <v>11110144</v>
          </cell>
          <cell r="C141">
            <v>6342399</v>
          </cell>
          <cell r="D141">
            <v>12164010</v>
          </cell>
          <cell r="E141">
            <v>7472388</v>
          </cell>
          <cell r="F141">
            <v>12569632</v>
          </cell>
          <cell r="G141">
            <v>5768287</v>
          </cell>
        </row>
        <row r="142">
          <cell r="A142">
            <v>44031</v>
          </cell>
          <cell r="B142">
            <v>11110210</v>
          </cell>
          <cell r="C142">
            <v>6343309</v>
          </cell>
          <cell r="D142">
            <v>12164130</v>
          </cell>
          <cell r="E142">
            <v>7474386</v>
          </cell>
          <cell r="F142">
            <v>12570592</v>
          </cell>
          <cell r="G142">
            <v>5771462</v>
          </cell>
        </row>
        <row r="143">
          <cell r="A143">
            <v>44032</v>
          </cell>
          <cell r="B143">
            <v>11111204</v>
          </cell>
          <cell r="C143">
            <v>6372568</v>
          </cell>
          <cell r="D143">
            <v>12165699</v>
          </cell>
          <cell r="E143">
            <v>7535507</v>
          </cell>
          <cell r="F143">
            <v>12573124</v>
          </cell>
          <cell r="G143">
            <v>5844338</v>
          </cell>
        </row>
        <row r="144">
          <cell r="A144">
            <v>44033</v>
          </cell>
          <cell r="B144">
            <v>11112643</v>
          </cell>
          <cell r="C144">
            <v>6386049</v>
          </cell>
          <cell r="D144">
            <v>12167581</v>
          </cell>
          <cell r="E144">
            <v>7585518</v>
          </cell>
          <cell r="F144">
            <v>12575206</v>
          </cell>
          <cell r="G144">
            <v>5912431</v>
          </cell>
        </row>
        <row r="145">
          <cell r="A145">
            <v>44034</v>
          </cell>
          <cell r="B145">
            <v>11113507</v>
          </cell>
          <cell r="C145">
            <v>6399928</v>
          </cell>
          <cell r="D145">
            <v>12168512</v>
          </cell>
          <cell r="E145">
            <v>7617311</v>
          </cell>
          <cell r="F145">
            <v>12576995</v>
          </cell>
          <cell r="G145">
            <v>5978875</v>
          </cell>
        </row>
        <row r="146">
          <cell r="A146">
            <v>44035</v>
          </cell>
          <cell r="B146">
            <v>11114162</v>
          </cell>
          <cell r="C146">
            <v>6412046</v>
          </cell>
          <cell r="D146">
            <v>12169413</v>
          </cell>
          <cell r="E146">
            <v>7652047</v>
          </cell>
          <cell r="F146">
            <v>12579814</v>
          </cell>
          <cell r="G146">
            <v>6049724</v>
          </cell>
        </row>
        <row r="147">
          <cell r="A147">
            <v>44036</v>
          </cell>
          <cell r="B147">
            <v>11115140</v>
          </cell>
          <cell r="C147">
            <v>6424028</v>
          </cell>
          <cell r="D147">
            <v>12170608</v>
          </cell>
          <cell r="E147">
            <v>7677657</v>
          </cell>
          <cell r="F147">
            <v>12581318</v>
          </cell>
          <cell r="G147">
            <v>6116711</v>
          </cell>
        </row>
        <row r="148">
          <cell r="A148">
            <v>44037</v>
          </cell>
          <cell r="B148">
            <v>11115304</v>
          </cell>
          <cell r="C148">
            <v>6425255</v>
          </cell>
          <cell r="D148">
            <v>12170756</v>
          </cell>
          <cell r="E148">
            <v>7679174</v>
          </cell>
          <cell r="F148">
            <v>12581501</v>
          </cell>
          <cell r="G148">
            <v>6119161</v>
          </cell>
        </row>
        <row r="149">
          <cell r="A149">
            <v>44038</v>
          </cell>
          <cell r="B149">
            <v>11115619</v>
          </cell>
          <cell r="C149">
            <v>6427078</v>
          </cell>
          <cell r="D149">
            <v>12171036</v>
          </cell>
          <cell r="E149">
            <v>7679778</v>
          </cell>
          <cell r="F149">
            <v>12581821</v>
          </cell>
          <cell r="G149">
            <v>6122956</v>
          </cell>
        </row>
        <row r="150">
          <cell r="A150">
            <v>44039</v>
          </cell>
          <cell r="B150">
            <v>11116560</v>
          </cell>
          <cell r="C150">
            <v>6560970</v>
          </cell>
          <cell r="D150">
            <v>12172151</v>
          </cell>
          <cell r="E150">
            <v>7865778</v>
          </cell>
          <cell r="F150">
            <v>12583998</v>
          </cell>
          <cell r="G150">
            <v>6325497</v>
          </cell>
        </row>
        <row r="151">
          <cell r="A151" t="str">
            <v>NA</v>
          </cell>
          <cell r="B151" t="str">
            <v>NA</v>
          </cell>
          <cell r="C151" t="str">
            <v>NA</v>
          </cell>
          <cell r="D151" t="str">
            <v>NA</v>
          </cell>
          <cell r="E151" t="str">
            <v>NA</v>
          </cell>
          <cell r="F151" t="str">
            <v>NA</v>
          </cell>
          <cell r="G151" t="str">
            <v>NA</v>
          </cell>
        </row>
        <row r="152">
          <cell r="A152" t="str">
            <v>NA</v>
          </cell>
          <cell r="B152" t="str">
            <v>NA</v>
          </cell>
          <cell r="C152" t="str">
            <v>NA</v>
          </cell>
          <cell r="D152" t="str">
            <v>NA</v>
          </cell>
          <cell r="E152" t="str">
            <v>NA</v>
          </cell>
          <cell r="F152" t="str">
            <v>NA</v>
          </cell>
          <cell r="G152" t="str">
            <v>NA</v>
          </cell>
        </row>
        <row r="153">
          <cell r="A153" t="str">
            <v>NA</v>
          </cell>
          <cell r="B153" t="str">
            <v>NA</v>
          </cell>
          <cell r="C153" t="str">
            <v>NA</v>
          </cell>
          <cell r="D153" t="str">
            <v>NA</v>
          </cell>
          <cell r="E153" t="str">
            <v>NA</v>
          </cell>
          <cell r="F153" t="str">
            <v>NA</v>
          </cell>
          <cell r="G153" t="str">
            <v>NA</v>
          </cell>
        </row>
        <row r="154">
          <cell r="A154" t="str">
            <v>NA</v>
          </cell>
          <cell r="B154" t="str">
            <v>NA</v>
          </cell>
          <cell r="C154" t="str">
            <v>NA</v>
          </cell>
          <cell r="D154" t="str">
            <v>NA</v>
          </cell>
          <cell r="E154" t="str">
            <v>NA</v>
          </cell>
          <cell r="F154" t="str">
            <v>NA</v>
          </cell>
          <cell r="G154" t="str">
            <v>NA</v>
          </cell>
        </row>
        <row r="155">
          <cell r="A155" t="str">
            <v>NA</v>
          </cell>
          <cell r="B155" t="str">
            <v>NA</v>
          </cell>
          <cell r="C155" t="str">
            <v>NA</v>
          </cell>
          <cell r="D155" t="str">
            <v>NA</v>
          </cell>
          <cell r="E155" t="str">
            <v>NA</v>
          </cell>
          <cell r="F155" t="str">
            <v>NA</v>
          </cell>
          <cell r="G155" t="str">
            <v>NA</v>
          </cell>
        </row>
        <row r="156">
          <cell r="A156" t="str">
            <v>NA</v>
          </cell>
          <cell r="B156" t="str">
            <v>NA</v>
          </cell>
          <cell r="C156" t="str">
            <v>NA</v>
          </cell>
          <cell r="D156" t="str">
            <v>NA</v>
          </cell>
          <cell r="E156" t="str">
            <v>NA</v>
          </cell>
          <cell r="F156" t="str">
            <v>NA</v>
          </cell>
          <cell r="G156" t="str">
            <v>NA</v>
          </cell>
        </row>
        <row r="157">
          <cell r="A157" t="str">
            <v>NA</v>
          </cell>
          <cell r="B157" t="str">
            <v>NA</v>
          </cell>
          <cell r="C157" t="str">
            <v>NA</v>
          </cell>
          <cell r="D157" t="str">
            <v>NA</v>
          </cell>
          <cell r="E157" t="str">
            <v>NA</v>
          </cell>
          <cell r="F157" t="str">
            <v>NA</v>
          </cell>
          <cell r="G157" t="str">
            <v>NA</v>
          </cell>
        </row>
        <row r="158">
          <cell r="A158" t="str">
            <v>NA</v>
          </cell>
          <cell r="B158" t="str">
            <v>NA</v>
          </cell>
          <cell r="C158" t="str">
            <v>NA</v>
          </cell>
          <cell r="D158" t="str">
            <v>NA</v>
          </cell>
          <cell r="E158" t="str">
            <v>NA</v>
          </cell>
          <cell r="F158" t="str">
            <v>NA</v>
          </cell>
          <cell r="G158" t="str">
            <v>NA</v>
          </cell>
        </row>
        <row r="159">
          <cell r="A159" t="str">
            <v>NA</v>
          </cell>
          <cell r="B159" t="str">
            <v>NA</v>
          </cell>
          <cell r="C159" t="str">
            <v>NA</v>
          </cell>
          <cell r="D159" t="str">
            <v>NA</v>
          </cell>
          <cell r="E159" t="str">
            <v>NA</v>
          </cell>
          <cell r="F159" t="str">
            <v>NA</v>
          </cell>
          <cell r="G159" t="str">
            <v>NA</v>
          </cell>
        </row>
        <row r="160">
          <cell r="A160" t="str">
            <v>NA</v>
          </cell>
          <cell r="B160" t="str">
            <v>NA</v>
          </cell>
          <cell r="C160" t="str">
            <v>NA</v>
          </cell>
          <cell r="D160" t="str">
            <v>NA</v>
          </cell>
          <cell r="E160" t="str">
            <v>NA</v>
          </cell>
          <cell r="F160" t="str">
            <v>NA</v>
          </cell>
          <cell r="G160" t="str">
            <v>NA</v>
          </cell>
        </row>
        <row r="161">
          <cell r="A161" t="str">
            <v>NA</v>
          </cell>
          <cell r="B161" t="str">
            <v>NA</v>
          </cell>
          <cell r="C161" t="str">
            <v>NA</v>
          </cell>
          <cell r="D161" t="str">
            <v>NA</v>
          </cell>
          <cell r="E161" t="str">
            <v>NA</v>
          </cell>
          <cell r="F161" t="str">
            <v>NA</v>
          </cell>
          <cell r="G161" t="str">
            <v>NA</v>
          </cell>
        </row>
        <row r="162">
          <cell r="A162" t="str">
            <v>NA</v>
          </cell>
          <cell r="B162" t="str">
            <v>NA</v>
          </cell>
          <cell r="C162" t="str">
            <v>NA</v>
          </cell>
          <cell r="D162" t="str">
            <v>NA</v>
          </cell>
          <cell r="E162" t="str">
            <v>NA</v>
          </cell>
          <cell r="F162" t="str">
            <v>NA</v>
          </cell>
          <cell r="G162" t="str">
            <v>NA</v>
          </cell>
        </row>
        <row r="163">
          <cell r="A163" t="str">
            <v>NA</v>
          </cell>
          <cell r="B163" t="str">
            <v>NA</v>
          </cell>
          <cell r="C163" t="str">
            <v>NA</v>
          </cell>
          <cell r="D163" t="str">
            <v>NA</v>
          </cell>
          <cell r="E163" t="str">
            <v>NA</v>
          </cell>
          <cell r="F163" t="str">
            <v>NA</v>
          </cell>
          <cell r="G163" t="str">
            <v>NA</v>
          </cell>
        </row>
        <row r="164">
          <cell r="A164" t="str">
            <v>NA</v>
          </cell>
          <cell r="B164" t="str">
            <v>NA</v>
          </cell>
          <cell r="C164" t="str">
            <v>NA</v>
          </cell>
          <cell r="D164" t="str">
            <v>NA</v>
          </cell>
          <cell r="E164" t="str">
            <v>NA</v>
          </cell>
          <cell r="F164" t="str">
            <v>NA</v>
          </cell>
          <cell r="G164" t="str">
            <v>NA</v>
          </cell>
        </row>
        <row r="165">
          <cell r="A165" t="str">
            <v>NA</v>
          </cell>
          <cell r="B165" t="str">
            <v>NA</v>
          </cell>
          <cell r="C165" t="str">
            <v>NA</v>
          </cell>
          <cell r="D165" t="str">
            <v>NA</v>
          </cell>
          <cell r="E165" t="str">
            <v>NA</v>
          </cell>
          <cell r="F165" t="str">
            <v>NA</v>
          </cell>
          <cell r="G165" t="str">
            <v>NA</v>
          </cell>
        </row>
        <row r="166">
          <cell r="A166" t="str">
            <v>NA</v>
          </cell>
          <cell r="B166" t="str">
            <v>NA</v>
          </cell>
          <cell r="C166" t="str">
            <v>NA</v>
          </cell>
          <cell r="D166" t="str">
            <v>NA</v>
          </cell>
          <cell r="E166" t="str">
            <v>NA</v>
          </cell>
          <cell r="F166" t="str">
            <v>NA</v>
          </cell>
          <cell r="G166" t="str">
            <v>NA</v>
          </cell>
        </row>
        <row r="167">
          <cell r="A167" t="str">
            <v>NA</v>
          </cell>
          <cell r="B167" t="str">
            <v>NA</v>
          </cell>
          <cell r="C167" t="str">
            <v>NA</v>
          </cell>
          <cell r="D167" t="str">
            <v>NA</v>
          </cell>
          <cell r="E167" t="str">
            <v>NA</v>
          </cell>
          <cell r="F167" t="str">
            <v>NA</v>
          </cell>
          <cell r="G167" t="str">
            <v>NA</v>
          </cell>
        </row>
        <row r="168">
          <cell r="A168" t="str">
            <v>NA</v>
          </cell>
          <cell r="B168" t="str">
            <v>NA</v>
          </cell>
          <cell r="C168" t="str">
            <v>NA</v>
          </cell>
          <cell r="D168" t="str">
            <v>NA</v>
          </cell>
          <cell r="E168" t="str">
            <v>NA</v>
          </cell>
          <cell r="F168" t="str">
            <v>NA</v>
          </cell>
          <cell r="G168" t="str">
            <v>NA</v>
          </cell>
        </row>
        <row r="169">
          <cell r="A169" t="str">
            <v>NA</v>
          </cell>
          <cell r="B169" t="str">
            <v>NA</v>
          </cell>
          <cell r="C169" t="str">
            <v>NA</v>
          </cell>
          <cell r="D169" t="str">
            <v>NA</v>
          </cell>
          <cell r="E169" t="str">
            <v>NA</v>
          </cell>
          <cell r="F169" t="str">
            <v>NA</v>
          </cell>
          <cell r="G169" t="str">
            <v>NA</v>
          </cell>
        </row>
        <row r="170">
          <cell r="A170" t="str">
            <v>NA</v>
          </cell>
          <cell r="B170" t="str">
            <v>NA</v>
          </cell>
          <cell r="C170" t="str">
            <v>NA</v>
          </cell>
          <cell r="D170" t="str">
            <v>NA</v>
          </cell>
          <cell r="E170" t="str">
            <v>NA</v>
          </cell>
          <cell r="F170" t="str">
            <v>NA</v>
          </cell>
          <cell r="G170" t="str">
            <v>NA</v>
          </cell>
        </row>
        <row r="171">
          <cell r="A171" t="str">
            <v>NA</v>
          </cell>
          <cell r="B171" t="str">
            <v>NA</v>
          </cell>
          <cell r="C171" t="str">
            <v>NA</v>
          </cell>
          <cell r="D171" t="str">
            <v>NA</v>
          </cell>
          <cell r="E171" t="str">
            <v>NA</v>
          </cell>
          <cell r="F171" t="str">
            <v>NA</v>
          </cell>
          <cell r="G171" t="str">
            <v>NA</v>
          </cell>
        </row>
        <row r="172">
          <cell r="A172" t="str">
            <v>NA</v>
          </cell>
          <cell r="B172" t="str">
            <v>NA</v>
          </cell>
          <cell r="C172" t="str">
            <v>NA</v>
          </cell>
          <cell r="D172" t="str">
            <v>NA</v>
          </cell>
          <cell r="E172" t="str">
            <v>NA</v>
          </cell>
          <cell r="F172" t="str">
            <v>NA</v>
          </cell>
          <cell r="G172" t="str">
            <v>NA</v>
          </cell>
        </row>
        <row r="173">
          <cell r="A173" t="str">
            <v>NA</v>
          </cell>
          <cell r="B173" t="str">
            <v>NA</v>
          </cell>
          <cell r="C173" t="str">
            <v>NA</v>
          </cell>
          <cell r="D173" t="str">
            <v>NA</v>
          </cell>
          <cell r="E173" t="str">
            <v>NA</v>
          </cell>
          <cell r="F173" t="str">
            <v>NA</v>
          </cell>
          <cell r="G173" t="str">
            <v>NA</v>
          </cell>
        </row>
        <row r="174">
          <cell r="A174" t="str">
            <v>NA</v>
          </cell>
          <cell r="B174" t="str">
            <v>NA</v>
          </cell>
          <cell r="C174" t="str">
            <v>NA</v>
          </cell>
          <cell r="D174" t="str">
            <v>NA</v>
          </cell>
          <cell r="E174" t="str">
            <v>NA</v>
          </cell>
          <cell r="F174" t="str">
            <v>NA</v>
          </cell>
          <cell r="G174" t="str">
            <v>NA</v>
          </cell>
        </row>
        <row r="175">
          <cell r="A175" t="str">
            <v>NA</v>
          </cell>
          <cell r="B175" t="str">
            <v>NA</v>
          </cell>
          <cell r="C175" t="str">
            <v>NA</v>
          </cell>
          <cell r="D175" t="str">
            <v>NA</v>
          </cell>
          <cell r="E175" t="str">
            <v>NA</v>
          </cell>
          <cell r="F175" t="str">
            <v>NA</v>
          </cell>
          <cell r="G175" t="str">
            <v>NA</v>
          </cell>
        </row>
        <row r="176">
          <cell r="A176" t="str">
            <v>NA</v>
          </cell>
          <cell r="B176" t="str">
            <v>NA</v>
          </cell>
          <cell r="C176" t="str">
            <v>NA</v>
          </cell>
          <cell r="D176" t="str">
            <v>NA</v>
          </cell>
          <cell r="E176" t="str">
            <v>NA</v>
          </cell>
          <cell r="F176" t="str">
            <v>NA</v>
          </cell>
          <cell r="G176" t="str">
            <v>NA</v>
          </cell>
        </row>
        <row r="177">
          <cell r="A177" t="str">
            <v>NA</v>
          </cell>
          <cell r="B177" t="str">
            <v>NA</v>
          </cell>
          <cell r="C177" t="str">
            <v>NA</v>
          </cell>
          <cell r="D177" t="str">
            <v>NA</v>
          </cell>
          <cell r="E177" t="str">
            <v>NA</v>
          </cell>
          <cell r="F177" t="str">
            <v>NA</v>
          </cell>
          <cell r="G177" t="str">
            <v>NA</v>
          </cell>
        </row>
        <row r="178">
          <cell r="A178" t="str">
            <v>NA</v>
          </cell>
          <cell r="B178" t="str">
            <v>NA</v>
          </cell>
          <cell r="C178" t="str">
            <v>NA</v>
          </cell>
          <cell r="D178" t="str">
            <v>NA</v>
          </cell>
          <cell r="E178" t="str">
            <v>NA</v>
          </cell>
          <cell r="F178" t="str">
            <v>NA</v>
          </cell>
          <cell r="G178" t="str">
            <v>NA</v>
          </cell>
        </row>
        <row r="179">
          <cell r="A179" t="str">
            <v>NA</v>
          </cell>
          <cell r="B179" t="str">
            <v>NA</v>
          </cell>
          <cell r="C179" t="str">
            <v>NA</v>
          </cell>
          <cell r="D179" t="str">
            <v>NA</v>
          </cell>
          <cell r="E179" t="str">
            <v>NA</v>
          </cell>
          <cell r="F179" t="str">
            <v>NA</v>
          </cell>
          <cell r="G179" t="str">
            <v>NA</v>
          </cell>
        </row>
        <row r="180">
          <cell r="A180" t="str">
            <v>NA</v>
          </cell>
          <cell r="B180" t="str">
            <v>NA</v>
          </cell>
          <cell r="C180" t="str">
            <v>NA</v>
          </cell>
          <cell r="D180" t="str">
            <v>NA</v>
          </cell>
          <cell r="E180" t="str">
            <v>NA</v>
          </cell>
          <cell r="F180" t="str">
            <v>NA</v>
          </cell>
          <cell r="G180" t="str">
            <v>NA</v>
          </cell>
        </row>
        <row r="181">
          <cell r="A181" t="str">
            <v>NA</v>
          </cell>
          <cell r="B181" t="str">
            <v>NA</v>
          </cell>
          <cell r="C181" t="str">
            <v>NA</v>
          </cell>
          <cell r="D181" t="str">
            <v>NA</v>
          </cell>
          <cell r="E181" t="str">
            <v>NA</v>
          </cell>
          <cell r="F181" t="str">
            <v>NA</v>
          </cell>
          <cell r="G181" t="str">
            <v>NA</v>
          </cell>
        </row>
        <row r="182">
          <cell r="A182" t="str">
            <v>NA</v>
          </cell>
          <cell r="B182" t="str">
            <v>NA</v>
          </cell>
          <cell r="C182" t="str">
            <v>NA</v>
          </cell>
          <cell r="D182" t="str">
            <v>NA</v>
          </cell>
          <cell r="E182" t="str">
            <v>NA</v>
          </cell>
          <cell r="F182" t="str">
            <v>NA</v>
          </cell>
          <cell r="G182" t="str">
            <v>NA</v>
          </cell>
        </row>
        <row r="183">
          <cell r="A183" t="str">
            <v>NA</v>
          </cell>
          <cell r="B183" t="str">
            <v>NA</v>
          </cell>
          <cell r="C183" t="str">
            <v>NA</v>
          </cell>
          <cell r="D183" t="str">
            <v>NA</v>
          </cell>
          <cell r="E183" t="str">
            <v>NA</v>
          </cell>
          <cell r="F183" t="str">
            <v>NA</v>
          </cell>
          <cell r="G183" t="str">
            <v>NA</v>
          </cell>
        </row>
        <row r="184">
          <cell r="A184" t="str">
            <v>NA</v>
          </cell>
          <cell r="B184" t="str">
            <v>NA</v>
          </cell>
          <cell r="C184" t="str">
            <v>NA</v>
          </cell>
          <cell r="D184" t="str">
            <v>NA</v>
          </cell>
          <cell r="E184" t="str">
            <v>NA</v>
          </cell>
          <cell r="F184" t="str">
            <v>NA</v>
          </cell>
          <cell r="G184" t="str">
            <v>NA</v>
          </cell>
        </row>
        <row r="185">
          <cell r="A185" t="str">
            <v>NA</v>
          </cell>
          <cell r="B185" t="str">
            <v>NA</v>
          </cell>
          <cell r="C185" t="str">
            <v>NA</v>
          </cell>
          <cell r="D185" t="str">
            <v>NA</v>
          </cell>
          <cell r="E185" t="str">
            <v>NA</v>
          </cell>
          <cell r="F185" t="str">
            <v>NA</v>
          </cell>
          <cell r="G185" t="str">
            <v>NA</v>
          </cell>
        </row>
        <row r="186">
          <cell r="A186" t="str">
            <v>NA</v>
          </cell>
          <cell r="B186" t="str">
            <v>NA</v>
          </cell>
          <cell r="C186" t="str">
            <v>NA</v>
          </cell>
          <cell r="D186" t="str">
            <v>NA</v>
          </cell>
          <cell r="E186" t="str">
            <v>NA</v>
          </cell>
          <cell r="F186" t="str">
            <v>NA</v>
          </cell>
          <cell r="G186" t="str">
            <v>NA</v>
          </cell>
        </row>
        <row r="187">
          <cell r="A187" t="str">
            <v>NA</v>
          </cell>
          <cell r="B187" t="str">
            <v>NA</v>
          </cell>
          <cell r="C187" t="str">
            <v>NA</v>
          </cell>
          <cell r="D187" t="str">
            <v>NA</v>
          </cell>
          <cell r="E187" t="str">
            <v>NA</v>
          </cell>
          <cell r="F187" t="str">
            <v>NA</v>
          </cell>
          <cell r="G187" t="str">
            <v>NA</v>
          </cell>
        </row>
        <row r="188">
          <cell r="A188" t="str">
            <v>NA</v>
          </cell>
          <cell r="B188" t="str">
            <v>NA</v>
          </cell>
          <cell r="C188" t="str">
            <v>NA</v>
          </cell>
          <cell r="D188" t="str">
            <v>NA</v>
          </cell>
          <cell r="E188" t="str">
            <v>NA</v>
          </cell>
          <cell r="F188" t="str">
            <v>NA</v>
          </cell>
          <cell r="G188" t="str">
            <v>NA</v>
          </cell>
        </row>
        <row r="189">
          <cell r="A189" t="str">
            <v>NA</v>
          </cell>
          <cell r="B189" t="str">
            <v>NA</v>
          </cell>
          <cell r="C189" t="str">
            <v>NA</v>
          </cell>
          <cell r="D189" t="str">
            <v>NA</v>
          </cell>
          <cell r="E189" t="str">
            <v>NA</v>
          </cell>
          <cell r="F189" t="str">
            <v>NA</v>
          </cell>
          <cell r="G189" t="str">
            <v>NA</v>
          </cell>
        </row>
        <row r="190">
          <cell r="A190" t="str">
            <v>NA</v>
          </cell>
          <cell r="B190" t="str">
            <v>NA</v>
          </cell>
          <cell r="C190" t="str">
            <v>NA</v>
          </cell>
          <cell r="D190" t="str">
            <v>NA</v>
          </cell>
          <cell r="E190" t="str">
            <v>NA</v>
          </cell>
          <cell r="F190" t="str">
            <v>NA</v>
          </cell>
          <cell r="G190" t="str">
            <v>NA</v>
          </cell>
        </row>
        <row r="191">
          <cell r="A191" t="str">
            <v>NA</v>
          </cell>
          <cell r="B191" t="str">
            <v>NA</v>
          </cell>
          <cell r="C191" t="str">
            <v>NA</v>
          </cell>
          <cell r="D191" t="str">
            <v>NA</v>
          </cell>
          <cell r="E191" t="str">
            <v>NA</v>
          </cell>
          <cell r="F191" t="str">
            <v>NA</v>
          </cell>
          <cell r="G191" t="str">
            <v>NA</v>
          </cell>
        </row>
        <row r="192">
          <cell r="A192" t="str">
            <v>NA</v>
          </cell>
          <cell r="B192" t="str">
            <v>NA</v>
          </cell>
          <cell r="C192" t="str">
            <v>NA</v>
          </cell>
          <cell r="D192" t="str">
            <v>NA</v>
          </cell>
          <cell r="E192" t="str">
            <v>NA</v>
          </cell>
          <cell r="F192" t="str">
            <v>NA</v>
          </cell>
          <cell r="G192" t="str">
            <v>NA</v>
          </cell>
        </row>
        <row r="193">
          <cell r="A193" t="str">
            <v>NA</v>
          </cell>
          <cell r="B193" t="str">
            <v>NA</v>
          </cell>
          <cell r="C193" t="str">
            <v>NA</v>
          </cell>
          <cell r="D193" t="str">
            <v>NA</v>
          </cell>
          <cell r="E193" t="str">
            <v>NA</v>
          </cell>
          <cell r="F193" t="str">
            <v>NA</v>
          </cell>
          <cell r="G193" t="str">
            <v>NA</v>
          </cell>
        </row>
        <row r="194">
          <cell r="A194" t="str">
            <v>NA</v>
          </cell>
          <cell r="B194" t="str">
            <v>NA</v>
          </cell>
          <cell r="C194" t="str">
            <v>NA</v>
          </cell>
          <cell r="D194" t="str">
            <v>NA</v>
          </cell>
          <cell r="E194" t="str">
            <v>NA</v>
          </cell>
          <cell r="F194" t="str">
            <v>NA</v>
          </cell>
          <cell r="G194" t="str">
            <v>NA</v>
          </cell>
        </row>
        <row r="195">
          <cell r="A195" t="str">
            <v>NA</v>
          </cell>
          <cell r="B195" t="str">
            <v>NA</v>
          </cell>
          <cell r="C195" t="str">
            <v>NA</v>
          </cell>
          <cell r="D195" t="str">
            <v>NA</v>
          </cell>
          <cell r="E195" t="str">
            <v>NA</v>
          </cell>
          <cell r="F195" t="str">
            <v>NA</v>
          </cell>
          <cell r="G195" t="str">
            <v>NA</v>
          </cell>
        </row>
        <row r="196">
          <cell r="A196" t="str">
            <v>NA</v>
          </cell>
          <cell r="B196" t="str">
            <v>NA</v>
          </cell>
          <cell r="C196" t="str">
            <v>NA</v>
          </cell>
          <cell r="D196" t="str">
            <v>NA</v>
          </cell>
          <cell r="E196" t="str">
            <v>NA</v>
          </cell>
          <cell r="F196" t="str">
            <v>NA</v>
          </cell>
          <cell r="G196" t="str">
            <v>NA</v>
          </cell>
        </row>
        <row r="197">
          <cell r="A197" t="str">
            <v>NA</v>
          </cell>
          <cell r="B197" t="str">
            <v>NA</v>
          </cell>
          <cell r="C197" t="str">
            <v>NA</v>
          </cell>
          <cell r="D197" t="str">
            <v>NA</v>
          </cell>
          <cell r="E197" t="str">
            <v>NA</v>
          </cell>
          <cell r="F197" t="str">
            <v>NA</v>
          </cell>
          <cell r="G197" t="str">
            <v>NA</v>
          </cell>
        </row>
        <row r="198">
          <cell r="A198" t="str">
            <v>NA</v>
          </cell>
          <cell r="B198" t="str">
            <v>NA</v>
          </cell>
          <cell r="C198" t="str">
            <v>NA</v>
          </cell>
          <cell r="D198" t="str">
            <v>NA</v>
          </cell>
          <cell r="E198" t="str">
            <v>NA</v>
          </cell>
          <cell r="F198" t="str">
            <v>NA</v>
          </cell>
          <cell r="G198" t="str">
            <v>NA</v>
          </cell>
        </row>
        <row r="199">
          <cell r="A199" t="str">
            <v>NA</v>
          </cell>
          <cell r="B199" t="str">
            <v>NA</v>
          </cell>
          <cell r="C199" t="str">
            <v>NA</v>
          </cell>
          <cell r="D199" t="str">
            <v>NA</v>
          </cell>
          <cell r="E199" t="str">
            <v>NA</v>
          </cell>
          <cell r="F199" t="str">
            <v>NA</v>
          </cell>
          <cell r="G199" t="str">
            <v>NA</v>
          </cell>
        </row>
        <row r="200">
          <cell r="A200" t="str">
            <v>NA</v>
          </cell>
          <cell r="B200" t="str">
            <v>NA</v>
          </cell>
          <cell r="C200" t="str">
            <v>NA</v>
          </cell>
          <cell r="D200" t="str">
            <v>NA</v>
          </cell>
          <cell r="E200" t="str">
            <v>NA</v>
          </cell>
          <cell r="F200" t="str">
            <v>NA</v>
          </cell>
          <cell r="G200" t="str">
            <v>NA</v>
          </cell>
        </row>
        <row r="201">
          <cell r="A201" t="str">
            <v>NA</v>
          </cell>
          <cell r="B201" t="str">
            <v>NA</v>
          </cell>
          <cell r="C201" t="str">
            <v>NA</v>
          </cell>
          <cell r="D201" t="str">
            <v>NA</v>
          </cell>
          <cell r="E201" t="str">
            <v>NA</v>
          </cell>
          <cell r="F201" t="str">
            <v>NA</v>
          </cell>
          <cell r="G201" t="str">
            <v>NA</v>
          </cell>
        </row>
        <row r="202">
          <cell r="A202" t="str">
            <v>NA</v>
          </cell>
          <cell r="B202" t="str">
            <v>NA</v>
          </cell>
          <cell r="C202" t="str">
            <v>NA</v>
          </cell>
          <cell r="D202" t="str">
            <v>NA</v>
          </cell>
          <cell r="E202" t="str">
            <v>NA</v>
          </cell>
          <cell r="F202" t="str">
            <v>NA</v>
          </cell>
          <cell r="G202" t="str">
            <v>NA</v>
          </cell>
        </row>
        <row r="203">
          <cell r="A203" t="str">
            <v>NA</v>
          </cell>
          <cell r="B203" t="str">
            <v>NA</v>
          </cell>
          <cell r="C203" t="str">
            <v>NA</v>
          </cell>
          <cell r="D203" t="str">
            <v>NA</v>
          </cell>
          <cell r="E203" t="str">
            <v>NA</v>
          </cell>
          <cell r="F203" t="str">
            <v>NA</v>
          </cell>
          <cell r="G203" t="str">
            <v>NA</v>
          </cell>
        </row>
        <row r="204">
          <cell r="A204" t="str">
            <v>NA</v>
          </cell>
          <cell r="B204" t="str">
            <v>NA</v>
          </cell>
          <cell r="C204" t="str">
            <v>NA</v>
          </cell>
          <cell r="D204" t="str">
            <v>NA</v>
          </cell>
          <cell r="E204" t="str">
            <v>NA</v>
          </cell>
          <cell r="F204" t="str">
            <v>NA</v>
          </cell>
          <cell r="G204" t="str">
            <v>NA</v>
          </cell>
        </row>
        <row r="205">
          <cell r="A205" t="str">
            <v>NA</v>
          </cell>
          <cell r="B205" t="str">
            <v>NA</v>
          </cell>
          <cell r="C205" t="str">
            <v>NA</v>
          </cell>
          <cell r="D205" t="str">
            <v>NA</v>
          </cell>
          <cell r="E205" t="str">
            <v>NA</v>
          </cell>
          <cell r="F205" t="str">
            <v>NA</v>
          </cell>
          <cell r="G205" t="str">
            <v>NA</v>
          </cell>
        </row>
        <row r="206">
          <cell r="A206" t="str">
            <v>NA</v>
          </cell>
          <cell r="B206" t="str">
            <v>NA</v>
          </cell>
          <cell r="C206" t="str">
            <v>NA</v>
          </cell>
          <cell r="D206" t="str">
            <v>NA</v>
          </cell>
          <cell r="E206" t="str">
            <v>NA</v>
          </cell>
          <cell r="F206" t="str">
            <v>NA</v>
          </cell>
          <cell r="G206" t="str">
            <v>NA</v>
          </cell>
        </row>
        <row r="207">
          <cell r="A207" t="str">
            <v>NA</v>
          </cell>
          <cell r="B207" t="str">
            <v>NA</v>
          </cell>
          <cell r="C207" t="str">
            <v>NA</v>
          </cell>
          <cell r="D207" t="str">
            <v>NA</v>
          </cell>
          <cell r="E207" t="str">
            <v>NA</v>
          </cell>
          <cell r="F207" t="str">
            <v>NA</v>
          </cell>
          <cell r="G207" t="str">
            <v>NA</v>
          </cell>
        </row>
        <row r="208">
          <cell r="A208" t="str">
            <v>NA</v>
          </cell>
          <cell r="B208" t="str">
            <v>NA</v>
          </cell>
          <cell r="C208" t="str">
            <v>NA</v>
          </cell>
          <cell r="D208" t="str">
            <v>NA</v>
          </cell>
          <cell r="E208" t="str">
            <v>NA</v>
          </cell>
          <cell r="F208" t="str">
            <v>NA</v>
          </cell>
          <cell r="G208" t="str">
            <v>NA</v>
          </cell>
        </row>
        <row r="209">
          <cell r="A209" t="str">
            <v>NA</v>
          </cell>
          <cell r="B209" t="str">
            <v>NA</v>
          </cell>
          <cell r="C209" t="str">
            <v>NA</v>
          </cell>
          <cell r="D209" t="str">
            <v>NA</v>
          </cell>
          <cell r="E209" t="str">
            <v>NA</v>
          </cell>
          <cell r="F209" t="str">
            <v>NA</v>
          </cell>
          <cell r="G209" t="str">
            <v>NA</v>
          </cell>
        </row>
        <row r="210">
          <cell r="A210" t="str">
            <v>NA</v>
          </cell>
          <cell r="B210" t="str">
            <v>NA</v>
          </cell>
          <cell r="C210" t="str">
            <v>NA</v>
          </cell>
          <cell r="D210" t="str">
            <v>NA</v>
          </cell>
          <cell r="E210" t="str">
            <v>NA</v>
          </cell>
          <cell r="F210" t="str">
            <v>NA</v>
          </cell>
          <cell r="G210" t="str">
            <v>NA</v>
          </cell>
        </row>
        <row r="211">
          <cell r="A211" t="str">
            <v>NA</v>
          </cell>
          <cell r="B211" t="str">
            <v>NA</v>
          </cell>
          <cell r="C211" t="str">
            <v>NA</v>
          </cell>
          <cell r="D211" t="str">
            <v>NA</v>
          </cell>
          <cell r="E211" t="str">
            <v>NA</v>
          </cell>
          <cell r="F211" t="str">
            <v>NA</v>
          </cell>
          <cell r="G211" t="str">
            <v>NA</v>
          </cell>
        </row>
        <row r="212">
          <cell r="A212" t="str">
            <v>NA</v>
          </cell>
          <cell r="B212" t="str">
            <v>NA</v>
          </cell>
          <cell r="C212" t="str">
            <v>NA</v>
          </cell>
          <cell r="D212" t="str">
            <v>NA</v>
          </cell>
          <cell r="E212" t="str">
            <v>NA</v>
          </cell>
          <cell r="F212" t="str">
            <v>NA</v>
          </cell>
          <cell r="G212" t="str">
            <v>NA</v>
          </cell>
        </row>
        <row r="213">
          <cell r="A213" t="str">
            <v>NA</v>
          </cell>
          <cell r="B213" t="str">
            <v>NA</v>
          </cell>
          <cell r="C213" t="str">
            <v>NA</v>
          </cell>
          <cell r="D213" t="str">
            <v>NA</v>
          </cell>
          <cell r="E213" t="str">
            <v>NA</v>
          </cell>
          <cell r="F213" t="str">
            <v>NA</v>
          </cell>
          <cell r="G213" t="str">
            <v>NA</v>
          </cell>
        </row>
        <row r="214">
          <cell r="A214" t="str">
            <v>NA</v>
          </cell>
          <cell r="B214" t="str">
            <v>NA</v>
          </cell>
          <cell r="C214" t="str">
            <v>NA</v>
          </cell>
          <cell r="D214" t="str">
            <v>NA</v>
          </cell>
          <cell r="E214" t="str">
            <v>NA</v>
          </cell>
          <cell r="F214" t="str">
            <v>NA</v>
          </cell>
          <cell r="G214" t="str">
            <v>NA</v>
          </cell>
        </row>
        <row r="215">
          <cell r="A215" t="str">
            <v>NA</v>
          </cell>
          <cell r="B215" t="str">
            <v>NA</v>
          </cell>
          <cell r="C215" t="str">
            <v>NA</v>
          </cell>
          <cell r="D215" t="str">
            <v>NA</v>
          </cell>
          <cell r="E215" t="str">
            <v>NA</v>
          </cell>
          <cell r="F215" t="str">
            <v>NA</v>
          </cell>
          <cell r="G215" t="str">
            <v>NA</v>
          </cell>
        </row>
        <row r="216">
          <cell r="A216" t="str">
            <v>NA</v>
          </cell>
          <cell r="B216" t="str">
            <v>NA</v>
          </cell>
          <cell r="C216" t="str">
            <v>NA</v>
          </cell>
          <cell r="D216" t="str">
            <v>NA</v>
          </cell>
          <cell r="E216" t="str">
            <v>NA</v>
          </cell>
          <cell r="F216" t="str">
            <v>NA</v>
          </cell>
          <cell r="G216" t="str">
            <v>NA</v>
          </cell>
        </row>
        <row r="217">
          <cell r="A217" t="str">
            <v>NA</v>
          </cell>
          <cell r="B217" t="str">
            <v>NA</v>
          </cell>
          <cell r="C217" t="str">
            <v>NA</v>
          </cell>
          <cell r="D217" t="str">
            <v>NA</v>
          </cell>
          <cell r="E217" t="str">
            <v>NA</v>
          </cell>
          <cell r="F217" t="str">
            <v>NA</v>
          </cell>
          <cell r="G217" t="str">
            <v>NA</v>
          </cell>
        </row>
        <row r="218">
          <cell r="A218" t="str">
            <v>NA</v>
          </cell>
          <cell r="B218" t="str">
            <v>NA</v>
          </cell>
          <cell r="C218" t="str">
            <v>NA</v>
          </cell>
          <cell r="D218" t="str">
            <v>NA</v>
          </cell>
          <cell r="E218" t="str">
            <v>NA</v>
          </cell>
          <cell r="F218" t="str">
            <v>NA</v>
          </cell>
          <cell r="G218" t="str">
            <v>NA</v>
          </cell>
        </row>
        <row r="219">
          <cell r="A219" t="str">
            <v>NA</v>
          </cell>
          <cell r="B219" t="str">
            <v>NA</v>
          </cell>
          <cell r="C219" t="str">
            <v>NA</v>
          </cell>
          <cell r="D219" t="str">
            <v>NA</v>
          </cell>
          <cell r="E219" t="str">
            <v>NA</v>
          </cell>
          <cell r="F219" t="str">
            <v>NA</v>
          </cell>
          <cell r="G219" t="str">
            <v>NA</v>
          </cell>
        </row>
        <row r="220">
          <cell r="A220" t="str">
            <v>NA</v>
          </cell>
          <cell r="B220" t="str">
            <v>NA</v>
          </cell>
          <cell r="C220" t="str">
            <v>NA</v>
          </cell>
          <cell r="D220" t="str">
            <v>NA</v>
          </cell>
          <cell r="E220" t="str">
            <v>NA</v>
          </cell>
          <cell r="F220" t="str">
            <v>NA</v>
          </cell>
          <cell r="G220" t="str">
            <v>NA</v>
          </cell>
        </row>
        <row r="221">
          <cell r="A221" t="str">
            <v>NA</v>
          </cell>
          <cell r="B221" t="str">
            <v>NA</v>
          </cell>
          <cell r="C221" t="str">
            <v>NA</v>
          </cell>
          <cell r="D221" t="str">
            <v>NA</v>
          </cell>
          <cell r="E221" t="str">
            <v>NA</v>
          </cell>
          <cell r="F221" t="str">
            <v>NA</v>
          </cell>
          <cell r="G221" t="str">
            <v>NA</v>
          </cell>
        </row>
        <row r="222">
          <cell r="A222" t="str">
            <v>NA</v>
          </cell>
          <cell r="B222" t="str">
            <v>NA</v>
          </cell>
          <cell r="C222" t="str">
            <v>NA</v>
          </cell>
          <cell r="D222" t="str">
            <v>NA</v>
          </cell>
          <cell r="E222" t="str">
            <v>NA</v>
          </cell>
          <cell r="F222" t="str">
            <v>NA</v>
          </cell>
          <cell r="G222" t="str">
            <v>NA</v>
          </cell>
        </row>
        <row r="223">
          <cell r="A223" t="str">
            <v>NA</v>
          </cell>
          <cell r="B223" t="str">
            <v>NA</v>
          </cell>
          <cell r="C223" t="str">
            <v>NA</v>
          </cell>
          <cell r="D223" t="str">
            <v>NA</v>
          </cell>
          <cell r="E223" t="str">
            <v>NA</v>
          </cell>
          <cell r="F223" t="str">
            <v>NA</v>
          </cell>
          <cell r="G223" t="str">
            <v>NA</v>
          </cell>
        </row>
        <row r="224">
          <cell r="A224" t="str">
            <v>NA</v>
          </cell>
          <cell r="B224" t="str">
            <v>NA</v>
          </cell>
          <cell r="C224" t="str">
            <v>NA</v>
          </cell>
          <cell r="D224" t="str">
            <v>NA</v>
          </cell>
          <cell r="E224" t="str">
            <v>NA</v>
          </cell>
          <cell r="F224" t="str">
            <v>NA</v>
          </cell>
          <cell r="G224" t="str">
            <v>NA</v>
          </cell>
        </row>
        <row r="225">
          <cell r="A225" t="str">
            <v>NA</v>
          </cell>
          <cell r="B225" t="str">
            <v>NA</v>
          </cell>
          <cell r="C225" t="str">
            <v>NA</v>
          </cell>
          <cell r="D225" t="str">
            <v>NA</v>
          </cell>
          <cell r="E225" t="str">
            <v>NA</v>
          </cell>
          <cell r="F225" t="str">
            <v>NA</v>
          </cell>
          <cell r="G225" t="str">
            <v>NA</v>
          </cell>
        </row>
        <row r="226">
          <cell r="A226" t="str">
            <v>NA</v>
          </cell>
          <cell r="B226" t="str">
            <v>NA</v>
          </cell>
          <cell r="C226" t="str">
            <v>NA</v>
          </cell>
          <cell r="D226" t="str">
            <v>NA</v>
          </cell>
          <cell r="E226" t="str">
            <v>NA</v>
          </cell>
          <cell r="F226" t="str">
            <v>NA</v>
          </cell>
          <cell r="G226" t="str">
            <v>NA</v>
          </cell>
        </row>
        <row r="227">
          <cell r="A227" t="str">
            <v>NA</v>
          </cell>
          <cell r="B227" t="str">
            <v>NA</v>
          </cell>
          <cell r="C227" t="str">
            <v>NA</v>
          </cell>
          <cell r="D227" t="str">
            <v>NA</v>
          </cell>
          <cell r="E227" t="str">
            <v>NA</v>
          </cell>
          <cell r="F227" t="str">
            <v>NA</v>
          </cell>
          <cell r="G227" t="str">
            <v>NA</v>
          </cell>
        </row>
        <row r="228">
          <cell r="A228" t="str">
            <v>NA</v>
          </cell>
          <cell r="B228" t="str">
            <v>NA</v>
          </cell>
          <cell r="C228" t="str">
            <v>NA</v>
          </cell>
          <cell r="D228" t="str">
            <v>NA</v>
          </cell>
          <cell r="E228" t="str">
            <v>NA</v>
          </cell>
          <cell r="F228" t="str">
            <v>NA</v>
          </cell>
          <cell r="G228" t="str">
            <v>NA</v>
          </cell>
        </row>
        <row r="229">
          <cell r="A229" t="str">
            <v>NA</v>
          </cell>
          <cell r="B229" t="str">
            <v>NA</v>
          </cell>
          <cell r="C229" t="str">
            <v>NA</v>
          </cell>
          <cell r="D229" t="str">
            <v>NA</v>
          </cell>
          <cell r="E229" t="str">
            <v>NA</v>
          </cell>
          <cell r="F229" t="str">
            <v>NA</v>
          </cell>
          <cell r="G229" t="str">
            <v>NA</v>
          </cell>
        </row>
        <row r="230">
          <cell r="A230" t="str">
            <v>NA</v>
          </cell>
          <cell r="B230" t="str">
            <v>NA</v>
          </cell>
          <cell r="C230" t="str">
            <v>NA</v>
          </cell>
          <cell r="D230" t="str">
            <v>NA</v>
          </cell>
          <cell r="E230" t="str">
            <v>NA</v>
          </cell>
          <cell r="F230" t="str">
            <v>NA</v>
          </cell>
          <cell r="G230" t="str">
            <v>NA</v>
          </cell>
        </row>
        <row r="231">
          <cell r="A231" t="str">
            <v>NA</v>
          </cell>
          <cell r="B231" t="str">
            <v>NA</v>
          </cell>
          <cell r="C231" t="str">
            <v>NA</v>
          </cell>
          <cell r="D231" t="str">
            <v>NA</v>
          </cell>
          <cell r="E231" t="str">
            <v>NA</v>
          </cell>
          <cell r="F231" t="str">
            <v>NA</v>
          </cell>
          <cell r="G231" t="str">
            <v>NA</v>
          </cell>
        </row>
        <row r="232">
          <cell r="A232" t="str">
            <v>NA</v>
          </cell>
          <cell r="B232" t="str">
            <v>NA</v>
          </cell>
          <cell r="C232" t="str">
            <v>NA</v>
          </cell>
          <cell r="D232" t="str">
            <v>NA</v>
          </cell>
          <cell r="E232" t="str">
            <v>NA</v>
          </cell>
          <cell r="F232" t="str">
            <v>NA</v>
          </cell>
          <cell r="G232" t="str">
            <v>NA</v>
          </cell>
        </row>
        <row r="233">
          <cell r="A233" t="str">
            <v>NA</v>
          </cell>
          <cell r="B233" t="str">
            <v>NA</v>
          </cell>
          <cell r="C233" t="str">
            <v>NA</v>
          </cell>
          <cell r="D233" t="str">
            <v>NA</v>
          </cell>
          <cell r="E233" t="str">
            <v>NA</v>
          </cell>
          <cell r="F233" t="str">
            <v>NA</v>
          </cell>
          <cell r="G233" t="str">
            <v>NA</v>
          </cell>
        </row>
        <row r="234">
          <cell r="A234" t="str">
            <v>NA</v>
          </cell>
          <cell r="B234" t="str">
            <v>NA</v>
          </cell>
          <cell r="C234" t="str">
            <v>NA</v>
          </cell>
          <cell r="D234" t="str">
            <v>NA</v>
          </cell>
          <cell r="E234" t="str">
            <v>NA</v>
          </cell>
          <cell r="F234" t="str">
            <v>NA</v>
          </cell>
          <cell r="G234" t="str">
            <v>NA</v>
          </cell>
        </row>
        <row r="235">
          <cell r="A235" t="str">
            <v>NA</v>
          </cell>
          <cell r="B235" t="str">
            <v>NA</v>
          </cell>
          <cell r="C235" t="str">
            <v>NA</v>
          </cell>
          <cell r="D235" t="str">
            <v>NA</v>
          </cell>
          <cell r="E235" t="str">
            <v>NA</v>
          </cell>
          <cell r="F235" t="str">
            <v>NA</v>
          </cell>
          <cell r="G235" t="str">
            <v>NA</v>
          </cell>
        </row>
        <row r="236">
          <cell r="A236" t="str">
            <v>NA</v>
          </cell>
          <cell r="B236" t="str">
            <v>NA</v>
          </cell>
          <cell r="C236" t="str">
            <v>NA</v>
          </cell>
          <cell r="D236" t="str">
            <v>NA</v>
          </cell>
          <cell r="E236" t="str">
            <v>NA</v>
          </cell>
          <cell r="F236" t="str">
            <v>NA</v>
          </cell>
          <cell r="G236" t="str">
            <v>NA</v>
          </cell>
        </row>
        <row r="237">
          <cell r="A237" t="str">
            <v>NA</v>
          </cell>
          <cell r="B237" t="str">
            <v>NA</v>
          </cell>
          <cell r="C237" t="str">
            <v>NA</v>
          </cell>
          <cell r="D237" t="str">
            <v>NA</v>
          </cell>
          <cell r="E237" t="str">
            <v>NA</v>
          </cell>
          <cell r="F237" t="str">
            <v>NA</v>
          </cell>
          <cell r="G237" t="str">
            <v>NA</v>
          </cell>
        </row>
        <row r="238">
          <cell r="A238" t="str">
            <v>NA</v>
          </cell>
          <cell r="B238" t="str">
            <v>NA</v>
          </cell>
          <cell r="C238" t="str">
            <v>NA</v>
          </cell>
          <cell r="D238" t="str">
            <v>NA</v>
          </cell>
          <cell r="E238" t="str">
            <v>NA</v>
          </cell>
          <cell r="F238" t="str">
            <v>NA</v>
          </cell>
          <cell r="G238" t="str">
            <v>NA</v>
          </cell>
        </row>
        <row r="239">
          <cell r="A239" t="str">
            <v>NA</v>
          </cell>
          <cell r="B239" t="str">
            <v>NA</v>
          </cell>
          <cell r="C239" t="str">
            <v>NA</v>
          </cell>
          <cell r="D239" t="str">
            <v>NA</v>
          </cell>
          <cell r="E239" t="str">
            <v>NA</v>
          </cell>
          <cell r="F239" t="str">
            <v>NA</v>
          </cell>
          <cell r="G239" t="str">
            <v>NA</v>
          </cell>
        </row>
        <row r="240">
          <cell r="A240" t="str">
            <v>NA</v>
          </cell>
          <cell r="B240" t="str">
            <v>NA</v>
          </cell>
          <cell r="C240" t="str">
            <v>NA</v>
          </cell>
          <cell r="D240" t="str">
            <v>NA</v>
          </cell>
          <cell r="E240" t="str">
            <v>NA</v>
          </cell>
          <cell r="F240" t="str">
            <v>NA</v>
          </cell>
          <cell r="G240" t="str">
            <v>NA</v>
          </cell>
        </row>
        <row r="241">
          <cell r="A241" t="str">
            <v>NA</v>
          </cell>
          <cell r="B241" t="str">
            <v>NA</v>
          </cell>
          <cell r="C241" t="str">
            <v>NA</v>
          </cell>
          <cell r="D241" t="str">
            <v>NA</v>
          </cell>
          <cell r="E241" t="str">
            <v>NA</v>
          </cell>
          <cell r="F241" t="str">
            <v>NA</v>
          </cell>
          <cell r="G241" t="str">
            <v>NA</v>
          </cell>
        </row>
        <row r="242">
          <cell r="A242" t="str">
            <v>NA</v>
          </cell>
          <cell r="B242" t="str">
            <v>NA</v>
          </cell>
          <cell r="C242" t="str">
            <v>NA</v>
          </cell>
          <cell r="D242" t="str">
            <v>NA</v>
          </cell>
          <cell r="E242" t="str">
            <v>NA</v>
          </cell>
          <cell r="F242" t="str">
            <v>NA</v>
          </cell>
          <cell r="G242" t="str">
            <v>NA</v>
          </cell>
        </row>
        <row r="243">
          <cell r="A243" t="str">
            <v>NA</v>
          </cell>
          <cell r="B243" t="str">
            <v>NA</v>
          </cell>
          <cell r="C243" t="str">
            <v>NA</v>
          </cell>
          <cell r="D243" t="str">
            <v>NA</v>
          </cell>
          <cell r="E243" t="str">
            <v>NA</v>
          </cell>
          <cell r="F243" t="str">
            <v>NA</v>
          </cell>
          <cell r="G243" t="str">
            <v>NA</v>
          </cell>
        </row>
        <row r="244">
          <cell r="A244" t="str">
            <v>NA</v>
          </cell>
          <cell r="B244" t="str">
            <v>NA</v>
          </cell>
          <cell r="C244" t="str">
            <v>NA</v>
          </cell>
          <cell r="D244" t="str">
            <v>NA</v>
          </cell>
          <cell r="E244" t="str">
            <v>NA</v>
          </cell>
          <cell r="F244" t="str">
            <v>NA</v>
          </cell>
          <cell r="G244" t="str">
            <v>NA</v>
          </cell>
        </row>
        <row r="245">
          <cell r="A245" t="str">
            <v>NA</v>
          </cell>
          <cell r="B245" t="str">
            <v>NA</v>
          </cell>
          <cell r="C245" t="str">
            <v>NA</v>
          </cell>
          <cell r="D245" t="str">
            <v>NA</v>
          </cell>
          <cell r="E245" t="str">
            <v>NA</v>
          </cell>
          <cell r="F245" t="str">
            <v>NA</v>
          </cell>
          <cell r="G245" t="str">
            <v>NA</v>
          </cell>
        </row>
        <row r="246">
          <cell r="A246" t="str">
            <v>NA</v>
          </cell>
          <cell r="B246" t="str">
            <v>NA</v>
          </cell>
          <cell r="C246" t="str">
            <v>NA</v>
          </cell>
          <cell r="D246" t="str">
            <v>NA</v>
          </cell>
          <cell r="E246" t="str">
            <v>NA</v>
          </cell>
          <cell r="F246" t="str">
            <v>NA</v>
          </cell>
          <cell r="G246" t="str">
            <v>NA</v>
          </cell>
        </row>
        <row r="247">
          <cell r="A247" t="str">
            <v>NA</v>
          </cell>
          <cell r="B247" t="str">
            <v>NA</v>
          </cell>
          <cell r="C247" t="str">
            <v>NA</v>
          </cell>
          <cell r="D247" t="str">
            <v>NA</v>
          </cell>
          <cell r="E247" t="str">
            <v>NA</v>
          </cell>
          <cell r="F247" t="str">
            <v>NA</v>
          </cell>
          <cell r="G247" t="str">
            <v>NA</v>
          </cell>
        </row>
        <row r="248">
          <cell r="A248" t="str">
            <v>NA</v>
          </cell>
          <cell r="B248" t="str">
            <v>NA</v>
          </cell>
          <cell r="C248" t="str">
            <v>NA</v>
          </cell>
          <cell r="D248" t="str">
            <v>NA</v>
          </cell>
          <cell r="E248" t="str">
            <v>NA</v>
          </cell>
          <cell r="F248" t="str">
            <v>NA</v>
          </cell>
          <cell r="G248" t="str">
            <v>NA</v>
          </cell>
        </row>
        <row r="249">
          <cell r="A249" t="str">
            <v>NA</v>
          </cell>
          <cell r="B249" t="str">
            <v>NA</v>
          </cell>
          <cell r="C249" t="str">
            <v>NA</v>
          </cell>
          <cell r="D249" t="str">
            <v>NA</v>
          </cell>
          <cell r="E249" t="str">
            <v>NA</v>
          </cell>
          <cell r="F249" t="str">
            <v>NA</v>
          </cell>
          <cell r="G249" t="str">
            <v>NA</v>
          </cell>
        </row>
        <row r="250">
          <cell r="A250" t="str">
            <v>NA</v>
          </cell>
          <cell r="B250" t="str">
            <v>NA</v>
          </cell>
          <cell r="C250" t="str">
            <v>NA</v>
          </cell>
          <cell r="D250" t="str">
            <v>NA</v>
          </cell>
          <cell r="E250" t="str">
            <v>NA</v>
          </cell>
          <cell r="F250" t="str">
            <v>NA</v>
          </cell>
          <cell r="G250" t="str">
            <v>NA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A3" t="str">
            <v>date</v>
          </cell>
          <cell r="B3" t="str">
            <v>Eff_DAP_cumul</v>
          </cell>
          <cell r="C3" t="str">
            <v>Eff_DAP_poss</v>
          </cell>
          <cell r="D3" t="str">
            <v>Nb_DAP</v>
          </cell>
          <cell r="E3" t="str">
            <v>Nb_ul</v>
          </cell>
          <cell r="F3" t="str">
            <v>Var_DAP</v>
          </cell>
          <cell r="G3" t="str">
            <v>Var_DAP_bis</v>
          </cell>
          <cell r="H3" t="str">
            <v>Var_Eff_DAP</v>
          </cell>
          <cell r="I3" t="str">
            <v>Heur_DAP_cumul</v>
          </cell>
          <cell r="J3" t="str">
            <v>Var_Heur_DAP</v>
          </cell>
          <cell r="K3" t="str">
            <v>H_par_par_sal</v>
          </cell>
          <cell r="L3" t="str">
            <v>Nb_semaine</v>
          </cell>
          <cell r="M3" t="str">
            <v>part_MN</v>
          </cell>
          <cell r="N3" t="str">
            <v>part_GZ</v>
          </cell>
          <cell r="O3" t="str">
            <v>part_FZ</v>
          </cell>
          <cell r="P3" t="str">
            <v>Eff_DAP_r11</v>
          </cell>
          <cell r="Q3" t="str">
            <v>Eff_DAP_r84</v>
          </cell>
          <cell r="R3" t="str">
            <v>Nb_DAP_att</v>
          </cell>
          <cell r="S3" t="str">
            <v>Part_DAP_att</v>
          </cell>
          <cell r="T3" t="str">
            <v>Eff_DAP_att</v>
          </cell>
          <cell r="U3" t="str">
            <v>Eff_DAP_refu</v>
          </cell>
          <cell r="V3" t="str">
            <v>Var_Eff_DAP_poss</v>
          </cell>
          <cell r="W3" t="str">
            <v>Evo_Eff_DAP_poss</v>
          </cell>
          <cell r="X3" t="str">
            <v>Eff_DI_mars</v>
          </cell>
          <cell r="Y3" t="str">
            <v>Heur_DI_mars</v>
          </cell>
          <cell r="Z3" t="str">
            <v>DI_mars</v>
          </cell>
          <cell r="AA3" t="str">
            <v>DI_ul_mars</v>
          </cell>
          <cell r="AB3" t="str">
            <v>Var_DI_mars</v>
          </cell>
          <cell r="AC3" t="str">
            <v>Var_Eff_DI_mars</v>
          </cell>
          <cell r="AD3" t="str">
            <v>Var_Heur_DI_mars</v>
          </cell>
          <cell r="AE3" t="str">
            <v>Eff_DI_r11_mars</v>
          </cell>
          <cell r="AF3" t="str">
            <v>Eff_DI_r84_mars</v>
          </cell>
          <cell r="AG3" t="str">
            <v>DI_mars_val</v>
          </cell>
          <cell r="AH3" t="str">
            <v>Part_DI_mars_val</v>
          </cell>
          <cell r="AI3" t="str">
            <v>Heur_DI_mars_val</v>
          </cell>
          <cell r="AJ3" t="str">
            <v>Montan_DI_mars_val</v>
          </cell>
          <cell r="AK3" t="str">
            <v>Cout_mh_mars</v>
          </cell>
          <cell r="AL3" t="str">
            <v>DAP_mars</v>
          </cell>
          <cell r="AM3" t="str">
            <v>Eff_DAP_mars</v>
          </cell>
          <cell r="AN3" t="str">
            <v>Part_DAP_DI_mars</v>
          </cell>
          <cell r="AO3" t="str">
            <v>Part_Eff_DAP_DI_mars</v>
          </cell>
          <cell r="AP3" t="str">
            <v>TT_Eff_ulT1_mars</v>
          </cell>
          <cell r="AQ3" t="str">
            <v>TT_Eff_ulT6_mars</v>
          </cell>
          <cell r="AR3" t="str">
            <v>TT_Eff_ulT1a2_mars</v>
          </cell>
          <cell r="AS3" t="str">
            <v>Eff_DI_avril</v>
          </cell>
          <cell r="AT3" t="str">
            <v>Heur_DI_avril</v>
          </cell>
          <cell r="AU3" t="str">
            <v>DI_avril</v>
          </cell>
          <cell r="AV3" t="str">
            <v>DI_ul_avril</v>
          </cell>
          <cell r="AW3" t="str">
            <v>Var_DI_avril</v>
          </cell>
          <cell r="AX3" t="str">
            <v>Var_Eff_DI_avril</v>
          </cell>
          <cell r="AY3" t="str">
            <v>Var_Heur_DI_avril</v>
          </cell>
          <cell r="AZ3" t="str">
            <v>Eff_DI_r11_avril</v>
          </cell>
          <cell r="BA3" t="str">
            <v>Eff_DI_r84_avril</v>
          </cell>
          <cell r="BB3" t="str">
            <v>DI_avril_val</v>
          </cell>
          <cell r="BC3" t="str">
            <v>Part_DI_avril_val</v>
          </cell>
          <cell r="BD3" t="str">
            <v>Heur_DI_avril_val</v>
          </cell>
          <cell r="BE3" t="str">
            <v>Montan_DI_avril_val</v>
          </cell>
          <cell r="BF3" t="str">
            <v>Cout_mh_avril</v>
          </cell>
          <cell r="BG3" t="str">
            <v>DAP_avril</v>
          </cell>
          <cell r="BH3" t="str">
            <v>Eff_DAP_avril</v>
          </cell>
          <cell r="BI3" t="str">
            <v>Part_DAP_DI_avril</v>
          </cell>
          <cell r="BJ3" t="str">
            <v>Part_Eff_DAP_DI_avril</v>
          </cell>
          <cell r="BK3" t="str">
            <v>Eff_DI_mai</v>
          </cell>
          <cell r="BL3" t="str">
            <v>Heur_DI_mai</v>
          </cell>
          <cell r="BM3" t="str">
            <v>DI_mai</v>
          </cell>
          <cell r="BN3" t="str">
            <v>DI_ul_mai</v>
          </cell>
          <cell r="BO3" t="str">
            <v>Var_DI_mai</v>
          </cell>
          <cell r="BP3" t="str">
            <v>Var_Eff_DI_mai</v>
          </cell>
          <cell r="BQ3" t="str">
            <v>Var_Heur_DI_mai</v>
          </cell>
          <cell r="BR3" t="str">
            <v>Eff_DI_r11_mai</v>
          </cell>
          <cell r="BS3" t="str">
            <v>Eff_DI_r84_mai</v>
          </cell>
          <cell r="BT3" t="str">
            <v>DI_mai_val</v>
          </cell>
          <cell r="BU3" t="str">
            <v>Part_DI_mai_val</v>
          </cell>
          <cell r="BV3" t="str">
            <v>Heur_DI_mai_val</v>
          </cell>
          <cell r="BW3" t="str">
            <v>Montan_DI_mai_val</v>
          </cell>
          <cell r="BX3" t="str">
            <v>Cout_mh_mai</v>
          </cell>
          <cell r="BY3" t="str">
            <v>DAP_mai</v>
          </cell>
          <cell r="BZ3" t="str">
            <v>Eff_DAP_mai</v>
          </cell>
          <cell r="CA3" t="str">
            <v>Part_DAP_DI_mai</v>
          </cell>
          <cell r="CB3" t="str">
            <v>Part_Eff_DAP_DI_mai</v>
          </cell>
          <cell r="CC3">
            <v>0</v>
          </cell>
          <cell r="CD3">
            <v>0</v>
          </cell>
          <cell r="CE3">
            <v>0</v>
          </cell>
          <cell r="CF3">
            <v>0</v>
          </cell>
          <cell r="CG3">
            <v>0</v>
          </cell>
          <cell r="CH3">
            <v>0</v>
          </cell>
          <cell r="CI3">
            <v>0</v>
          </cell>
          <cell r="CJ3">
            <v>0</v>
          </cell>
          <cell r="CK3">
            <v>0</v>
          </cell>
          <cell r="CL3">
            <v>0</v>
          </cell>
          <cell r="CM3">
            <v>0</v>
          </cell>
          <cell r="CN3">
            <v>0</v>
          </cell>
          <cell r="CO3">
            <v>0</v>
          </cell>
          <cell r="CP3">
            <v>0</v>
          </cell>
          <cell r="CQ3">
            <v>0</v>
          </cell>
          <cell r="CR3">
            <v>0</v>
          </cell>
          <cell r="CS3">
            <v>0</v>
          </cell>
          <cell r="CT3">
            <v>0</v>
          </cell>
          <cell r="CU3">
            <v>0</v>
          </cell>
          <cell r="CV3">
            <v>0</v>
          </cell>
        </row>
        <row r="4">
          <cell r="A4">
            <v>43991</v>
          </cell>
          <cell r="B4">
            <v>13.3</v>
          </cell>
          <cell r="C4">
            <v>11.2</v>
          </cell>
          <cell r="D4">
            <v>1390000</v>
          </cell>
          <cell r="E4">
            <v>1056000</v>
          </cell>
          <cell r="F4">
            <v>3700</v>
          </cell>
          <cell r="G4">
            <v>20000</v>
          </cell>
          <cell r="H4">
            <v>0.1</v>
          </cell>
          <cell r="I4">
            <v>5.8</v>
          </cell>
          <cell r="J4">
            <v>50</v>
          </cell>
          <cell r="K4">
            <v>434</v>
          </cell>
          <cell r="L4">
            <v>12</v>
          </cell>
          <cell r="M4">
            <v>20</v>
          </cell>
          <cell r="N4">
            <v>16</v>
          </cell>
          <cell r="O4">
            <v>11</v>
          </cell>
          <cell r="P4">
            <v>25</v>
          </cell>
          <cell r="Q4">
            <v>13</v>
          </cell>
          <cell r="R4">
            <v>29000</v>
          </cell>
          <cell r="S4">
            <v>2</v>
          </cell>
          <cell r="T4">
            <v>0.4</v>
          </cell>
          <cell r="U4">
            <v>357</v>
          </cell>
          <cell r="V4">
            <v>-684000</v>
          </cell>
          <cell r="W4">
            <v>-6.1</v>
          </cell>
          <cell r="X4">
            <v>6.2</v>
          </cell>
          <cell r="Y4">
            <v>285</v>
          </cell>
          <cell r="Z4">
            <v>975000</v>
          </cell>
          <cell r="AA4">
            <v>837000</v>
          </cell>
          <cell r="AB4">
            <v>32000</v>
          </cell>
          <cell r="AC4">
            <v>0.4</v>
          </cell>
          <cell r="AD4">
            <v>18</v>
          </cell>
          <cell r="AE4">
            <v>23</v>
          </cell>
          <cell r="AF4">
            <v>13</v>
          </cell>
          <cell r="AG4">
            <v>963000</v>
          </cell>
          <cell r="AH4">
            <v>99</v>
          </cell>
          <cell r="AI4">
            <v>279</v>
          </cell>
          <cell r="AJ4">
            <v>2.8</v>
          </cell>
          <cell r="AK4">
            <v>10.029999999999999</v>
          </cell>
          <cell r="AL4">
            <v>1101000</v>
          </cell>
          <cell r="AM4">
            <v>11</v>
          </cell>
          <cell r="AN4">
            <v>88</v>
          </cell>
          <cell r="AO4">
            <v>56</v>
          </cell>
          <cell r="AP4">
            <v>76</v>
          </cell>
          <cell r="AQ4">
            <v>36</v>
          </cell>
          <cell r="AR4">
            <v>88</v>
          </cell>
          <cell r="AS4">
            <v>6.6</v>
          </cell>
          <cell r="AT4">
            <v>644</v>
          </cell>
          <cell r="AU4">
            <v>1051000</v>
          </cell>
          <cell r="AV4">
            <v>909000</v>
          </cell>
          <cell r="AW4">
            <v>73000</v>
          </cell>
          <cell r="AX4">
            <v>0.9</v>
          </cell>
          <cell r="AY4">
            <v>77</v>
          </cell>
          <cell r="AZ4">
            <v>24</v>
          </cell>
          <cell r="BA4">
            <v>13</v>
          </cell>
          <cell r="BB4">
            <v>1031000</v>
          </cell>
          <cell r="BC4">
            <v>98</v>
          </cell>
          <cell r="BD4">
            <v>624</v>
          </cell>
          <cell r="BE4">
            <v>6.4</v>
          </cell>
          <cell r="BF4">
            <v>10.210000000000001</v>
          </cell>
          <cell r="BG4">
            <v>1227000</v>
          </cell>
          <cell r="BH4">
            <v>12</v>
          </cell>
          <cell r="BI4">
            <v>85</v>
          </cell>
          <cell r="BJ4">
            <v>54</v>
          </cell>
          <cell r="BK4">
            <v>2.4</v>
          </cell>
          <cell r="BL4">
            <v>149</v>
          </cell>
          <cell r="BM4">
            <v>461000</v>
          </cell>
          <cell r="BN4">
            <v>418000</v>
          </cell>
          <cell r="BO4">
            <v>357000</v>
          </cell>
          <cell r="BP4">
            <v>1.9</v>
          </cell>
          <cell r="BQ4">
            <v>118</v>
          </cell>
          <cell r="BR4">
            <v>7</v>
          </cell>
          <cell r="BS4">
            <v>12</v>
          </cell>
          <cell r="BT4">
            <v>429000</v>
          </cell>
          <cell r="BU4">
            <v>93</v>
          </cell>
          <cell r="BV4">
            <v>136</v>
          </cell>
          <cell r="BW4">
            <v>1.4</v>
          </cell>
          <cell r="BX4">
            <v>10.45</v>
          </cell>
          <cell r="BY4">
            <v>1252000</v>
          </cell>
          <cell r="BZ4">
            <v>12.3</v>
          </cell>
          <cell r="CA4">
            <v>37</v>
          </cell>
          <cell r="CB4">
            <v>20</v>
          </cell>
          <cell r="CT4">
            <v>0</v>
          </cell>
          <cell r="CU4">
            <v>0</v>
          </cell>
        </row>
        <row r="5">
          <cell r="A5">
            <v>43998</v>
          </cell>
          <cell r="B5">
            <v>13.5</v>
          </cell>
          <cell r="C5">
            <v>11.3</v>
          </cell>
          <cell r="D5">
            <v>1405000</v>
          </cell>
          <cell r="E5">
            <v>1060000</v>
          </cell>
          <cell r="F5">
            <v>3300</v>
          </cell>
          <cell r="G5">
            <v>17000</v>
          </cell>
          <cell r="H5">
            <v>0.2</v>
          </cell>
          <cell r="I5">
            <v>5.9</v>
          </cell>
          <cell r="J5">
            <v>46</v>
          </cell>
          <cell r="K5">
            <v>437</v>
          </cell>
          <cell r="L5">
            <v>12</v>
          </cell>
          <cell r="M5">
            <v>20</v>
          </cell>
          <cell r="N5">
            <v>16</v>
          </cell>
          <cell r="O5">
            <v>11</v>
          </cell>
          <cell r="P5">
            <v>25</v>
          </cell>
          <cell r="Q5">
            <v>12</v>
          </cell>
          <cell r="R5">
            <v>32000</v>
          </cell>
          <cell r="S5">
            <v>2</v>
          </cell>
          <cell r="T5">
            <v>0.5</v>
          </cell>
          <cell r="U5">
            <v>371</v>
          </cell>
          <cell r="V5">
            <v>-759000</v>
          </cell>
          <cell r="W5">
            <v>-6.7</v>
          </cell>
          <cell r="X5">
            <v>6.3</v>
          </cell>
          <cell r="Y5">
            <v>290</v>
          </cell>
          <cell r="Z5">
            <v>984000</v>
          </cell>
          <cell r="AA5">
            <v>842000</v>
          </cell>
          <cell r="AB5">
            <v>30000</v>
          </cell>
          <cell r="AC5">
            <v>0.4</v>
          </cell>
          <cell r="AD5">
            <v>16</v>
          </cell>
          <cell r="AE5">
            <v>23</v>
          </cell>
          <cell r="AF5">
            <v>13</v>
          </cell>
          <cell r="AG5">
            <v>972000</v>
          </cell>
          <cell r="AH5">
            <v>99</v>
          </cell>
          <cell r="AI5">
            <v>284</v>
          </cell>
          <cell r="AJ5">
            <v>2.9</v>
          </cell>
          <cell r="AK5">
            <v>10.039999999999999</v>
          </cell>
          <cell r="AL5">
            <v>1102000</v>
          </cell>
          <cell r="AM5">
            <v>11</v>
          </cell>
          <cell r="AN5">
            <v>89</v>
          </cell>
          <cell r="AO5">
            <v>57</v>
          </cell>
          <cell r="AP5">
            <v>76</v>
          </cell>
          <cell r="AQ5">
            <v>38</v>
          </cell>
          <cell r="AR5">
            <v>88</v>
          </cell>
          <cell r="AS5">
            <v>7</v>
          </cell>
          <cell r="AT5">
            <v>686</v>
          </cell>
          <cell r="AU5">
            <v>1081000</v>
          </cell>
          <cell r="AV5">
            <v>925000</v>
          </cell>
          <cell r="AW5">
            <v>70000</v>
          </cell>
          <cell r="AX5">
            <v>0.9</v>
          </cell>
          <cell r="AY5">
            <v>83</v>
          </cell>
          <cell r="AZ5">
            <v>24</v>
          </cell>
          <cell r="BA5">
            <v>13</v>
          </cell>
          <cell r="BB5">
            <v>1062000</v>
          </cell>
          <cell r="BC5">
            <v>98</v>
          </cell>
          <cell r="BD5">
            <v>665</v>
          </cell>
          <cell r="BE5">
            <v>6.8</v>
          </cell>
          <cell r="BF5">
            <v>10.28</v>
          </cell>
          <cell r="BG5">
            <v>1230000</v>
          </cell>
          <cell r="BH5">
            <v>12</v>
          </cell>
          <cell r="BI5">
            <v>87</v>
          </cell>
          <cell r="BJ5">
            <v>58</v>
          </cell>
          <cell r="BK5">
            <v>3.9</v>
          </cell>
          <cell r="BL5">
            <v>238</v>
          </cell>
          <cell r="BM5">
            <v>749000</v>
          </cell>
          <cell r="BN5">
            <v>674000</v>
          </cell>
          <cell r="BO5">
            <v>320000</v>
          </cell>
          <cell r="BP5">
            <v>1.8</v>
          </cell>
          <cell r="BQ5">
            <v>103</v>
          </cell>
          <cell r="BR5">
            <v>7</v>
          </cell>
          <cell r="BS5">
            <v>12</v>
          </cell>
          <cell r="BT5">
            <v>723000</v>
          </cell>
          <cell r="BU5">
            <v>97</v>
          </cell>
          <cell r="BV5">
            <v>226</v>
          </cell>
          <cell r="BW5">
            <v>2.2999999999999998</v>
          </cell>
          <cell r="BX5">
            <v>10.33</v>
          </cell>
          <cell r="BY5">
            <v>1261000</v>
          </cell>
          <cell r="BZ5">
            <v>12.4</v>
          </cell>
          <cell r="CA5">
            <v>59</v>
          </cell>
          <cell r="CB5">
            <v>32</v>
          </cell>
          <cell r="CT5">
            <v>0</v>
          </cell>
          <cell r="CU5">
            <v>0</v>
          </cell>
        </row>
        <row r="6">
          <cell r="A6">
            <v>44011</v>
          </cell>
          <cell r="B6">
            <v>13.9</v>
          </cell>
          <cell r="C6">
            <v>11.2</v>
          </cell>
          <cell r="D6">
            <v>1430000</v>
          </cell>
          <cell r="E6">
            <v>1066000</v>
          </cell>
          <cell r="F6">
            <v>3400</v>
          </cell>
          <cell r="G6">
            <v>16000</v>
          </cell>
          <cell r="H6">
            <v>0.2</v>
          </cell>
          <cell r="I6">
            <v>6.1</v>
          </cell>
          <cell r="J6">
            <v>74</v>
          </cell>
          <cell r="K6">
            <v>443</v>
          </cell>
          <cell r="L6">
            <v>12.7</v>
          </cell>
          <cell r="M6">
            <v>20</v>
          </cell>
          <cell r="N6">
            <v>16</v>
          </cell>
          <cell r="O6">
            <v>11</v>
          </cell>
          <cell r="P6">
            <v>25</v>
          </cell>
          <cell r="Q6">
            <v>12</v>
          </cell>
          <cell r="R6">
            <v>47000</v>
          </cell>
          <cell r="S6">
            <v>3</v>
          </cell>
          <cell r="T6">
            <v>0.9</v>
          </cell>
          <cell r="U6">
            <v>454</v>
          </cell>
          <cell r="V6">
            <v>-954000</v>
          </cell>
          <cell r="W6">
            <v>-8.5</v>
          </cell>
          <cell r="X6">
            <v>6.4</v>
          </cell>
          <cell r="Y6">
            <v>296</v>
          </cell>
          <cell r="Z6">
            <v>993000</v>
          </cell>
          <cell r="AA6">
            <v>847000</v>
          </cell>
          <cell r="AB6">
            <v>18000</v>
          </cell>
          <cell r="AC6">
            <v>0.2</v>
          </cell>
          <cell r="AD6">
            <v>11</v>
          </cell>
          <cell r="AE6">
            <v>23</v>
          </cell>
          <cell r="AF6">
            <v>13</v>
          </cell>
          <cell r="AG6">
            <v>980000</v>
          </cell>
          <cell r="AH6">
            <v>99</v>
          </cell>
          <cell r="AI6">
            <v>289</v>
          </cell>
          <cell r="AJ6">
            <v>2.9</v>
          </cell>
          <cell r="AK6">
            <v>10.06</v>
          </cell>
          <cell r="AL6">
            <v>1104000</v>
          </cell>
          <cell r="AM6">
            <v>11.1</v>
          </cell>
          <cell r="AN6">
            <v>90</v>
          </cell>
          <cell r="AO6">
            <v>58</v>
          </cell>
          <cell r="AP6">
            <v>76</v>
          </cell>
          <cell r="AQ6">
            <v>40</v>
          </cell>
          <cell r="AR6">
            <v>88</v>
          </cell>
          <cell r="AS6">
            <v>7.4</v>
          </cell>
          <cell r="AT6">
            <v>720</v>
          </cell>
          <cell r="AU6">
            <v>1107000</v>
          </cell>
          <cell r="AV6">
            <v>938000</v>
          </cell>
          <cell r="AW6">
            <v>34000</v>
          </cell>
          <cell r="AX6">
            <v>0.5</v>
          </cell>
          <cell r="AY6">
            <v>40</v>
          </cell>
          <cell r="AZ6">
            <v>24</v>
          </cell>
          <cell r="BA6">
            <v>13</v>
          </cell>
          <cell r="BB6">
            <v>1087000</v>
          </cell>
          <cell r="BC6">
            <v>98</v>
          </cell>
          <cell r="BD6">
            <v>700</v>
          </cell>
          <cell r="BE6">
            <v>7.3</v>
          </cell>
          <cell r="BF6">
            <v>10.37</v>
          </cell>
          <cell r="BG6">
            <v>1233000</v>
          </cell>
          <cell r="BH6">
            <v>12.1</v>
          </cell>
          <cell r="BI6">
            <v>89</v>
          </cell>
          <cell r="BJ6">
            <v>61</v>
          </cell>
          <cell r="BK6">
            <v>5</v>
          </cell>
          <cell r="BL6">
            <v>299</v>
          </cell>
          <cell r="BM6">
            <v>896000</v>
          </cell>
          <cell r="BN6">
            <v>792000</v>
          </cell>
          <cell r="BO6">
            <v>70000</v>
          </cell>
          <cell r="BP6">
            <v>0.7</v>
          </cell>
          <cell r="BQ6">
            <v>36</v>
          </cell>
          <cell r="BR6">
            <v>25</v>
          </cell>
          <cell r="BS6">
            <v>12</v>
          </cell>
          <cell r="BT6">
            <v>868000</v>
          </cell>
          <cell r="BU6">
            <v>97</v>
          </cell>
          <cell r="BV6">
            <v>285</v>
          </cell>
          <cell r="BW6">
            <v>2.9</v>
          </cell>
          <cell r="BX6">
            <v>10.35</v>
          </cell>
          <cell r="BY6">
            <v>1269000</v>
          </cell>
          <cell r="BZ6">
            <v>12.5</v>
          </cell>
          <cell r="CA6">
            <v>70</v>
          </cell>
          <cell r="CB6">
            <v>40</v>
          </cell>
          <cell r="CT6">
            <v>0</v>
          </cell>
          <cell r="CU6">
            <v>0</v>
          </cell>
        </row>
        <row r="7">
          <cell r="A7">
            <v>44018</v>
          </cell>
          <cell r="B7">
            <v>14</v>
          </cell>
          <cell r="C7">
            <v>6.5</v>
          </cell>
          <cell r="D7">
            <v>1444000</v>
          </cell>
          <cell r="E7">
            <v>1068000</v>
          </cell>
          <cell r="F7">
            <v>2500</v>
          </cell>
          <cell r="G7">
            <v>15000</v>
          </cell>
          <cell r="H7">
            <v>0.2</v>
          </cell>
          <cell r="I7">
            <v>6.3</v>
          </cell>
          <cell r="J7">
            <v>47</v>
          </cell>
          <cell r="K7">
            <v>446</v>
          </cell>
          <cell r="L7">
            <v>12.7</v>
          </cell>
          <cell r="M7">
            <v>20</v>
          </cell>
          <cell r="N7">
            <v>16</v>
          </cell>
          <cell r="O7">
            <v>11</v>
          </cell>
          <cell r="P7">
            <v>25</v>
          </cell>
          <cell r="Q7">
            <v>12</v>
          </cell>
          <cell r="R7">
            <v>35000</v>
          </cell>
          <cell r="S7">
            <v>2</v>
          </cell>
          <cell r="T7">
            <v>0.5</v>
          </cell>
          <cell r="U7">
            <v>539</v>
          </cell>
          <cell r="V7">
            <v>-5667000</v>
          </cell>
          <cell r="W7">
            <v>-87.2</v>
          </cell>
          <cell r="X7">
            <v>6.5</v>
          </cell>
          <cell r="Y7">
            <v>298</v>
          </cell>
          <cell r="Z7">
            <v>996000</v>
          </cell>
          <cell r="AA7">
            <v>2000</v>
          </cell>
          <cell r="AB7">
            <v>17000</v>
          </cell>
          <cell r="AC7">
            <v>0.2</v>
          </cell>
          <cell r="AD7">
            <v>10</v>
          </cell>
          <cell r="AE7">
            <v>23</v>
          </cell>
          <cell r="AF7">
            <v>13</v>
          </cell>
          <cell r="AG7">
            <v>984000</v>
          </cell>
          <cell r="AH7">
            <v>99</v>
          </cell>
          <cell r="AI7">
            <v>292</v>
          </cell>
          <cell r="AJ7">
            <v>2.9</v>
          </cell>
          <cell r="AK7">
            <v>10.06</v>
          </cell>
          <cell r="AL7">
            <v>1105000</v>
          </cell>
          <cell r="AM7">
            <v>11.1</v>
          </cell>
          <cell r="AN7">
            <v>90</v>
          </cell>
          <cell r="AO7">
            <v>58</v>
          </cell>
          <cell r="AP7">
            <v>76</v>
          </cell>
          <cell r="AQ7">
            <v>40</v>
          </cell>
          <cell r="AR7">
            <v>88</v>
          </cell>
          <cell r="AS7">
            <v>7.6</v>
          </cell>
          <cell r="AT7">
            <v>734</v>
          </cell>
          <cell r="AU7">
            <v>1116000</v>
          </cell>
          <cell r="AV7">
            <v>848000</v>
          </cell>
          <cell r="AW7">
            <v>29000</v>
          </cell>
          <cell r="AX7">
            <v>0.4</v>
          </cell>
          <cell r="AY7">
            <v>38</v>
          </cell>
          <cell r="AZ7">
            <v>25</v>
          </cell>
          <cell r="BA7">
            <v>13</v>
          </cell>
          <cell r="BB7">
            <v>1101000</v>
          </cell>
          <cell r="BC7">
            <v>99</v>
          </cell>
          <cell r="BD7">
            <v>717</v>
          </cell>
          <cell r="BE7">
            <v>7.4</v>
          </cell>
          <cell r="BF7">
            <v>10.39</v>
          </cell>
          <cell r="BG7">
            <v>1235000</v>
          </cell>
          <cell r="BH7">
            <v>12.1</v>
          </cell>
          <cell r="BI7">
            <v>89</v>
          </cell>
          <cell r="BJ7">
            <v>62</v>
          </cell>
          <cell r="BK7">
            <v>5.4</v>
          </cell>
          <cell r="BL7">
            <v>321</v>
          </cell>
          <cell r="BM7">
            <v>928000</v>
          </cell>
          <cell r="BN7">
            <v>942000</v>
          </cell>
          <cell r="BO7">
            <v>54000</v>
          </cell>
          <cell r="BP7">
            <v>0.7</v>
          </cell>
          <cell r="BQ7">
            <v>35</v>
          </cell>
          <cell r="BR7">
            <v>25</v>
          </cell>
          <cell r="BS7">
            <v>12</v>
          </cell>
          <cell r="BT7">
            <v>911000</v>
          </cell>
          <cell r="BU7">
            <v>98</v>
          </cell>
          <cell r="BV7">
            <v>312</v>
          </cell>
          <cell r="BW7">
            <v>3.3</v>
          </cell>
          <cell r="BX7">
            <v>10.45</v>
          </cell>
          <cell r="BY7">
            <v>1271000</v>
          </cell>
          <cell r="BZ7">
            <v>12.5</v>
          </cell>
          <cell r="CA7">
            <v>73</v>
          </cell>
          <cell r="CB7">
            <v>43</v>
          </cell>
          <cell r="CT7">
            <v>0</v>
          </cell>
          <cell r="CU7">
            <v>0</v>
          </cell>
        </row>
        <row r="8">
          <cell r="A8">
            <v>44026</v>
          </cell>
          <cell r="B8">
            <v>14.1</v>
          </cell>
          <cell r="C8">
            <v>6.6</v>
          </cell>
          <cell r="D8">
            <v>1455000</v>
          </cell>
          <cell r="E8">
            <v>1070000</v>
          </cell>
          <cell r="F8">
            <v>400</v>
          </cell>
          <cell r="G8">
            <v>9000</v>
          </cell>
          <cell r="H8">
            <v>0.1</v>
          </cell>
          <cell r="I8">
            <v>6.3</v>
          </cell>
          <cell r="J8">
            <v>25</v>
          </cell>
          <cell r="K8">
            <v>447</v>
          </cell>
          <cell r="L8">
            <v>12.8</v>
          </cell>
          <cell r="M8">
            <v>20</v>
          </cell>
          <cell r="N8">
            <v>16</v>
          </cell>
          <cell r="O8">
            <v>11</v>
          </cell>
          <cell r="P8">
            <v>25</v>
          </cell>
          <cell r="Q8">
            <v>12</v>
          </cell>
          <cell r="R8">
            <v>38000</v>
          </cell>
          <cell r="S8">
            <v>3</v>
          </cell>
          <cell r="T8">
            <v>0.5</v>
          </cell>
          <cell r="U8">
            <v>604</v>
          </cell>
          <cell r="V8">
            <v>-5546000</v>
          </cell>
          <cell r="W8">
            <v>-83.5</v>
          </cell>
          <cell r="X8">
            <v>6.5</v>
          </cell>
          <cell r="Y8">
            <v>299</v>
          </cell>
          <cell r="Z8">
            <v>998000</v>
          </cell>
          <cell r="AA8">
            <v>850000</v>
          </cell>
          <cell r="AB8">
            <v>15000</v>
          </cell>
          <cell r="AC8">
            <v>0.2</v>
          </cell>
          <cell r="AD8">
            <v>9</v>
          </cell>
          <cell r="AE8">
            <v>23</v>
          </cell>
          <cell r="AF8">
            <v>13</v>
          </cell>
          <cell r="AG8">
            <v>987000</v>
          </cell>
          <cell r="AH8">
            <v>99</v>
          </cell>
          <cell r="AI8">
            <v>294</v>
          </cell>
          <cell r="AJ8">
            <v>3</v>
          </cell>
          <cell r="AK8">
            <v>10.07</v>
          </cell>
          <cell r="AL8">
            <v>1105000</v>
          </cell>
          <cell r="AM8">
            <v>11.1</v>
          </cell>
          <cell r="AN8">
            <v>90</v>
          </cell>
          <cell r="AO8">
            <v>58</v>
          </cell>
          <cell r="AP8">
            <v>76</v>
          </cell>
          <cell r="AQ8">
            <v>41</v>
          </cell>
          <cell r="AR8">
            <v>88</v>
          </cell>
          <cell r="AS8">
            <v>7.7</v>
          </cell>
          <cell r="AT8">
            <v>745</v>
          </cell>
          <cell r="AU8">
            <v>1123000</v>
          </cell>
          <cell r="AV8">
            <v>946000</v>
          </cell>
          <cell r="AW8">
            <v>23000</v>
          </cell>
          <cell r="AX8">
            <v>0.4</v>
          </cell>
          <cell r="AY8">
            <v>31</v>
          </cell>
          <cell r="AZ8">
            <v>25</v>
          </cell>
          <cell r="BA8">
            <v>13</v>
          </cell>
          <cell r="BB8">
            <v>1108000</v>
          </cell>
          <cell r="BC8">
            <v>99</v>
          </cell>
          <cell r="BD8">
            <v>730</v>
          </cell>
          <cell r="BE8">
            <v>7.6</v>
          </cell>
          <cell r="BF8">
            <v>10.41</v>
          </cell>
          <cell r="BG8">
            <v>1236000</v>
          </cell>
          <cell r="BH8">
            <v>12.1</v>
          </cell>
          <cell r="BI8">
            <v>90</v>
          </cell>
          <cell r="BJ8">
            <v>63</v>
          </cell>
          <cell r="BK8">
            <v>5.8</v>
          </cell>
          <cell r="BL8">
            <v>341</v>
          </cell>
          <cell r="BM8">
            <v>953000</v>
          </cell>
          <cell r="BN8">
            <v>824000</v>
          </cell>
          <cell r="BO8">
            <v>39000</v>
          </cell>
          <cell r="BP8">
            <v>0.5</v>
          </cell>
          <cell r="BQ8">
            <v>28</v>
          </cell>
          <cell r="BR8">
            <v>26</v>
          </cell>
          <cell r="BS8">
            <v>12</v>
          </cell>
          <cell r="BT8">
            <v>937000</v>
          </cell>
          <cell r="BU8">
            <v>98</v>
          </cell>
          <cell r="BV8">
            <v>331</v>
          </cell>
          <cell r="BW8">
            <v>3.5</v>
          </cell>
          <cell r="BX8">
            <v>10.52</v>
          </cell>
          <cell r="BY8">
            <v>1273000</v>
          </cell>
          <cell r="BZ8">
            <v>12.6</v>
          </cell>
          <cell r="CA8">
            <v>75</v>
          </cell>
          <cell r="CB8">
            <v>46</v>
          </cell>
          <cell r="CT8">
            <v>0</v>
          </cell>
          <cell r="CU8">
            <v>0</v>
          </cell>
        </row>
        <row r="9">
          <cell r="A9">
            <v>44032</v>
          </cell>
          <cell r="B9">
            <v>14.2</v>
          </cell>
          <cell r="C9">
            <v>6.8</v>
          </cell>
          <cell r="D9">
            <v>1462000</v>
          </cell>
          <cell r="E9">
            <v>1071000</v>
          </cell>
          <cell r="F9">
            <v>2200</v>
          </cell>
          <cell r="G9">
            <v>8000</v>
          </cell>
          <cell r="H9">
            <v>0.1</v>
          </cell>
          <cell r="I9">
            <v>6.4</v>
          </cell>
          <cell r="J9">
            <v>25</v>
          </cell>
          <cell r="K9">
            <v>449</v>
          </cell>
          <cell r="L9">
            <v>12.8</v>
          </cell>
          <cell r="M9">
            <v>20</v>
          </cell>
          <cell r="N9">
            <v>16</v>
          </cell>
          <cell r="O9">
            <v>11</v>
          </cell>
          <cell r="P9">
            <v>25</v>
          </cell>
          <cell r="Q9">
            <v>12</v>
          </cell>
          <cell r="R9">
            <v>34000</v>
          </cell>
          <cell r="S9">
            <v>2</v>
          </cell>
          <cell r="T9">
            <v>0.5</v>
          </cell>
          <cell r="U9">
            <v>728</v>
          </cell>
          <cell r="V9">
            <v>-5404000</v>
          </cell>
          <cell r="W9">
            <v>-79.599999999999994</v>
          </cell>
          <cell r="X9">
            <v>6.5</v>
          </cell>
          <cell r="Y9">
            <v>301</v>
          </cell>
          <cell r="Z9">
            <v>1000000</v>
          </cell>
          <cell r="AA9">
            <v>851000</v>
          </cell>
          <cell r="AB9">
            <v>15000</v>
          </cell>
          <cell r="AC9">
            <v>0.2</v>
          </cell>
          <cell r="AD9">
            <v>9</v>
          </cell>
          <cell r="AE9">
            <v>23</v>
          </cell>
          <cell r="AF9">
            <v>13</v>
          </cell>
          <cell r="AG9">
            <v>989000</v>
          </cell>
          <cell r="AH9">
            <v>99</v>
          </cell>
          <cell r="AI9">
            <v>295</v>
          </cell>
          <cell r="AJ9">
            <v>3</v>
          </cell>
          <cell r="AK9">
            <v>10.09</v>
          </cell>
          <cell r="AL9">
            <v>1106000</v>
          </cell>
          <cell r="AM9">
            <v>11.1</v>
          </cell>
          <cell r="AN9">
            <v>90</v>
          </cell>
          <cell r="AO9">
            <v>59</v>
          </cell>
          <cell r="AP9">
            <v>76</v>
          </cell>
          <cell r="AQ9">
            <v>42</v>
          </cell>
          <cell r="AR9">
            <v>88</v>
          </cell>
          <cell r="AS9">
            <v>7.8</v>
          </cell>
          <cell r="AT9">
            <v>756</v>
          </cell>
          <cell r="AU9">
            <v>1128000</v>
          </cell>
          <cell r="AV9">
            <v>948000</v>
          </cell>
          <cell r="AW9">
            <v>23000</v>
          </cell>
          <cell r="AX9">
            <v>0.4</v>
          </cell>
          <cell r="AY9">
            <v>33</v>
          </cell>
          <cell r="AZ9">
            <v>25</v>
          </cell>
          <cell r="BA9">
            <v>13</v>
          </cell>
          <cell r="BB9">
            <v>1114000</v>
          </cell>
          <cell r="BC9">
            <v>99</v>
          </cell>
          <cell r="BD9">
            <v>739</v>
          </cell>
          <cell r="BE9">
            <v>7.7</v>
          </cell>
          <cell r="BF9">
            <v>10.4</v>
          </cell>
          <cell r="BG9">
            <v>1237000</v>
          </cell>
          <cell r="BH9">
            <v>12.2</v>
          </cell>
          <cell r="BI9">
            <v>90</v>
          </cell>
          <cell r="BJ9">
            <v>64</v>
          </cell>
          <cell r="BK9">
            <v>6.1</v>
          </cell>
          <cell r="BL9">
            <v>356</v>
          </cell>
          <cell r="BM9">
            <v>970000</v>
          </cell>
          <cell r="BN9">
            <v>833000</v>
          </cell>
          <cell r="BO9">
            <v>36000</v>
          </cell>
          <cell r="BP9">
            <v>0.5</v>
          </cell>
          <cell r="BQ9">
            <v>27</v>
          </cell>
          <cell r="BR9">
            <v>26</v>
          </cell>
          <cell r="BS9">
            <v>12</v>
          </cell>
          <cell r="BT9">
            <v>955000</v>
          </cell>
          <cell r="BU9">
            <v>98</v>
          </cell>
          <cell r="BV9">
            <v>346</v>
          </cell>
          <cell r="BW9">
            <v>3.7</v>
          </cell>
          <cell r="BX9">
            <v>10.58</v>
          </cell>
          <cell r="BY9">
            <v>1274000</v>
          </cell>
          <cell r="BZ9">
            <v>12.6</v>
          </cell>
          <cell r="CA9">
            <v>76</v>
          </cell>
          <cell r="CB9">
            <v>48</v>
          </cell>
          <cell r="CT9">
            <v>0</v>
          </cell>
          <cell r="CU9">
            <v>0</v>
          </cell>
        </row>
        <row r="10">
          <cell r="A10">
            <v>44039</v>
          </cell>
          <cell r="B10">
            <v>14.3</v>
          </cell>
          <cell r="C10">
            <v>7</v>
          </cell>
          <cell r="D10">
            <v>1470000</v>
          </cell>
          <cell r="E10">
            <v>1072000</v>
          </cell>
          <cell r="F10">
            <v>2100</v>
          </cell>
          <cell r="G10">
            <v>9000</v>
          </cell>
          <cell r="H10">
            <v>0.1</v>
          </cell>
          <cell r="I10">
            <v>6.4</v>
          </cell>
          <cell r="J10">
            <v>34</v>
          </cell>
          <cell r="K10">
            <v>451</v>
          </cell>
          <cell r="L10">
            <v>12.9</v>
          </cell>
          <cell r="M10">
            <v>20</v>
          </cell>
          <cell r="N10">
            <v>16</v>
          </cell>
          <cell r="O10">
            <v>11</v>
          </cell>
          <cell r="P10">
            <v>25</v>
          </cell>
          <cell r="Q10">
            <v>12</v>
          </cell>
          <cell r="R10">
            <v>33000</v>
          </cell>
          <cell r="S10">
            <v>2</v>
          </cell>
          <cell r="T10">
            <v>0.5</v>
          </cell>
          <cell r="U10">
            <v>875</v>
          </cell>
          <cell r="V10">
            <v>-5208000</v>
          </cell>
          <cell r="W10">
            <v>-74.3</v>
          </cell>
          <cell r="X10">
            <v>6.6</v>
          </cell>
          <cell r="Y10">
            <v>302</v>
          </cell>
          <cell r="Z10">
            <v>1002000</v>
          </cell>
          <cell r="AA10">
            <v>852000</v>
          </cell>
          <cell r="AB10">
            <v>15000</v>
          </cell>
          <cell r="AC10">
            <v>0.2</v>
          </cell>
          <cell r="AD10">
            <v>8</v>
          </cell>
          <cell r="AE10">
            <v>23</v>
          </cell>
          <cell r="AF10">
            <v>13</v>
          </cell>
          <cell r="AG10">
            <v>992000</v>
          </cell>
          <cell r="AH10">
            <v>99</v>
          </cell>
          <cell r="AI10">
            <v>296</v>
          </cell>
          <cell r="AJ10">
            <v>3</v>
          </cell>
          <cell r="AK10">
            <v>10.09</v>
          </cell>
          <cell r="AL10">
            <v>1107000</v>
          </cell>
          <cell r="AM10">
            <v>11.1</v>
          </cell>
          <cell r="AN10">
            <v>90</v>
          </cell>
          <cell r="AO10">
            <v>59</v>
          </cell>
          <cell r="AP10">
            <v>76</v>
          </cell>
          <cell r="AQ10">
            <v>43</v>
          </cell>
          <cell r="AR10">
            <v>87</v>
          </cell>
          <cell r="AS10">
            <v>7.9</v>
          </cell>
          <cell r="AT10">
            <v>764</v>
          </cell>
          <cell r="AU10">
            <v>1133000</v>
          </cell>
          <cell r="AV10">
            <v>951000</v>
          </cell>
          <cell r="AW10">
            <v>22000</v>
          </cell>
          <cell r="AX10">
            <v>0.3</v>
          </cell>
          <cell r="AY10">
            <v>29</v>
          </cell>
          <cell r="AZ10">
            <v>25</v>
          </cell>
          <cell r="BA10">
            <v>12</v>
          </cell>
          <cell r="BB10">
            <v>1119000</v>
          </cell>
          <cell r="BC10">
            <v>99</v>
          </cell>
          <cell r="BD10">
            <v>749</v>
          </cell>
          <cell r="BE10">
            <v>7.8</v>
          </cell>
          <cell r="BF10">
            <v>10.44</v>
          </cell>
          <cell r="BG10">
            <v>1238000</v>
          </cell>
          <cell r="BH10">
            <v>12.2</v>
          </cell>
          <cell r="BI10">
            <v>90</v>
          </cell>
          <cell r="BJ10">
            <v>65</v>
          </cell>
          <cell r="BK10">
            <v>6.3</v>
          </cell>
          <cell r="BL10">
            <v>370</v>
          </cell>
          <cell r="BM10">
            <v>985000</v>
          </cell>
          <cell r="BN10">
            <v>840000</v>
          </cell>
          <cell r="BO10">
            <v>32000</v>
          </cell>
          <cell r="BP10">
            <v>0.5</v>
          </cell>
          <cell r="BQ10">
            <v>25</v>
          </cell>
          <cell r="BR10">
            <v>26</v>
          </cell>
          <cell r="BS10">
            <v>12</v>
          </cell>
          <cell r="BT10">
            <v>971000</v>
          </cell>
          <cell r="BU10">
            <v>99</v>
          </cell>
          <cell r="BV10">
            <v>362</v>
          </cell>
          <cell r="BW10">
            <v>3.9</v>
          </cell>
          <cell r="BX10">
            <v>10.66</v>
          </cell>
          <cell r="BY10">
            <v>1276000</v>
          </cell>
          <cell r="BZ10">
            <v>12.6</v>
          </cell>
          <cell r="CA10">
            <v>77</v>
          </cell>
          <cell r="CB10">
            <v>50</v>
          </cell>
          <cell r="CT10">
            <v>0</v>
          </cell>
          <cell r="CU10">
            <v>0</v>
          </cell>
        </row>
        <row r="11">
          <cell r="A11">
            <v>44039</v>
          </cell>
          <cell r="B11">
            <v>14.3</v>
          </cell>
          <cell r="C11">
            <v>7</v>
          </cell>
          <cell r="D11">
            <v>1470000</v>
          </cell>
          <cell r="E11">
            <v>1072000</v>
          </cell>
          <cell r="F11">
            <v>2100</v>
          </cell>
          <cell r="G11">
            <v>9000</v>
          </cell>
          <cell r="H11">
            <v>0.1</v>
          </cell>
          <cell r="I11">
            <v>6.4</v>
          </cell>
          <cell r="J11">
            <v>34</v>
          </cell>
          <cell r="K11">
            <v>451</v>
          </cell>
          <cell r="L11">
            <v>12.9</v>
          </cell>
          <cell r="M11">
            <v>20</v>
          </cell>
          <cell r="N11">
            <v>16</v>
          </cell>
          <cell r="O11">
            <v>11</v>
          </cell>
          <cell r="P11">
            <v>25</v>
          </cell>
          <cell r="Q11">
            <v>12</v>
          </cell>
          <cell r="R11">
            <v>33000</v>
          </cell>
          <cell r="S11">
            <v>2</v>
          </cell>
          <cell r="T11">
            <v>0.5</v>
          </cell>
          <cell r="U11">
            <v>875</v>
          </cell>
          <cell r="V11">
            <v>-5208000</v>
          </cell>
          <cell r="W11">
            <v>-74.3</v>
          </cell>
          <cell r="X11">
            <v>6.6</v>
          </cell>
          <cell r="Y11">
            <v>302</v>
          </cell>
          <cell r="Z11">
            <v>1002000</v>
          </cell>
          <cell r="AA11">
            <v>852000</v>
          </cell>
          <cell r="AB11">
            <v>15000</v>
          </cell>
          <cell r="AC11">
            <v>0.2</v>
          </cell>
          <cell r="AD11">
            <v>8</v>
          </cell>
          <cell r="AE11">
            <v>23</v>
          </cell>
          <cell r="AF11">
            <v>13</v>
          </cell>
          <cell r="AG11">
            <v>992000</v>
          </cell>
          <cell r="AH11">
            <v>99</v>
          </cell>
          <cell r="AI11">
            <v>296</v>
          </cell>
          <cell r="AJ11">
            <v>3</v>
          </cell>
          <cell r="AK11">
            <v>10.09</v>
          </cell>
          <cell r="AL11">
            <v>1107000</v>
          </cell>
          <cell r="AM11">
            <v>11.1</v>
          </cell>
          <cell r="AN11">
            <v>90</v>
          </cell>
          <cell r="AO11">
            <v>59</v>
          </cell>
          <cell r="AP11">
            <v>76</v>
          </cell>
          <cell r="AQ11">
            <v>43</v>
          </cell>
          <cell r="AR11">
            <v>87</v>
          </cell>
          <cell r="AS11">
            <v>7.9</v>
          </cell>
          <cell r="AT11">
            <v>764</v>
          </cell>
          <cell r="AU11">
            <v>1133000</v>
          </cell>
          <cell r="AV11">
            <v>951000</v>
          </cell>
          <cell r="AW11">
            <v>22000</v>
          </cell>
          <cell r="AX11">
            <v>0.3</v>
          </cell>
          <cell r="AY11">
            <v>29</v>
          </cell>
          <cell r="AZ11">
            <v>25</v>
          </cell>
          <cell r="BA11">
            <v>12</v>
          </cell>
          <cell r="BB11">
            <v>1119000</v>
          </cell>
          <cell r="BC11">
            <v>99</v>
          </cell>
          <cell r="BD11">
            <v>749</v>
          </cell>
          <cell r="BE11">
            <v>7.8</v>
          </cell>
          <cell r="BF11">
            <v>10.44</v>
          </cell>
          <cell r="BG11">
            <v>1238000</v>
          </cell>
          <cell r="BH11">
            <v>12.2</v>
          </cell>
          <cell r="BI11">
            <v>90</v>
          </cell>
          <cell r="BJ11">
            <v>65</v>
          </cell>
          <cell r="BK11">
            <v>6.3</v>
          </cell>
          <cell r="BL11">
            <v>370</v>
          </cell>
          <cell r="BM11">
            <v>985000</v>
          </cell>
          <cell r="BN11">
            <v>840000</v>
          </cell>
          <cell r="BO11">
            <v>32000</v>
          </cell>
          <cell r="BP11">
            <v>0.5</v>
          </cell>
          <cell r="BQ11">
            <v>25</v>
          </cell>
          <cell r="BR11">
            <v>26</v>
          </cell>
          <cell r="BS11">
            <v>12</v>
          </cell>
          <cell r="BT11">
            <v>971000</v>
          </cell>
          <cell r="BU11">
            <v>99</v>
          </cell>
          <cell r="BV11">
            <v>362</v>
          </cell>
          <cell r="BW11">
            <v>3.9</v>
          </cell>
          <cell r="BX11">
            <v>10.66</v>
          </cell>
          <cell r="BY11">
            <v>1276000</v>
          </cell>
          <cell r="BZ11">
            <v>12.6</v>
          </cell>
          <cell r="CA11">
            <v>77</v>
          </cell>
          <cell r="CB11">
            <v>50</v>
          </cell>
          <cell r="CT11">
            <v>0</v>
          </cell>
          <cell r="CU11">
            <v>0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V12">
            <v>0</v>
          </cell>
          <cell r="CT12">
            <v>0</v>
          </cell>
          <cell r="CU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V13">
            <v>0</v>
          </cell>
          <cell r="CT13">
            <v>0</v>
          </cell>
          <cell r="CU13">
            <v>0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V14">
            <v>0</v>
          </cell>
          <cell r="CT14">
            <v>0</v>
          </cell>
          <cell r="CU14">
            <v>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V15">
            <v>0</v>
          </cell>
          <cell r="CT15">
            <v>0</v>
          </cell>
          <cell r="CU15">
            <v>0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V16">
            <v>0</v>
          </cell>
          <cell r="CT16">
            <v>0</v>
          </cell>
          <cell r="CU16">
            <v>0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V17">
            <v>0</v>
          </cell>
          <cell r="CT17">
            <v>0</v>
          </cell>
          <cell r="CU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V18">
            <v>0</v>
          </cell>
          <cell r="CT18">
            <v>0</v>
          </cell>
          <cell r="CU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V19">
            <v>0</v>
          </cell>
          <cell r="CT19">
            <v>0</v>
          </cell>
          <cell r="CU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V20">
            <v>0</v>
          </cell>
          <cell r="CT20">
            <v>0</v>
          </cell>
          <cell r="CU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V21">
            <v>0</v>
          </cell>
          <cell r="CT21">
            <v>0</v>
          </cell>
          <cell r="CU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V22">
            <v>0</v>
          </cell>
          <cell r="CT22">
            <v>0</v>
          </cell>
          <cell r="CU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V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V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V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V26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V27">
            <v>0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V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V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V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V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V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V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V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V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V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V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V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V39">
            <v>0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V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V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V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>
            <v>0</v>
          </cell>
        </row>
        <row r="49">
          <cell r="A49">
            <v>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>
            <v>0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>
            <v>0</v>
          </cell>
        </row>
        <row r="82">
          <cell r="A82">
            <v>0</v>
          </cell>
        </row>
        <row r="83">
          <cell r="A83">
            <v>0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  <row r="96">
          <cell r="A96">
            <v>0</v>
          </cell>
        </row>
        <row r="97">
          <cell r="A97">
            <v>0</v>
          </cell>
        </row>
        <row r="98">
          <cell r="A98">
            <v>0</v>
          </cell>
        </row>
        <row r="99">
          <cell r="A99">
            <v>0</v>
          </cell>
        </row>
        <row r="100">
          <cell r="A100">
            <v>0</v>
          </cell>
        </row>
        <row r="101">
          <cell r="A101">
            <v>0</v>
          </cell>
        </row>
        <row r="102">
          <cell r="A102">
            <v>0</v>
          </cell>
        </row>
        <row r="103">
          <cell r="A103">
            <v>0</v>
          </cell>
        </row>
        <row r="104">
          <cell r="A104">
            <v>0</v>
          </cell>
        </row>
        <row r="105">
          <cell r="A105">
            <v>0</v>
          </cell>
        </row>
        <row r="106">
          <cell r="A106">
            <v>0</v>
          </cell>
        </row>
        <row r="107">
          <cell r="A107">
            <v>0</v>
          </cell>
        </row>
        <row r="108">
          <cell r="A108">
            <v>0</v>
          </cell>
        </row>
        <row r="109">
          <cell r="A109">
            <v>0</v>
          </cell>
        </row>
        <row r="110">
          <cell r="A110">
            <v>0</v>
          </cell>
        </row>
        <row r="111">
          <cell r="A111">
            <v>0</v>
          </cell>
        </row>
        <row r="112">
          <cell r="A112">
            <v>0</v>
          </cell>
        </row>
        <row r="113">
          <cell r="A113">
            <v>0</v>
          </cell>
        </row>
        <row r="114">
          <cell r="A114">
            <v>0</v>
          </cell>
        </row>
        <row r="115">
          <cell r="A115">
            <v>0</v>
          </cell>
        </row>
        <row r="116">
          <cell r="A116">
            <v>0</v>
          </cell>
        </row>
        <row r="117">
          <cell r="A117">
            <v>0</v>
          </cell>
        </row>
        <row r="118">
          <cell r="A118">
            <v>0</v>
          </cell>
        </row>
        <row r="119">
          <cell r="A119">
            <v>0</v>
          </cell>
        </row>
        <row r="120">
          <cell r="A120">
            <v>0</v>
          </cell>
        </row>
        <row r="121">
          <cell r="A121">
            <v>0</v>
          </cell>
        </row>
        <row r="122">
          <cell r="A122">
            <v>0</v>
          </cell>
        </row>
        <row r="123">
          <cell r="A123">
            <v>0</v>
          </cell>
        </row>
        <row r="124">
          <cell r="A124">
            <v>0</v>
          </cell>
        </row>
        <row r="125">
          <cell r="A125">
            <v>0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0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</v>
          </cell>
        </row>
        <row r="145">
          <cell r="A145">
            <v>0</v>
          </cell>
        </row>
        <row r="146">
          <cell r="A146">
            <v>0</v>
          </cell>
        </row>
        <row r="147">
          <cell r="A147">
            <v>0</v>
          </cell>
        </row>
        <row r="148">
          <cell r="A148">
            <v>0</v>
          </cell>
        </row>
        <row r="149">
          <cell r="A149">
            <v>0</v>
          </cell>
        </row>
        <row r="150">
          <cell r="A150">
            <v>0</v>
          </cell>
        </row>
        <row r="151">
          <cell r="A151">
            <v>0</v>
          </cell>
        </row>
        <row r="152">
          <cell r="A152">
            <v>0</v>
          </cell>
        </row>
        <row r="153">
          <cell r="A153">
            <v>0</v>
          </cell>
        </row>
        <row r="154">
          <cell r="A154">
            <v>0</v>
          </cell>
        </row>
        <row r="155">
          <cell r="A155">
            <v>0</v>
          </cell>
        </row>
        <row r="156">
          <cell r="A156">
            <v>0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>
            <v>0</v>
          </cell>
        </row>
        <row r="162">
          <cell r="A162">
            <v>0</v>
          </cell>
        </row>
        <row r="163">
          <cell r="A163">
            <v>0</v>
          </cell>
        </row>
        <row r="164">
          <cell r="A164">
            <v>0</v>
          </cell>
        </row>
        <row r="165">
          <cell r="A165">
            <v>0</v>
          </cell>
        </row>
        <row r="166">
          <cell r="A166">
            <v>0</v>
          </cell>
        </row>
        <row r="167">
          <cell r="A167">
            <v>0</v>
          </cell>
        </row>
        <row r="168">
          <cell r="A168">
            <v>0</v>
          </cell>
        </row>
        <row r="169">
          <cell r="A169">
            <v>0</v>
          </cell>
        </row>
        <row r="170">
          <cell r="A170">
            <v>0</v>
          </cell>
        </row>
        <row r="171">
          <cell r="A171">
            <v>0</v>
          </cell>
        </row>
        <row r="172">
          <cell r="A172">
            <v>0</v>
          </cell>
        </row>
        <row r="173">
          <cell r="A173">
            <v>0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>
            <v>0</v>
          </cell>
        </row>
        <row r="177">
          <cell r="A177">
            <v>0</v>
          </cell>
        </row>
        <row r="178">
          <cell r="A178">
            <v>0</v>
          </cell>
        </row>
        <row r="179">
          <cell r="A179">
            <v>0</v>
          </cell>
        </row>
        <row r="180">
          <cell r="A180">
            <v>0</v>
          </cell>
        </row>
        <row r="181">
          <cell r="A181">
            <v>0</v>
          </cell>
        </row>
        <row r="182">
          <cell r="A182">
            <v>0</v>
          </cell>
        </row>
        <row r="183">
          <cell r="A183">
            <v>0</v>
          </cell>
        </row>
        <row r="184">
          <cell r="A184">
            <v>0</v>
          </cell>
        </row>
        <row r="185">
          <cell r="A185">
            <v>0</v>
          </cell>
        </row>
        <row r="186">
          <cell r="A186">
            <v>0</v>
          </cell>
        </row>
        <row r="187">
          <cell r="A187">
            <v>0</v>
          </cell>
        </row>
        <row r="188">
          <cell r="A188">
            <v>0</v>
          </cell>
        </row>
        <row r="189">
          <cell r="A189">
            <v>0</v>
          </cell>
        </row>
        <row r="190">
          <cell r="A190">
            <v>0</v>
          </cell>
        </row>
        <row r="191">
          <cell r="A191">
            <v>0</v>
          </cell>
        </row>
        <row r="192">
          <cell r="A192">
            <v>0</v>
          </cell>
        </row>
        <row r="193">
          <cell r="A193">
            <v>0</v>
          </cell>
        </row>
        <row r="194">
          <cell r="A194">
            <v>0</v>
          </cell>
        </row>
        <row r="195">
          <cell r="A195">
            <v>0</v>
          </cell>
        </row>
        <row r="196">
          <cell r="A196">
            <v>0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1">
          <cell r="A1" t="str">
            <v>Rédig'Note bihebdomadaire sur l'AP</v>
          </cell>
          <cell r="I1">
            <v>0</v>
          </cell>
        </row>
        <row r="2">
          <cell r="A2" t="str">
            <v>Listes</v>
          </cell>
          <cell r="I2">
            <v>0</v>
          </cell>
        </row>
        <row r="4">
          <cell r="A4" t="str">
            <v>NE PAS MODIFIER</v>
          </cell>
          <cell r="I4">
            <v>0</v>
          </cell>
        </row>
        <row r="6">
          <cell r="A6" t="str">
            <v>Dates des données</v>
          </cell>
          <cell r="I6" t="str">
            <v>Liste des variables</v>
          </cell>
        </row>
        <row r="7">
          <cell r="A7">
            <v>44039</v>
          </cell>
          <cell r="B7" t="str">
            <v>J</v>
          </cell>
          <cell r="D7" t="str">
            <v>Jour</v>
          </cell>
          <cell r="I7" t="str">
            <v>Eff_DAP_cumul</v>
          </cell>
          <cell r="L7" t="str">
            <v>En chiffre</v>
          </cell>
          <cell r="M7" t="str">
            <v># ##0</v>
          </cell>
          <cell r="N7" t="str">
            <v>diminue de/est stable/augmente de</v>
          </cell>
          <cell r="O7" t="str">
            <v>motif/motifs</v>
          </cell>
        </row>
        <row r="8">
          <cell r="A8">
            <v>44039</v>
          </cell>
          <cell r="B8" t="str">
            <v>J-1</v>
          </cell>
          <cell r="D8" t="str">
            <v>Mois</v>
          </cell>
          <cell r="I8" t="str">
            <v>Eff_DAP_poss</v>
          </cell>
          <cell r="L8" t="str">
            <v>En lettres minuscules</v>
          </cell>
          <cell r="M8" t="str">
            <v># ##0,0</v>
          </cell>
          <cell r="N8" t="str">
            <v>diminuent de/sont stables/augmentent de</v>
          </cell>
          <cell r="O8" t="str">
            <v>région/régions</v>
          </cell>
        </row>
        <row r="9">
          <cell r="A9">
            <v>44032</v>
          </cell>
          <cell r="B9" t="str">
            <v>J-2</v>
          </cell>
          <cell r="D9" t="str">
            <v>Trimestre</v>
          </cell>
          <cell r="I9" t="str">
            <v>Nb_DAP</v>
          </cell>
          <cell r="L9" t="str">
            <v>En lettres avec une majuscule en début de phrase</v>
          </cell>
          <cell r="M9" t="str">
            <v># ##0,00</v>
          </cell>
          <cell r="N9" t="str">
            <v>baisse de/est stable/augmente de</v>
          </cell>
          <cell r="O9" t="str">
            <v>jour/jours</v>
          </cell>
        </row>
        <row r="10">
          <cell r="A10">
            <v>44026</v>
          </cell>
          <cell r="B10" t="str">
            <v>J-3</v>
          </cell>
          <cell r="D10" t="str">
            <v>Année</v>
          </cell>
          <cell r="I10" t="str">
            <v>Nb_ul</v>
          </cell>
          <cell r="L10" t="str">
            <v>En lettres majuscules</v>
          </cell>
          <cell r="M10" t="str">
            <v>0,0</v>
          </cell>
          <cell r="N10" t="str">
            <v>baisse de/reste stable/augmente de</v>
          </cell>
        </row>
        <row r="11">
          <cell r="A11">
            <v>44018</v>
          </cell>
          <cell r="B11" t="str">
            <v>J-4</v>
          </cell>
          <cell r="I11" t="str">
            <v>Var_DAP</v>
          </cell>
          <cell r="L11" t="str">
            <v>En lettres avec une majuscule en début de chaque mot</v>
          </cell>
          <cell r="M11" t="str">
            <v>0,00</v>
          </cell>
          <cell r="N11" t="str">
            <v>baissent de/sont stables/augmentent de</v>
          </cell>
        </row>
        <row r="12">
          <cell r="A12">
            <v>44011</v>
          </cell>
          <cell r="B12" t="str">
            <v>J-5</v>
          </cell>
          <cell r="I12" t="str">
            <v>Var_DAP_bis</v>
          </cell>
          <cell r="M12" t="str">
            <v>0%</v>
          </cell>
          <cell r="N12" t="str">
            <v>en baisse/stable/en hausse</v>
          </cell>
        </row>
        <row r="13">
          <cell r="A13">
            <v>43998</v>
          </cell>
          <cell r="B13" t="str">
            <v>J-6</v>
          </cell>
          <cell r="I13" t="str">
            <v>Var_Eff_DAP</v>
          </cell>
          <cell r="M13" t="str">
            <v>0,0%</v>
          </cell>
          <cell r="N13" t="str">
            <v>en baisses/stables/en hausses</v>
          </cell>
        </row>
        <row r="14">
          <cell r="A14">
            <v>43991</v>
          </cell>
          <cell r="B14" t="str">
            <v>J-7</v>
          </cell>
          <cell r="I14" t="str">
            <v>Heur_DAP_cumul</v>
          </cell>
          <cell r="M14" t="str">
            <v>0,00%</v>
          </cell>
          <cell r="N14" t="str">
            <v>recule de/reste stable/progresse de</v>
          </cell>
        </row>
        <row r="15">
          <cell r="A15" t="str">
            <v>0</v>
          </cell>
          <cell r="B15" t="str">
            <v>J-8</v>
          </cell>
          <cell r="I15" t="str">
            <v>Var_Heur_DAP</v>
          </cell>
          <cell r="M15" t="str">
            <v># ##0 "" milliers""</v>
          </cell>
          <cell r="N15" t="str">
            <v>recule de/reste stable/croît de</v>
          </cell>
        </row>
        <row r="16">
          <cell r="A16" t="str">
            <v>0</v>
          </cell>
          <cell r="B16" t="str">
            <v>J-9</v>
          </cell>
          <cell r="I16" t="str">
            <v>H_par_par_sal</v>
          </cell>
          <cell r="M16" t="str">
            <v># ##0,0 "" milliers""</v>
          </cell>
          <cell r="N16" t="str">
            <v>recule de/est stable/progresse de</v>
          </cell>
        </row>
        <row r="17">
          <cell r="A17" t="str">
            <v>0</v>
          </cell>
          <cell r="B17" t="str">
            <v>J-10</v>
          </cell>
          <cell r="I17" t="str">
            <v>Nb_semaine</v>
          </cell>
          <cell r="M17" t="str">
            <v xml:space="preserve"># ##0 </v>
          </cell>
          <cell r="N17" t="str">
            <v>reculent de/sont stables/progressent de</v>
          </cell>
        </row>
        <row r="18">
          <cell r="A18" t="str">
            <v>0</v>
          </cell>
          <cell r="B18" t="str">
            <v>J-11</v>
          </cell>
          <cell r="I18" t="str">
            <v>part_MN</v>
          </cell>
          <cell r="M18" t="str">
            <v xml:space="preserve"># ##0,0 </v>
          </cell>
          <cell r="N18" t="str">
            <v>décroît de/est stable/croît de</v>
          </cell>
        </row>
        <row r="19">
          <cell r="A19" t="str">
            <v>0</v>
          </cell>
          <cell r="B19" t="str">
            <v>J-12</v>
          </cell>
          <cell r="I19" t="str">
            <v>part_GZ</v>
          </cell>
          <cell r="M19" t="str">
            <v>+* 0"" %"";-* 0"" %""</v>
          </cell>
          <cell r="N19" t="str">
            <v>décroissent de/sont stable/croissent de</v>
          </cell>
        </row>
        <row r="20">
          <cell r="A20" t="str">
            <v>0</v>
          </cell>
          <cell r="B20" t="str">
            <v>J-13</v>
          </cell>
          <cell r="I20" t="str">
            <v>part_FZ</v>
          </cell>
          <cell r="M20" t="str">
            <v>+* 0,0"" %"";-* 0,0"" %""</v>
          </cell>
          <cell r="N20" t="str">
            <v>baisse/stable/hausse</v>
          </cell>
        </row>
        <row r="21">
          <cell r="A21" t="str">
            <v>0</v>
          </cell>
          <cell r="B21" t="str">
            <v>J-14</v>
          </cell>
          <cell r="I21" t="str">
            <v>Eff_DAP_r11</v>
          </cell>
          <cell r="M21" t="str">
            <v>+* 0,00"" %"";-* 0,00"" %""</v>
          </cell>
          <cell r="N21" t="str">
            <v>diminue de/reste stable/augmente de</v>
          </cell>
        </row>
        <row r="22">
          <cell r="A22" t="str">
            <v>0</v>
          </cell>
          <cell r="B22" t="str">
            <v>J-15</v>
          </cell>
          <cell r="I22" t="str">
            <v>Eff_DAP_r84</v>
          </cell>
          <cell r="M22" t="str">
            <v>(+* 0"" %)"";(-* 0"" %)""</v>
          </cell>
          <cell r="N22" t="str">
            <v>tandis que/tandis que/tandis que</v>
          </cell>
        </row>
        <row r="23">
          <cell r="A23" t="str">
            <v>0</v>
          </cell>
          <cell r="B23" t="str">
            <v>J-16</v>
          </cell>
          <cell r="I23" t="str">
            <v>Nb_DAP_att</v>
          </cell>
          <cell r="M23" t="str">
            <v>(+* 0,0"" %)"";(-* 0,0"" %)""</v>
          </cell>
          <cell r="N23">
            <v>0</v>
          </cell>
        </row>
        <row r="24">
          <cell r="A24" t="str">
            <v>0</v>
          </cell>
          <cell r="B24" t="str">
            <v>J-17</v>
          </cell>
          <cell r="I24" t="str">
            <v>Part_DAP_att</v>
          </cell>
          <cell r="M24" t="str">
            <v>(+* 0,00"" %)"";(-* 0,00"" %)""</v>
          </cell>
          <cell r="N24">
            <v>0</v>
          </cell>
        </row>
        <row r="25">
          <cell r="A25" t="str">
            <v>0</v>
          </cell>
          <cell r="B25" t="str">
            <v>J-18</v>
          </cell>
          <cell r="I25" t="str">
            <v>Eff_DAP_att</v>
          </cell>
          <cell r="M25" t="str">
            <v>0"" %""</v>
          </cell>
          <cell r="N25">
            <v>0</v>
          </cell>
        </row>
        <row r="26">
          <cell r="A26" t="str">
            <v>0</v>
          </cell>
          <cell r="B26" t="str">
            <v>J-19</v>
          </cell>
          <cell r="I26" t="str">
            <v>Eff_DAP_refu</v>
          </cell>
          <cell r="M26" t="str">
            <v>0,0"" %""</v>
          </cell>
          <cell r="N26">
            <v>0</v>
          </cell>
        </row>
        <row r="27">
          <cell r="A27" t="str">
            <v>0</v>
          </cell>
          <cell r="B27" t="str">
            <v>J-20</v>
          </cell>
          <cell r="I27" t="str">
            <v>Var_Eff_DAP_poss</v>
          </cell>
          <cell r="M27" t="str">
            <v>0,00"" %""</v>
          </cell>
          <cell r="N27">
            <v>0</v>
          </cell>
        </row>
        <row r="28">
          <cell r="A28" t="str">
            <v>0</v>
          </cell>
          <cell r="B28" t="str">
            <v>J-21</v>
          </cell>
          <cell r="I28" t="str">
            <v>Evo_Eff_DAP_poss</v>
          </cell>
          <cell r="M28" t="str">
            <v># ##0;# ##0</v>
          </cell>
          <cell r="N28">
            <v>0</v>
          </cell>
        </row>
        <row r="29">
          <cell r="A29" t="str">
            <v>0</v>
          </cell>
          <cell r="B29" t="str">
            <v>J-22</v>
          </cell>
          <cell r="I29" t="str">
            <v>Eff_DI_mars</v>
          </cell>
          <cell r="M29" t="str">
            <v># ##0,0;# ##0,0</v>
          </cell>
          <cell r="N29">
            <v>0</v>
          </cell>
        </row>
        <row r="30">
          <cell r="A30" t="str">
            <v>0</v>
          </cell>
          <cell r="B30" t="str">
            <v>J-23</v>
          </cell>
          <cell r="I30" t="str">
            <v>Heur_DI_mars</v>
          </cell>
          <cell r="M30" t="str">
            <v># ##0,00;# ##0,00</v>
          </cell>
          <cell r="N30">
            <v>0</v>
          </cell>
        </row>
        <row r="31">
          <cell r="A31" t="str">
            <v>0</v>
          </cell>
          <cell r="B31" t="str">
            <v>J-24</v>
          </cell>
          <cell r="I31" t="str">
            <v>DI_mars</v>
          </cell>
          <cell r="M31" t="str">
            <v>+* # ##0;-* # ##0</v>
          </cell>
          <cell r="N31">
            <v>0</v>
          </cell>
        </row>
        <row r="32">
          <cell r="A32" t="str">
            <v>0</v>
          </cell>
          <cell r="B32" t="str">
            <v>J-25</v>
          </cell>
          <cell r="I32" t="str">
            <v>DI_ul_mars</v>
          </cell>
          <cell r="M32" t="str">
            <v>+* # ##0,0;-* # ##0,0</v>
          </cell>
          <cell r="N32">
            <v>0</v>
          </cell>
        </row>
        <row r="33">
          <cell r="A33" t="str">
            <v>0</v>
          </cell>
          <cell r="B33" t="str">
            <v>J-26</v>
          </cell>
          <cell r="I33" t="str">
            <v>Var_DI_mars</v>
          </cell>
          <cell r="M33" t="str">
            <v>+* # ##0,00;-* # ##0,00</v>
          </cell>
          <cell r="N33">
            <v>0</v>
          </cell>
        </row>
        <row r="34">
          <cell r="A34" t="str">
            <v>0</v>
          </cell>
          <cell r="B34" t="str">
            <v>J-27</v>
          </cell>
          <cell r="I34" t="str">
            <v>Var_Eff_DI_mars</v>
          </cell>
          <cell r="M34" t="str">
            <v>0,0;0,0</v>
          </cell>
          <cell r="N34">
            <v>0</v>
          </cell>
        </row>
        <row r="35">
          <cell r="A35" t="str">
            <v>0</v>
          </cell>
          <cell r="B35" t="str">
            <v>J-28</v>
          </cell>
          <cell r="I35" t="str">
            <v>Var_Heur_DI_mars</v>
          </cell>
          <cell r="M35" t="str">
            <v>0,00;0,00</v>
          </cell>
          <cell r="N35">
            <v>0</v>
          </cell>
        </row>
        <row r="36">
          <cell r="A36" t="str">
            <v>0</v>
          </cell>
          <cell r="B36" t="str">
            <v>J-29</v>
          </cell>
          <cell r="I36" t="str">
            <v>Eff_DI_r11_mars</v>
          </cell>
          <cell r="M36" t="str">
            <v>0%;0%</v>
          </cell>
          <cell r="N36">
            <v>0</v>
          </cell>
        </row>
        <row r="37">
          <cell r="A37" t="str">
            <v>0</v>
          </cell>
          <cell r="B37" t="str">
            <v>J-30</v>
          </cell>
          <cell r="I37" t="str">
            <v>Eff_DI_r84_mars</v>
          </cell>
          <cell r="M37" t="str">
            <v>0,0%;0,0%</v>
          </cell>
          <cell r="N37">
            <v>0</v>
          </cell>
        </row>
        <row r="38">
          <cell r="A38" t="str">
            <v>0</v>
          </cell>
          <cell r="B38" t="str">
            <v>J-31</v>
          </cell>
          <cell r="I38" t="str">
            <v>DI_mars_val</v>
          </cell>
          <cell r="M38" t="str">
            <v>0,00%;0,00%</v>
          </cell>
          <cell r="N38">
            <v>0</v>
          </cell>
        </row>
        <row r="39">
          <cell r="A39" t="str">
            <v>0</v>
          </cell>
          <cell r="B39" t="str">
            <v>J-32</v>
          </cell>
          <cell r="I39" t="str">
            <v>Part_DI_mars_val</v>
          </cell>
          <cell r="M39" t="str">
            <v>0"" %"";0"" %""</v>
          </cell>
          <cell r="N39">
            <v>0</v>
          </cell>
        </row>
        <row r="40">
          <cell r="A40" t="str">
            <v>0</v>
          </cell>
          <cell r="B40" t="str">
            <v>J-33</v>
          </cell>
          <cell r="I40" t="str">
            <v>Heur_DI_mars_val</v>
          </cell>
          <cell r="M40" t="str">
            <v>0,0"" %"";0,0"" %""</v>
          </cell>
          <cell r="N40">
            <v>0</v>
          </cell>
        </row>
        <row r="41">
          <cell r="A41" t="str">
            <v>0</v>
          </cell>
          <cell r="B41" t="str">
            <v>J-34</v>
          </cell>
          <cell r="I41" t="str">
            <v>Montan_DI_mars_val</v>
          </cell>
          <cell r="M41" t="str">
            <v>0,00"" %"";0,00"" %""</v>
          </cell>
          <cell r="N41">
            <v>0</v>
          </cell>
        </row>
        <row r="42">
          <cell r="A42" t="str">
            <v>0</v>
          </cell>
          <cell r="B42" t="str">
            <v>J-35</v>
          </cell>
          <cell r="I42" t="str">
            <v>Cout_mh_mars</v>
          </cell>
          <cell r="N42">
            <v>0</v>
          </cell>
        </row>
        <row r="43">
          <cell r="A43" t="str">
            <v>0</v>
          </cell>
          <cell r="B43" t="str">
            <v>J-36</v>
          </cell>
          <cell r="I43" t="str">
            <v>DAP_mars</v>
          </cell>
          <cell r="N43">
            <v>0</v>
          </cell>
        </row>
        <row r="44">
          <cell r="A44" t="str">
            <v>0</v>
          </cell>
          <cell r="B44" t="str">
            <v>J-37</v>
          </cell>
          <cell r="I44" t="str">
            <v>Eff_DAP_mars</v>
          </cell>
          <cell r="N44">
            <v>0</v>
          </cell>
        </row>
        <row r="45">
          <cell r="A45" t="str">
            <v>0</v>
          </cell>
          <cell r="B45" t="str">
            <v>J-38</v>
          </cell>
          <cell r="I45" t="str">
            <v>Part_DAP_DI_mars</v>
          </cell>
          <cell r="N45">
            <v>0</v>
          </cell>
        </row>
        <row r="46">
          <cell r="A46" t="str">
            <v>0</v>
          </cell>
          <cell r="B46" t="str">
            <v>J-39</v>
          </cell>
          <cell r="I46" t="str">
            <v>Part_Eff_DAP_DI_mars</v>
          </cell>
          <cell r="N46">
            <v>0</v>
          </cell>
        </row>
        <row r="47">
          <cell r="A47" t="str">
            <v>0</v>
          </cell>
          <cell r="B47" t="str">
            <v>J-40</v>
          </cell>
          <cell r="I47" t="str">
            <v>TT_Eff_ulT1_mars</v>
          </cell>
          <cell r="N47">
            <v>0</v>
          </cell>
        </row>
        <row r="48">
          <cell r="A48" t="str">
            <v>0</v>
          </cell>
          <cell r="I48" t="str">
            <v>TT_Eff_ulT6_mars</v>
          </cell>
          <cell r="N48">
            <v>0</v>
          </cell>
        </row>
        <row r="49">
          <cell r="A49" t="str">
            <v>0</v>
          </cell>
          <cell r="I49" t="str">
            <v>TT_Eff_ulT1a2_mars</v>
          </cell>
          <cell r="N49">
            <v>0</v>
          </cell>
        </row>
        <row r="50">
          <cell r="A50" t="str">
            <v>0</v>
          </cell>
          <cell r="I50" t="str">
            <v>Eff_DI_avril</v>
          </cell>
          <cell r="N50">
            <v>0</v>
          </cell>
        </row>
        <row r="51">
          <cell r="A51" t="str">
            <v>0</v>
          </cell>
          <cell r="I51" t="str">
            <v>Heur_DI_avril</v>
          </cell>
          <cell r="N51">
            <v>0</v>
          </cell>
        </row>
        <row r="52">
          <cell r="A52" t="str">
            <v>0</v>
          </cell>
          <cell r="I52" t="str">
            <v>DI_avril</v>
          </cell>
          <cell r="N52">
            <v>0</v>
          </cell>
        </row>
        <row r="53">
          <cell r="A53" t="str">
            <v>0</v>
          </cell>
          <cell r="I53" t="str">
            <v>DI_ul_avril</v>
          </cell>
          <cell r="N53">
            <v>0</v>
          </cell>
        </row>
        <row r="54">
          <cell r="A54" t="str">
            <v>0</v>
          </cell>
          <cell r="I54" t="str">
            <v>Var_DI_avril</v>
          </cell>
          <cell r="N54">
            <v>0</v>
          </cell>
        </row>
        <row r="55">
          <cell r="A55" t="str">
            <v>0</v>
          </cell>
          <cell r="I55" t="str">
            <v>Var_Eff_DI_avril</v>
          </cell>
          <cell r="N55">
            <v>0</v>
          </cell>
        </row>
        <row r="56">
          <cell r="A56" t="str">
            <v>0</v>
          </cell>
          <cell r="I56" t="str">
            <v>Var_Heur_DI_avril</v>
          </cell>
          <cell r="N56">
            <v>0</v>
          </cell>
        </row>
        <row r="57">
          <cell r="A57" t="str">
            <v>0</v>
          </cell>
          <cell r="I57" t="str">
            <v>Eff_DI_r11_avril</v>
          </cell>
          <cell r="N57">
            <v>0</v>
          </cell>
        </row>
        <row r="58">
          <cell r="A58" t="str">
            <v>0</v>
          </cell>
          <cell r="I58" t="str">
            <v>Eff_DI_r84_avril</v>
          </cell>
          <cell r="N58">
            <v>0</v>
          </cell>
        </row>
        <row r="59">
          <cell r="A59" t="str">
            <v>0</v>
          </cell>
          <cell r="I59" t="str">
            <v>DI_avril_val</v>
          </cell>
          <cell r="N59">
            <v>0</v>
          </cell>
        </row>
        <row r="60">
          <cell r="A60" t="str">
            <v>0</v>
          </cell>
          <cell r="I60" t="str">
            <v>Part_DI_avril_val</v>
          </cell>
          <cell r="N60">
            <v>0</v>
          </cell>
        </row>
        <row r="61">
          <cell r="A61" t="str">
            <v>0</v>
          </cell>
          <cell r="I61" t="str">
            <v>Heur_DI_avril_val</v>
          </cell>
          <cell r="N61">
            <v>0</v>
          </cell>
        </row>
        <row r="62">
          <cell r="A62" t="str">
            <v>0</v>
          </cell>
          <cell r="I62" t="str">
            <v>Montan_DI_avril_val</v>
          </cell>
          <cell r="N62">
            <v>0</v>
          </cell>
        </row>
        <row r="63">
          <cell r="A63" t="str">
            <v>0</v>
          </cell>
          <cell r="I63" t="str">
            <v>Cout_mh_avril</v>
          </cell>
          <cell r="N63">
            <v>0</v>
          </cell>
        </row>
        <row r="64">
          <cell r="A64" t="str">
            <v>0</v>
          </cell>
          <cell r="I64" t="str">
            <v>DAP_avril</v>
          </cell>
          <cell r="N64">
            <v>0</v>
          </cell>
        </row>
        <row r="65">
          <cell r="A65" t="str">
            <v>0</v>
          </cell>
          <cell r="I65" t="str">
            <v>Eff_DAP_avril</v>
          </cell>
          <cell r="N65">
            <v>0</v>
          </cell>
        </row>
        <row r="66">
          <cell r="A66" t="str">
            <v>0</v>
          </cell>
          <cell r="I66" t="str">
            <v>Part_DAP_DI_avril</v>
          </cell>
          <cell r="N66">
            <v>0</v>
          </cell>
        </row>
        <row r="67">
          <cell r="A67" t="str">
            <v>0</v>
          </cell>
          <cell r="I67" t="str">
            <v>Part_Eff_DAP_DI_avril</v>
          </cell>
          <cell r="N67">
            <v>0</v>
          </cell>
        </row>
        <row r="68">
          <cell r="A68" t="str">
            <v>0</v>
          </cell>
          <cell r="I68" t="str">
            <v>Eff_DI_mai</v>
          </cell>
          <cell r="N68">
            <v>0</v>
          </cell>
        </row>
        <row r="69">
          <cell r="A69" t="str">
            <v>0</v>
          </cell>
          <cell r="I69" t="str">
            <v>Heur_DI_mai</v>
          </cell>
          <cell r="N69">
            <v>0</v>
          </cell>
        </row>
        <row r="70">
          <cell r="A70" t="str">
            <v>0</v>
          </cell>
          <cell r="I70" t="str">
            <v>DI_mai</v>
          </cell>
          <cell r="N70">
            <v>0</v>
          </cell>
        </row>
        <row r="71">
          <cell r="A71" t="str">
            <v>0</v>
          </cell>
          <cell r="I71" t="str">
            <v>DI_ul_mai</v>
          </cell>
          <cell r="N71">
            <v>0</v>
          </cell>
        </row>
        <row r="72">
          <cell r="A72" t="str">
            <v>0</v>
          </cell>
          <cell r="I72" t="str">
            <v>Var_DI_mai</v>
          </cell>
          <cell r="N72">
            <v>0</v>
          </cell>
        </row>
        <row r="73">
          <cell r="A73" t="str">
            <v>0</v>
          </cell>
          <cell r="I73" t="str">
            <v>Var_Eff_DI_mai</v>
          </cell>
          <cell r="N73">
            <v>0</v>
          </cell>
        </row>
        <row r="74">
          <cell r="A74" t="str">
            <v>0</v>
          </cell>
          <cell r="I74" t="str">
            <v>Var_Heur_DI_mai</v>
          </cell>
          <cell r="N74">
            <v>0</v>
          </cell>
        </row>
        <row r="75">
          <cell r="A75" t="str">
            <v>0</v>
          </cell>
          <cell r="I75" t="str">
            <v>Eff_DI_r11_mai</v>
          </cell>
          <cell r="N75">
            <v>0</v>
          </cell>
        </row>
        <row r="76">
          <cell r="A76" t="str">
            <v>0</v>
          </cell>
          <cell r="I76" t="str">
            <v>Eff_DI_r84_mai</v>
          </cell>
          <cell r="N76">
            <v>0</v>
          </cell>
        </row>
        <row r="77">
          <cell r="A77" t="str">
            <v>0</v>
          </cell>
          <cell r="I77" t="str">
            <v>DI_mai_val</v>
          </cell>
          <cell r="N77">
            <v>0</v>
          </cell>
        </row>
        <row r="78">
          <cell r="A78" t="str">
            <v>0</v>
          </cell>
          <cell r="I78" t="str">
            <v>Part_DI_mai_val</v>
          </cell>
          <cell r="N78">
            <v>0</v>
          </cell>
        </row>
        <row r="79">
          <cell r="A79" t="str">
            <v>0</v>
          </cell>
          <cell r="I79" t="str">
            <v>Heur_DI_mai_val</v>
          </cell>
          <cell r="N79">
            <v>0</v>
          </cell>
        </row>
        <row r="80">
          <cell r="A80" t="str">
            <v>0</v>
          </cell>
          <cell r="I80" t="str">
            <v>Montan_DI_mai_val</v>
          </cell>
          <cell r="N80">
            <v>0</v>
          </cell>
        </row>
        <row r="81">
          <cell r="A81" t="str">
            <v>0</v>
          </cell>
          <cell r="I81" t="str">
            <v>Cout_mh_mai</v>
          </cell>
          <cell r="N81">
            <v>0</v>
          </cell>
        </row>
        <row r="82">
          <cell r="A82" t="str">
            <v>0</v>
          </cell>
          <cell r="I82" t="str">
            <v>DAP_mai</v>
          </cell>
          <cell r="N82">
            <v>0</v>
          </cell>
        </row>
        <row r="83">
          <cell r="A83" t="str">
            <v>0</v>
          </cell>
          <cell r="I83" t="str">
            <v>Eff_DAP_mai</v>
          </cell>
          <cell r="N83">
            <v>0</v>
          </cell>
        </row>
        <row r="84">
          <cell r="A84" t="str">
            <v>0</v>
          </cell>
          <cell r="I84" t="str">
            <v>Part_DAP_DI_mai</v>
          </cell>
          <cell r="N84">
            <v>0</v>
          </cell>
        </row>
        <row r="85">
          <cell r="A85" t="str">
            <v>0</v>
          </cell>
          <cell r="I85" t="str">
            <v>Part_Eff_DAP_DI_mai</v>
          </cell>
          <cell r="N85">
            <v>0</v>
          </cell>
        </row>
        <row r="86">
          <cell r="A86" t="str">
            <v>0</v>
          </cell>
          <cell r="I86">
            <v>0</v>
          </cell>
          <cell r="N86">
            <v>0</v>
          </cell>
        </row>
        <row r="87">
          <cell r="A87" t="str">
            <v>0</v>
          </cell>
          <cell r="I87">
            <v>0</v>
          </cell>
          <cell r="N87">
            <v>0</v>
          </cell>
        </row>
        <row r="88">
          <cell r="A88" t="str">
            <v>0</v>
          </cell>
          <cell r="I88">
            <v>0</v>
          </cell>
          <cell r="N88">
            <v>0</v>
          </cell>
        </row>
        <row r="89">
          <cell r="A89" t="str">
            <v>0</v>
          </cell>
          <cell r="I89">
            <v>0</v>
          </cell>
          <cell r="N89">
            <v>0</v>
          </cell>
        </row>
        <row r="90">
          <cell r="A90" t="str">
            <v>0</v>
          </cell>
          <cell r="I90">
            <v>0</v>
          </cell>
          <cell r="N90">
            <v>0</v>
          </cell>
        </row>
        <row r="91">
          <cell r="A91" t="str">
            <v>0</v>
          </cell>
          <cell r="I91">
            <v>0</v>
          </cell>
          <cell r="N91">
            <v>0</v>
          </cell>
        </row>
        <row r="92">
          <cell r="A92" t="str">
            <v>0</v>
          </cell>
          <cell r="I92">
            <v>0</v>
          </cell>
          <cell r="N92">
            <v>0</v>
          </cell>
        </row>
        <row r="93">
          <cell r="A93" t="str">
            <v>0</v>
          </cell>
          <cell r="I93">
            <v>0</v>
          </cell>
          <cell r="N93">
            <v>0</v>
          </cell>
        </row>
        <row r="94">
          <cell r="A94" t="str">
            <v>0</v>
          </cell>
          <cell r="I94">
            <v>0</v>
          </cell>
          <cell r="N94">
            <v>0</v>
          </cell>
        </row>
        <row r="95">
          <cell r="A95" t="str">
            <v>0</v>
          </cell>
          <cell r="I95">
            <v>0</v>
          </cell>
          <cell r="N95">
            <v>0</v>
          </cell>
        </row>
        <row r="96">
          <cell r="A96" t="str">
            <v>0</v>
          </cell>
          <cell r="I96">
            <v>0</v>
          </cell>
          <cell r="N96">
            <v>0</v>
          </cell>
        </row>
        <row r="97">
          <cell r="A97" t="str">
            <v>0</v>
          </cell>
          <cell r="I97">
            <v>0</v>
          </cell>
          <cell r="N97">
            <v>0</v>
          </cell>
        </row>
        <row r="98">
          <cell r="A98" t="str">
            <v>0</v>
          </cell>
          <cell r="I98">
            <v>0</v>
          </cell>
          <cell r="N98">
            <v>0</v>
          </cell>
        </row>
        <row r="99">
          <cell r="A99" t="str">
            <v>0</v>
          </cell>
          <cell r="I99">
            <v>0</v>
          </cell>
          <cell r="N99">
            <v>0</v>
          </cell>
        </row>
        <row r="100">
          <cell r="A100" t="str">
            <v>0</v>
          </cell>
          <cell r="I100">
            <v>0</v>
          </cell>
          <cell r="N100">
            <v>0</v>
          </cell>
        </row>
        <row r="101">
          <cell r="A101" t="str">
            <v>0</v>
          </cell>
          <cell r="I101">
            <v>0</v>
          </cell>
          <cell r="N101">
            <v>0</v>
          </cell>
        </row>
        <row r="102">
          <cell r="A102" t="str">
            <v>0</v>
          </cell>
          <cell r="I102">
            <v>0</v>
          </cell>
          <cell r="N102">
            <v>0</v>
          </cell>
        </row>
        <row r="103">
          <cell r="A103" t="str">
            <v>0</v>
          </cell>
          <cell r="I103">
            <v>0</v>
          </cell>
          <cell r="N103">
            <v>0</v>
          </cell>
        </row>
        <row r="104">
          <cell r="A104" t="str">
            <v>0</v>
          </cell>
          <cell r="I104">
            <v>0</v>
          </cell>
          <cell r="N104">
            <v>0</v>
          </cell>
        </row>
        <row r="105">
          <cell r="A105" t="str">
            <v>0</v>
          </cell>
          <cell r="I105">
            <v>0</v>
          </cell>
          <cell r="N105">
            <v>0</v>
          </cell>
        </row>
        <row r="106">
          <cell r="A106" t="str">
            <v>0</v>
          </cell>
          <cell r="I106">
            <v>0</v>
          </cell>
          <cell r="N106">
            <v>0</v>
          </cell>
        </row>
        <row r="107">
          <cell r="A107" t="str">
            <v>0</v>
          </cell>
          <cell r="I107">
            <v>0</v>
          </cell>
          <cell r="N107">
            <v>0</v>
          </cell>
        </row>
        <row r="108">
          <cell r="A108" t="str">
            <v>0</v>
          </cell>
          <cell r="I108">
            <v>0</v>
          </cell>
          <cell r="N108">
            <v>0</v>
          </cell>
        </row>
        <row r="109">
          <cell r="A109" t="str">
            <v>0</v>
          </cell>
          <cell r="I109">
            <v>0</v>
          </cell>
          <cell r="N109">
            <v>0</v>
          </cell>
        </row>
        <row r="110">
          <cell r="A110" t="str">
            <v>0</v>
          </cell>
          <cell r="I110">
            <v>0</v>
          </cell>
          <cell r="N110">
            <v>0</v>
          </cell>
        </row>
        <row r="111">
          <cell r="A111" t="str">
            <v>0</v>
          </cell>
          <cell r="I111">
            <v>0</v>
          </cell>
          <cell r="N111">
            <v>0</v>
          </cell>
        </row>
        <row r="112">
          <cell r="A112" t="str">
            <v>0</v>
          </cell>
          <cell r="I112">
            <v>0</v>
          </cell>
          <cell r="N112">
            <v>0</v>
          </cell>
        </row>
        <row r="113">
          <cell r="A113" t="str">
            <v>0</v>
          </cell>
          <cell r="I113">
            <v>0</v>
          </cell>
          <cell r="N113">
            <v>0</v>
          </cell>
        </row>
        <row r="114">
          <cell r="A114" t="str">
            <v>0</v>
          </cell>
          <cell r="I114">
            <v>0</v>
          </cell>
          <cell r="N114">
            <v>0</v>
          </cell>
        </row>
        <row r="115">
          <cell r="A115" t="str">
            <v>0</v>
          </cell>
          <cell r="I115">
            <v>0</v>
          </cell>
          <cell r="N115">
            <v>0</v>
          </cell>
        </row>
        <row r="116">
          <cell r="A116" t="str">
            <v>0</v>
          </cell>
          <cell r="I116">
            <v>0</v>
          </cell>
          <cell r="N116">
            <v>0</v>
          </cell>
        </row>
        <row r="117">
          <cell r="A117" t="str">
            <v>0</v>
          </cell>
          <cell r="I117">
            <v>0</v>
          </cell>
          <cell r="N117">
            <v>0</v>
          </cell>
        </row>
        <row r="118">
          <cell r="A118" t="str">
            <v>0</v>
          </cell>
          <cell r="I118">
            <v>0</v>
          </cell>
          <cell r="N118">
            <v>0</v>
          </cell>
        </row>
        <row r="119">
          <cell r="A119" t="str">
            <v>0</v>
          </cell>
          <cell r="I119">
            <v>0</v>
          </cell>
          <cell r="N119">
            <v>0</v>
          </cell>
        </row>
        <row r="120">
          <cell r="A120" t="str">
            <v>0</v>
          </cell>
          <cell r="I120">
            <v>0</v>
          </cell>
          <cell r="N120">
            <v>0</v>
          </cell>
        </row>
        <row r="121">
          <cell r="A121" t="str">
            <v>0</v>
          </cell>
          <cell r="I121">
            <v>0</v>
          </cell>
          <cell r="N121">
            <v>0</v>
          </cell>
        </row>
        <row r="122">
          <cell r="A122" t="str">
            <v>0</v>
          </cell>
          <cell r="I122">
            <v>0</v>
          </cell>
          <cell r="N122">
            <v>0</v>
          </cell>
        </row>
        <row r="123">
          <cell r="A123" t="str">
            <v>0</v>
          </cell>
          <cell r="I123">
            <v>0</v>
          </cell>
          <cell r="N123">
            <v>0</v>
          </cell>
        </row>
        <row r="124">
          <cell r="A124" t="str">
            <v>0</v>
          </cell>
          <cell r="I124">
            <v>0</v>
          </cell>
          <cell r="N124">
            <v>0</v>
          </cell>
        </row>
        <row r="125">
          <cell r="A125" t="str">
            <v>0</v>
          </cell>
          <cell r="I125">
            <v>0</v>
          </cell>
          <cell r="N125">
            <v>0</v>
          </cell>
        </row>
        <row r="126">
          <cell r="A126" t="str">
            <v>0</v>
          </cell>
          <cell r="I126">
            <v>0</v>
          </cell>
          <cell r="N126">
            <v>0</v>
          </cell>
        </row>
        <row r="127">
          <cell r="A127" t="str">
            <v>0</v>
          </cell>
          <cell r="I127">
            <v>0</v>
          </cell>
          <cell r="N127">
            <v>0</v>
          </cell>
        </row>
        <row r="128">
          <cell r="A128" t="str">
            <v>0</v>
          </cell>
          <cell r="I128">
            <v>0</v>
          </cell>
          <cell r="N128">
            <v>0</v>
          </cell>
        </row>
        <row r="129">
          <cell r="A129" t="str">
            <v>0</v>
          </cell>
          <cell r="I129">
            <v>0</v>
          </cell>
          <cell r="N129">
            <v>0</v>
          </cell>
        </row>
        <row r="130">
          <cell r="A130" t="str">
            <v>0</v>
          </cell>
          <cell r="I130">
            <v>0</v>
          </cell>
          <cell r="N130">
            <v>0</v>
          </cell>
        </row>
        <row r="131">
          <cell r="A131" t="str">
            <v>0</v>
          </cell>
          <cell r="I131">
            <v>0</v>
          </cell>
          <cell r="N131">
            <v>0</v>
          </cell>
        </row>
        <row r="132">
          <cell r="A132" t="str">
            <v>0</v>
          </cell>
          <cell r="I132">
            <v>0</v>
          </cell>
          <cell r="N132">
            <v>0</v>
          </cell>
        </row>
        <row r="133">
          <cell r="A133" t="str">
            <v>0</v>
          </cell>
          <cell r="I133">
            <v>0</v>
          </cell>
          <cell r="N133">
            <v>0</v>
          </cell>
        </row>
        <row r="134">
          <cell r="A134" t="str">
            <v>0</v>
          </cell>
          <cell r="I134">
            <v>0</v>
          </cell>
          <cell r="N134">
            <v>0</v>
          </cell>
        </row>
        <row r="135">
          <cell r="A135" t="str">
            <v>0</v>
          </cell>
          <cell r="I135">
            <v>0</v>
          </cell>
          <cell r="N135">
            <v>0</v>
          </cell>
        </row>
        <row r="136">
          <cell r="A136" t="str">
            <v>0</v>
          </cell>
          <cell r="I136">
            <v>0</v>
          </cell>
          <cell r="N136">
            <v>0</v>
          </cell>
        </row>
        <row r="137">
          <cell r="A137" t="str">
            <v>0</v>
          </cell>
          <cell r="I137">
            <v>0</v>
          </cell>
          <cell r="N137">
            <v>0</v>
          </cell>
        </row>
        <row r="138">
          <cell r="A138" t="str">
            <v>0</v>
          </cell>
          <cell r="I138">
            <v>0</v>
          </cell>
          <cell r="N138">
            <v>0</v>
          </cell>
        </row>
        <row r="139">
          <cell r="A139" t="str">
            <v>0</v>
          </cell>
          <cell r="I139">
            <v>0</v>
          </cell>
          <cell r="N139">
            <v>0</v>
          </cell>
        </row>
        <row r="140">
          <cell r="A140" t="str">
            <v>0</v>
          </cell>
          <cell r="I140">
            <v>0</v>
          </cell>
          <cell r="N140">
            <v>0</v>
          </cell>
        </row>
        <row r="141">
          <cell r="A141" t="str">
            <v>0</v>
          </cell>
          <cell r="I141">
            <v>0</v>
          </cell>
          <cell r="N141">
            <v>0</v>
          </cell>
        </row>
        <row r="142">
          <cell r="A142" t="str">
            <v>0</v>
          </cell>
          <cell r="I142">
            <v>0</v>
          </cell>
          <cell r="N142">
            <v>0</v>
          </cell>
        </row>
        <row r="143">
          <cell r="A143" t="str">
            <v>0</v>
          </cell>
          <cell r="I143">
            <v>0</v>
          </cell>
          <cell r="N143">
            <v>0</v>
          </cell>
        </row>
        <row r="144">
          <cell r="A144" t="str">
            <v>0</v>
          </cell>
          <cell r="I144">
            <v>0</v>
          </cell>
          <cell r="N144">
            <v>0</v>
          </cell>
        </row>
        <row r="145">
          <cell r="A145" t="str">
            <v>0</v>
          </cell>
          <cell r="I145">
            <v>0</v>
          </cell>
          <cell r="N145">
            <v>0</v>
          </cell>
        </row>
        <row r="146">
          <cell r="A146" t="str">
            <v>0</v>
          </cell>
          <cell r="I146">
            <v>0</v>
          </cell>
          <cell r="N146">
            <v>0</v>
          </cell>
        </row>
        <row r="147">
          <cell r="A147" t="str">
            <v>0</v>
          </cell>
          <cell r="I147">
            <v>0</v>
          </cell>
          <cell r="N147">
            <v>0</v>
          </cell>
        </row>
        <row r="148">
          <cell r="A148" t="str">
            <v>0</v>
          </cell>
          <cell r="I148">
            <v>0</v>
          </cell>
          <cell r="N148">
            <v>0</v>
          </cell>
        </row>
        <row r="149">
          <cell r="A149" t="str">
            <v>0</v>
          </cell>
          <cell r="I149">
            <v>0</v>
          </cell>
          <cell r="N149">
            <v>0</v>
          </cell>
        </row>
        <row r="150">
          <cell r="A150" t="str">
            <v>0</v>
          </cell>
          <cell r="I150">
            <v>0</v>
          </cell>
          <cell r="N150">
            <v>0</v>
          </cell>
        </row>
        <row r="151">
          <cell r="A151" t="str">
            <v>0</v>
          </cell>
          <cell r="I151">
            <v>0</v>
          </cell>
          <cell r="N151">
            <v>0</v>
          </cell>
        </row>
        <row r="152">
          <cell r="A152" t="str">
            <v>0</v>
          </cell>
          <cell r="I152">
            <v>0</v>
          </cell>
          <cell r="N152">
            <v>0</v>
          </cell>
        </row>
        <row r="153">
          <cell r="A153" t="str">
            <v>0</v>
          </cell>
          <cell r="I153">
            <v>0</v>
          </cell>
          <cell r="N153">
            <v>0</v>
          </cell>
        </row>
        <row r="154">
          <cell r="A154" t="str">
            <v>0</v>
          </cell>
          <cell r="I154">
            <v>0</v>
          </cell>
          <cell r="N154">
            <v>0</v>
          </cell>
        </row>
        <row r="155">
          <cell r="A155" t="str">
            <v>0</v>
          </cell>
          <cell r="I155">
            <v>0</v>
          </cell>
          <cell r="N155">
            <v>0</v>
          </cell>
        </row>
        <row r="156">
          <cell r="A156" t="str">
            <v>0</v>
          </cell>
          <cell r="I156">
            <v>0</v>
          </cell>
          <cell r="N156">
            <v>0</v>
          </cell>
        </row>
        <row r="157">
          <cell r="A157" t="str">
            <v>0</v>
          </cell>
          <cell r="I157">
            <v>0</v>
          </cell>
          <cell r="N157">
            <v>0</v>
          </cell>
        </row>
        <row r="158">
          <cell r="A158" t="str">
            <v>0</v>
          </cell>
          <cell r="I158">
            <v>0</v>
          </cell>
          <cell r="N158">
            <v>0</v>
          </cell>
        </row>
        <row r="159">
          <cell r="A159" t="str">
            <v>0</v>
          </cell>
          <cell r="I159">
            <v>0</v>
          </cell>
          <cell r="N159">
            <v>0</v>
          </cell>
        </row>
        <row r="160">
          <cell r="A160" t="str">
            <v>0</v>
          </cell>
          <cell r="I160">
            <v>0</v>
          </cell>
          <cell r="N160">
            <v>0</v>
          </cell>
        </row>
        <row r="161">
          <cell r="A161" t="str">
            <v>0</v>
          </cell>
          <cell r="I161">
            <v>0</v>
          </cell>
          <cell r="N161">
            <v>0</v>
          </cell>
        </row>
        <row r="162">
          <cell r="A162" t="str">
            <v>0</v>
          </cell>
          <cell r="I162">
            <v>0</v>
          </cell>
          <cell r="N162">
            <v>0</v>
          </cell>
        </row>
        <row r="163">
          <cell r="A163" t="str">
            <v>0</v>
          </cell>
          <cell r="I163">
            <v>0</v>
          </cell>
          <cell r="N163">
            <v>0</v>
          </cell>
        </row>
        <row r="164">
          <cell r="A164" t="str">
            <v>0</v>
          </cell>
          <cell r="I164">
            <v>0</v>
          </cell>
          <cell r="N164">
            <v>0</v>
          </cell>
        </row>
        <row r="165">
          <cell r="A165" t="str">
            <v>0</v>
          </cell>
          <cell r="I165">
            <v>0</v>
          </cell>
          <cell r="N165">
            <v>0</v>
          </cell>
        </row>
        <row r="166">
          <cell r="A166" t="str">
            <v>0</v>
          </cell>
          <cell r="I166">
            <v>0</v>
          </cell>
          <cell r="N166">
            <v>0</v>
          </cell>
        </row>
        <row r="167">
          <cell r="A167" t="str">
            <v>0</v>
          </cell>
          <cell r="I167">
            <v>0</v>
          </cell>
          <cell r="N167">
            <v>0</v>
          </cell>
        </row>
        <row r="168">
          <cell r="A168" t="str">
            <v>0</v>
          </cell>
          <cell r="I168">
            <v>0</v>
          </cell>
          <cell r="N168">
            <v>0</v>
          </cell>
        </row>
        <row r="169">
          <cell r="A169" t="str">
            <v>0</v>
          </cell>
          <cell r="I169">
            <v>0</v>
          </cell>
          <cell r="N169">
            <v>0</v>
          </cell>
        </row>
        <row r="170">
          <cell r="A170" t="str">
            <v>0</v>
          </cell>
          <cell r="I170">
            <v>0</v>
          </cell>
          <cell r="N170">
            <v>0</v>
          </cell>
        </row>
        <row r="171">
          <cell r="A171" t="str">
            <v>0</v>
          </cell>
          <cell r="I171">
            <v>0</v>
          </cell>
          <cell r="N171">
            <v>0</v>
          </cell>
        </row>
        <row r="172">
          <cell r="A172" t="str">
            <v>0</v>
          </cell>
          <cell r="I172">
            <v>0</v>
          </cell>
          <cell r="N172">
            <v>0</v>
          </cell>
        </row>
        <row r="173">
          <cell r="A173" t="str">
            <v>0</v>
          </cell>
          <cell r="I173">
            <v>0</v>
          </cell>
          <cell r="N173">
            <v>0</v>
          </cell>
        </row>
        <row r="174">
          <cell r="A174" t="str">
            <v>0</v>
          </cell>
          <cell r="I174">
            <v>0</v>
          </cell>
          <cell r="N174">
            <v>0</v>
          </cell>
        </row>
        <row r="175">
          <cell r="A175" t="str">
            <v>0</v>
          </cell>
          <cell r="I175">
            <v>0</v>
          </cell>
          <cell r="N175">
            <v>0</v>
          </cell>
        </row>
        <row r="176">
          <cell r="A176" t="str">
            <v>0</v>
          </cell>
          <cell r="I176">
            <v>0</v>
          </cell>
          <cell r="N176">
            <v>0</v>
          </cell>
        </row>
        <row r="177">
          <cell r="A177" t="str">
            <v>0</v>
          </cell>
          <cell r="I177">
            <v>0</v>
          </cell>
          <cell r="N177">
            <v>0</v>
          </cell>
        </row>
        <row r="178">
          <cell r="A178" t="str">
            <v>0</v>
          </cell>
          <cell r="I178">
            <v>0</v>
          </cell>
          <cell r="N178">
            <v>0</v>
          </cell>
        </row>
        <row r="179">
          <cell r="A179" t="str">
            <v>0</v>
          </cell>
          <cell r="I179">
            <v>0</v>
          </cell>
          <cell r="N179">
            <v>0</v>
          </cell>
        </row>
        <row r="180">
          <cell r="A180" t="str">
            <v>0</v>
          </cell>
          <cell r="I180">
            <v>0</v>
          </cell>
          <cell r="N180">
            <v>0</v>
          </cell>
        </row>
        <row r="181">
          <cell r="A181" t="str">
            <v>0</v>
          </cell>
          <cell r="I181">
            <v>0</v>
          </cell>
          <cell r="N181">
            <v>0</v>
          </cell>
        </row>
        <row r="182">
          <cell r="A182" t="str">
            <v>0</v>
          </cell>
          <cell r="I182">
            <v>0</v>
          </cell>
          <cell r="N182">
            <v>0</v>
          </cell>
        </row>
        <row r="183">
          <cell r="A183" t="str">
            <v>0</v>
          </cell>
          <cell r="I183">
            <v>0</v>
          </cell>
          <cell r="N183">
            <v>0</v>
          </cell>
        </row>
        <row r="184">
          <cell r="A184" t="str">
            <v>0</v>
          </cell>
          <cell r="I184">
            <v>0</v>
          </cell>
          <cell r="N184">
            <v>0</v>
          </cell>
        </row>
        <row r="185">
          <cell r="A185" t="str">
            <v>0</v>
          </cell>
          <cell r="I185">
            <v>0</v>
          </cell>
          <cell r="N185">
            <v>0</v>
          </cell>
        </row>
        <row r="186">
          <cell r="A186" t="str">
            <v>0</v>
          </cell>
          <cell r="I186">
            <v>0</v>
          </cell>
          <cell r="N186">
            <v>0</v>
          </cell>
        </row>
        <row r="187">
          <cell r="A187" t="str">
            <v>0</v>
          </cell>
          <cell r="I187">
            <v>0</v>
          </cell>
          <cell r="N187">
            <v>0</v>
          </cell>
        </row>
        <row r="188">
          <cell r="A188" t="str">
            <v>0</v>
          </cell>
          <cell r="I188">
            <v>0</v>
          </cell>
          <cell r="N188">
            <v>0</v>
          </cell>
        </row>
        <row r="189">
          <cell r="A189" t="str">
            <v>0</v>
          </cell>
          <cell r="I189">
            <v>0</v>
          </cell>
          <cell r="N189">
            <v>0</v>
          </cell>
        </row>
        <row r="190">
          <cell r="A190" t="str">
            <v>0</v>
          </cell>
          <cell r="I190">
            <v>0</v>
          </cell>
          <cell r="N190">
            <v>0</v>
          </cell>
        </row>
        <row r="191">
          <cell r="A191" t="str">
            <v>0</v>
          </cell>
          <cell r="I191">
            <v>0</v>
          </cell>
          <cell r="N191">
            <v>0</v>
          </cell>
        </row>
        <row r="192">
          <cell r="A192" t="str">
            <v>0</v>
          </cell>
          <cell r="I192">
            <v>0</v>
          </cell>
          <cell r="N192">
            <v>0</v>
          </cell>
        </row>
        <row r="193">
          <cell r="A193" t="str">
            <v>0</v>
          </cell>
          <cell r="I193">
            <v>0</v>
          </cell>
          <cell r="N193">
            <v>0</v>
          </cell>
        </row>
        <row r="194">
          <cell r="A194" t="str">
            <v>0</v>
          </cell>
          <cell r="I194">
            <v>0</v>
          </cell>
          <cell r="N194">
            <v>0</v>
          </cell>
        </row>
        <row r="195">
          <cell r="A195" t="str">
            <v>0</v>
          </cell>
          <cell r="I195">
            <v>0</v>
          </cell>
          <cell r="N195">
            <v>0</v>
          </cell>
        </row>
        <row r="196">
          <cell r="A196" t="str">
            <v>0</v>
          </cell>
          <cell r="I196">
            <v>0</v>
          </cell>
          <cell r="N196">
            <v>0</v>
          </cell>
        </row>
        <row r="197">
          <cell r="A197" t="str">
            <v>0</v>
          </cell>
          <cell r="I197">
            <v>0</v>
          </cell>
          <cell r="N197">
            <v>0</v>
          </cell>
        </row>
        <row r="198">
          <cell r="A198" t="str">
            <v>0</v>
          </cell>
          <cell r="I198">
            <v>0</v>
          </cell>
          <cell r="N198">
            <v>0</v>
          </cell>
        </row>
        <row r="199">
          <cell r="A199" t="str">
            <v>0</v>
          </cell>
          <cell r="I199">
            <v>0</v>
          </cell>
          <cell r="N199">
            <v>0</v>
          </cell>
        </row>
        <row r="200">
          <cell r="A200" t="str">
            <v>0</v>
          </cell>
          <cell r="I200">
            <v>0</v>
          </cell>
          <cell r="N200">
            <v>0</v>
          </cell>
        </row>
        <row r="201">
          <cell r="A201" t="str">
            <v>0</v>
          </cell>
          <cell r="I201">
            <v>0</v>
          </cell>
          <cell r="N201">
            <v>0</v>
          </cell>
        </row>
        <row r="202">
          <cell r="A202" t="str">
            <v>0</v>
          </cell>
          <cell r="I202">
            <v>0</v>
          </cell>
          <cell r="N202">
            <v>0</v>
          </cell>
        </row>
        <row r="203">
          <cell r="A203" t="str">
            <v>0</v>
          </cell>
          <cell r="I203">
            <v>0</v>
          </cell>
          <cell r="N203">
            <v>0</v>
          </cell>
        </row>
        <row r="204">
          <cell r="A204" t="str">
            <v>0</v>
          </cell>
          <cell r="I204">
            <v>0</v>
          </cell>
          <cell r="N204">
            <v>0</v>
          </cell>
        </row>
        <row r="205">
          <cell r="A205" t="str">
            <v>0</v>
          </cell>
          <cell r="I205">
            <v>0</v>
          </cell>
          <cell r="N205">
            <v>0</v>
          </cell>
        </row>
        <row r="206">
          <cell r="A206" t="str">
            <v>0</v>
          </cell>
          <cell r="I206">
            <v>0</v>
          </cell>
          <cell r="N206">
            <v>0</v>
          </cell>
        </row>
        <row r="207">
          <cell r="A207" t="str">
            <v>0</v>
          </cell>
          <cell r="I207">
            <v>0</v>
          </cell>
          <cell r="N207">
            <v>0</v>
          </cell>
        </row>
        <row r="208">
          <cell r="A208" t="str">
            <v>0</v>
          </cell>
          <cell r="I208">
            <v>0</v>
          </cell>
          <cell r="N208">
            <v>0</v>
          </cell>
        </row>
        <row r="209">
          <cell r="A209" t="str">
            <v>0</v>
          </cell>
          <cell r="I209">
            <v>0</v>
          </cell>
          <cell r="N209">
            <v>0</v>
          </cell>
        </row>
        <row r="210">
          <cell r="A210" t="str">
            <v>0</v>
          </cell>
          <cell r="I210">
            <v>0</v>
          </cell>
          <cell r="N210">
            <v>0</v>
          </cell>
        </row>
        <row r="211">
          <cell r="A211" t="str">
            <v>0</v>
          </cell>
          <cell r="I211">
            <v>0</v>
          </cell>
          <cell r="N211">
            <v>0</v>
          </cell>
        </row>
        <row r="212">
          <cell r="A212" t="str">
            <v>0</v>
          </cell>
          <cell r="I212">
            <v>0</v>
          </cell>
          <cell r="N212">
            <v>0</v>
          </cell>
        </row>
        <row r="213">
          <cell r="A213" t="str">
            <v>0</v>
          </cell>
          <cell r="I213">
            <v>0</v>
          </cell>
          <cell r="N213">
            <v>0</v>
          </cell>
        </row>
        <row r="214">
          <cell r="A214" t="str">
            <v>0</v>
          </cell>
          <cell r="I214">
            <v>0</v>
          </cell>
          <cell r="N214">
            <v>0</v>
          </cell>
        </row>
        <row r="215">
          <cell r="A215" t="str">
            <v>0</v>
          </cell>
          <cell r="I215">
            <v>0</v>
          </cell>
          <cell r="N215">
            <v>0</v>
          </cell>
        </row>
        <row r="216">
          <cell r="A216" t="str">
            <v>0</v>
          </cell>
          <cell r="I216">
            <v>0</v>
          </cell>
          <cell r="N216">
            <v>0</v>
          </cell>
        </row>
        <row r="217">
          <cell r="A217" t="str">
            <v>0</v>
          </cell>
          <cell r="I217">
            <v>0</v>
          </cell>
          <cell r="N217">
            <v>0</v>
          </cell>
        </row>
        <row r="218">
          <cell r="A218" t="str">
            <v>0</v>
          </cell>
          <cell r="I218">
            <v>0</v>
          </cell>
          <cell r="N218">
            <v>0</v>
          </cell>
        </row>
        <row r="219">
          <cell r="A219" t="str">
            <v>0</v>
          </cell>
          <cell r="I219">
            <v>0</v>
          </cell>
          <cell r="N219">
            <v>0</v>
          </cell>
        </row>
        <row r="220">
          <cell r="A220" t="str">
            <v>0</v>
          </cell>
          <cell r="I220">
            <v>0</v>
          </cell>
          <cell r="N220">
            <v>0</v>
          </cell>
        </row>
        <row r="221">
          <cell r="A221" t="str">
            <v>0</v>
          </cell>
          <cell r="I221">
            <v>0</v>
          </cell>
          <cell r="N221">
            <v>0</v>
          </cell>
        </row>
        <row r="222">
          <cell r="A222" t="str">
            <v>0</v>
          </cell>
          <cell r="I222">
            <v>0</v>
          </cell>
          <cell r="N222">
            <v>0</v>
          </cell>
        </row>
        <row r="223">
          <cell r="A223" t="str">
            <v>0</v>
          </cell>
          <cell r="I223">
            <v>0</v>
          </cell>
          <cell r="N223">
            <v>0</v>
          </cell>
        </row>
        <row r="224">
          <cell r="A224" t="str">
            <v>0</v>
          </cell>
          <cell r="I224">
            <v>0</v>
          </cell>
          <cell r="N224">
            <v>0</v>
          </cell>
        </row>
        <row r="225">
          <cell r="A225" t="str">
            <v>0</v>
          </cell>
          <cell r="I225">
            <v>0</v>
          </cell>
          <cell r="N225">
            <v>0</v>
          </cell>
        </row>
        <row r="226">
          <cell r="A226" t="str">
            <v>0</v>
          </cell>
          <cell r="I226">
            <v>0</v>
          </cell>
          <cell r="N226">
            <v>0</v>
          </cell>
        </row>
        <row r="227">
          <cell r="A227" t="str">
            <v>0</v>
          </cell>
          <cell r="I227">
            <v>0</v>
          </cell>
          <cell r="N227">
            <v>0</v>
          </cell>
        </row>
        <row r="228">
          <cell r="A228" t="str">
            <v>0</v>
          </cell>
          <cell r="I228">
            <v>0</v>
          </cell>
          <cell r="N228">
            <v>0</v>
          </cell>
        </row>
        <row r="229">
          <cell r="A229" t="str">
            <v>0</v>
          </cell>
          <cell r="I229">
            <v>0</v>
          </cell>
          <cell r="N229">
            <v>0</v>
          </cell>
        </row>
        <row r="230">
          <cell r="A230" t="str">
            <v>0</v>
          </cell>
          <cell r="I230">
            <v>0</v>
          </cell>
          <cell r="N230">
            <v>0</v>
          </cell>
        </row>
        <row r="231">
          <cell r="A231" t="str">
            <v>0</v>
          </cell>
          <cell r="I231">
            <v>0</v>
          </cell>
          <cell r="N231">
            <v>0</v>
          </cell>
        </row>
        <row r="232">
          <cell r="A232" t="str">
            <v>0</v>
          </cell>
          <cell r="I232">
            <v>0</v>
          </cell>
          <cell r="N232">
            <v>0</v>
          </cell>
        </row>
        <row r="233">
          <cell r="A233" t="str">
            <v>0</v>
          </cell>
          <cell r="I233">
            <v>0</v>
          </cell>
          <cell r="N233">
            <v>0</v>
          </cell>
        </row>
        <row r="234">
          <cell r="A234" t="str">
            <v>0</v>
          </cell>
          <cell r="I234">
            <v>0</v>
          </cell>
          <cell r="N234">
            <v>0</v>
          </cell>
        </row>
        <row r="235">
          <cell r="A235" t="str">
            <v>0</v>
          </cell>
          <cell r="I235">
            <v>0</v>
          </cell>
          <cell r="N235">
            <v>0</v>
          </cell>
        </row>
        <row r="236">
          <cell r="A236" t="str">
            <v>0</v>
          </cell>
          <cell r="I236">
            <v>0</v>
          </cell>
          <cell r="N236">
            <v>0</v>
          </cell>
        </row>
        <row r="237">
          <cell r="A237" t="str">
            <v>0</v>
          </cell>
          <cell r="I237">
            <v>0</v>
          </cell>
          <cell r="N237">
            <v>0</v>
          </cell>
        </row>
        <row r="238">
          <cell r="A238" t="str">
            <v>0</v>
          </cell>
          <cell r="I238">
            <v>0</v>
          </cell>
          <cell r="N238">
            <v>0</v>
          </cell>
        </row>
        <row r="239">
          <cell r="A239" t="str">
            <v>0</v>
          </cell>
          <cell r="I239">
            <v>0</v>
          </cell>
          <cell r="N239">
            <v>0</v>
          </cell>
        </row>
        <row r="240">
          <cell r="A240" t="str">
            <v>0</v>
          </cell>
          <cell r="I240">
            <v>0</v>
          </cell>
          <cell r="N240">
            <v>0</v>
          </cell>
        </row>
        <row r="241">
          <cell r="A241" t="str">
            <v>0</v>
          </cell>
          <cell r="I241">
            <v>0</v>
          </cell>
          <cell r="N241">
            <v>0</v>
          </cell>
        </row>
        <row r="242">
          <cell r="A242" t="str">
            <v>0</v>
          </cell>
          <cell r="I242">
            <v>0</v>
          </cell>
          <cell r="N242">
            <v>0</v>
          </cell>
        </row>
        <row r="243">
          <cell r="A243" t="str">
            <v>0</v>
          </cell>
          <cell r="I243">
            <v>0</v>
          </cell>
          <cell r="N243">
            <v>0</v>
          </cell>
        </row>
        <row r="244">
          <cell r="A244" t="str">
            <v>0</v>
          </cell>
          <cell r="I244">
            <v>0</v>
          </cell>
          <cell r="N244">
            <v>0</v>
          </cell>
        </row>
        <row r="245">
          <cell r="A245" t="str">
            <v>0</v>
          </cell>
          <cell r="I245">
            <v>0</v>
          </cell>
          <cell r="N245">
            <v>0</v>
          </cell>
        </row>
        <row r="246">
          <cell r="A246" t="str">
            <v>0</v>
          </cell>
          <cell r="I246">
            <v>0</v>
          </cell>
          <cell r="N246">
            <v>0</v>
          </cell>
        </row>
        <row r="247">
          <cell r="A247" t="str">
            <v>0</v>
          </cell>
          <cell r="I247">
            <v>0</v>
          </cell>
          <cell r="N247">
            <v>0</v>
          </cell>
        </row>
        <row r="248">
          <cell r="A248" t="str">
            <v>0</v>
          </cell>
          <cell r="I248">
            <v>0</v>
          </cell>
          <cell r="N248">
            <v>0</v>
          </cell>
        </row>
        <row r="249">
          <cell r="A249" t="str">
            <v>0</v>
          </cell>
          <cell r="I249">
            <v>0</v>
          </cell>
          <cell r="N249">
            <v>0</v>
          </cell>
        </row>
        <row r="250">
          <cell r="A250" t="str">
            <v>0</v>
          </cell>
          <cell r="I250">
            <v>0</v>
          </cell>
          <cell r="N250">
            <v>0</v>
          </cell>
        </row>
        <row r="251">
          <cell r="A251" t="str">
            <v>0</v>
          </cell>
          <cell r="I251">
            <v>0</v>
          </cell>
          <cell r="N251">
            <v>0</v>
          </cell>
        </row>
        <row r="252">
          <cell r="A252" t="str">
            <v>0</v>
          </cell>
          <cell r="I252">
            <v>0</v>
          </cell>
          <cell r="N252">
            <v>0</v>
          </cell>
        </row>
        <row r="253">
          <cell r="A253" t="str">
            <v>0</v>
          </cell>
          <cell r="I253">
            <v>0</v>
          </cell>
          <cell r="N253">
            <v>0</v>
          </cell>
        </row>
        <row r="254">
          <cell r="A254" t="str">
            <v>0</v>
          </cell>
          <cell r="I254">
            <v>0</v>
          </cell>
          <cell r="N254">
            <v>0</v>
          </cell>
        </row>
        <row r="255">
          <cell r="A255" t="str">
            <v>0</v>
          </cell>
          <cell r="I255">
            <v>0</v>
          </cell>
          <cell r="N255">
            <v>0</v>
          </cell>
        </row>
        <row r="256">
          <cell r="A256" t="str">
            <v>0</v>
          </cell>
          <cell r="I256">
            <v>0</v>
          </cell>
          <cell r="N256">
            <v>0</v>
          </cell>
        </row>
        <row r="257">
          <cell r="A257" t="str">
            <v>0</v>
          </cell>
          <cell r="I257">
            <v>0</v>
          </cell>
          <cell r="N257">
            <v>0</v>
          </cell>
        </row>
        <row r="258">
          <cell r="A258" t="str">
            <v>0</v>
          </cell>
          <cell r="I258">
            <v>0</v>
          </cell>
          <cell r="N258">
            <v>0</v>
          </cell>
        </row>
        <row r="259">
          <cell r="A259" t="str">
            <v>0</v>
          </cell>
          <cell r="I259">
            <v>0</v>
          </cell>
          <cell r="N259">
            <v>0</v>
          </cell>
        </row>
        <row r="260">
          <cell r="A260" t="str">
            <v>0</v>
          </cell>
          <cell r="I260">
            <v>0</v>
          </cell>
          <cell r="N260">
            <v>0</v>
          </cell>
        </row>
        <row r="261">
          <cell r="A261" t="str">
            <v>0</v>
          </cell>
          <cell r="I261">
            <v>0</v>
          </cell>
          <cell r="N261">
            <v>0</v>
          </cell>
        </row>
        <row r="262">
          <cell r="A262" t="str">
            <v>0</v>
          </cell>
          <cell r="I262">
            <v>0</v>
          </cell>
          <cell r="N262">
            <v>0</v>
          </cell>
        </row>
        <row r="263">
          <cell r="A263" t="str">
            <v>0</v>
          </cell>
          <cell r="I263">
            <v>0</v>
          </cell>
          <cell r="N263">
            <v>0</v>
          </cell>
        </row>
        <row r="264">
          <cell r="A264" t="str">
            <v>0</v>
          </cell>
          <cell r="I264">
            <v>0</v>
          </cell>
          <cell r="N264">
            <v>0</v>
          </cell>
        </row>
        <row r="265">
          <cell r="A265" t="str">
            <v>0</v>
          </cell>
          <cell r="I265">
            <v>0</v>
          </cell>
          <cell r="N265">
            <v>0</v>
          </cell>
        </row>
        <row r="266">
          <cell r="A266" t="str">
            <v>0</v>
          </cell>
          <cell r="I266">
            <v>0</v>
          </cell>
          <cell r="N266">
            <v>0</v>
          </cell>
        </row>
        <row r="267">
          <cell r="A267" t="str">
            <v>0</v>
          </cell>
          <cell r="I267">
            <v>0</v>
          </cell>
          <cell r="N267">
            <v>0</v>
          </cell>
        </row>
        <row r="268">
          <cell r="A268" t="str">
            <v>0</v>
          </cell>
          <cell r="I268">
            <v>0</v>
          </cell>
          <cell r="N268">
            <v>0</v>
          </cell>
        </row>
        <row r="269">
          <cell r="A269" t="str">
            <v>0</v>
          </cell>
          <cell r="I269">
            <v>0</v>
          </cell>
          <cell r="N269">
            <v>0</v>
          </cell>
        </row>
        <row r="270">
          <cell r="A270" t="str">
            <v>0</v>
          </cell>
          <cell r="I270">
            <v>0</v>
          </cell>
          <cell r="N270">
            <v>0</v>
          </cell>
        </row>
        <row r="271">
          <cell r="A271" t="str">
            <v>0</v>
          </cell>
          <cell r="I271">
            <v>0</v>
          </cell>
          <cell r="N271">
            <v>0</v>
          </cell>
        </row>
        <row r="272">
          <cell r="A272" t="str">
            <v>0</v>
          </cell>
          <cell r="I272">
            <v>0</v>
          </cell>
          <cell r="N272">
            <v>0</v>
          </cell>
        </row>
        <row r="273">
          <cell r="A273" t="str">
            <v>0</v>
          </cell>
          <cell r="I273">
            <v>0</v>
          </cell>
          <cell r="N273">
            <v>0</v>
          </cell>
        </row>
        <row r="274">
          <cell r="A274" t="str">
            <v>0</v>
          </cell>
          <cell r="I274">
            <v>0</v>
          </cell>
          <cell r="N274">
            <v>0</v>
          </cell>
        </row>
        <row r="275">
          <cell r="A275" t="str">
            <v>0</v>
          </cell>
          <cell r="I275">
            <v>0</v>
          </cell>
          <cell r="N275">
            <v>0</v>
          </cell>
        </row>
        <row r="276">
          <cell r="A276" t="str">
            <v>0</v>
          </cell>
          <cell r="I276">
            <v>0</v>
          </cell>
          <cell r="N276">
            <v>0</v>
          </cell>
        </row>
        <row r="277">
          <cell r="A277" t="str">
            <v>0</v>
          </cell>
          <cell r="I277">
            <v>0</v>
          </cell>
          <cell r="N277">
            <v>0</v>
          </cell>
        </row>
        <row r="278">
          <cell r="A278" t="str">
            <v>0</v>
          </cell>
          <cell r="I278">
            <v>0</v>
          </cell>
          <cell r="N278">
            <v>0</v>
          </cell>
        </row>
        <row r="279">
          <cell r="A279" t="str">
            <v>0</v>
          </cell>
          <cell r="I279">
            <v>0</v>
          </cell>
          <cell r="N279">
            <v>0</v>
          </cell>
        </row>
        <row r="280">
          <cell r="A280" t="str">
            <v>0</v>
          </cell>
          <cell r="I280">
            <v>0</v>
          </cell>
          <cell r="N280">
            <v>0</v>
          </cell>
        </row>
        <row r="281">
          <cell r="A281" t="str">
            <v>0</v>
          </cell>
          <cell r="I281">
            <v>0</v>
          </cell>
          <cell r="N281">
            <v>0</v>
          </cell>
        </row>
        <row r="282">
          <cell r="A282" t="str">
            <v>0</v>
          </cell>
          <cell r="I282">
            <v>0</v>
          </cell>
          <cell r="N282">
            <v>0</v>
          </cell>
        </row>
        <row r="283">
          <cell r="A283" t="str">
            <v>0</v>
          </cell>
          <cell r="I283">
            <v>0</v>
          </cell>
          <cell r="N283">
            <v>0</v>
          </cell>
        </row>
        <row r="284">
          <cell r="A284" t="str">
            <v>0</v>
          </cell>
          <cell r="I284">
            <v>0</v>
          </cell>
          <cell r="N284">
            <v>0</v>
          </cell>
        </row>
        <row r="285">
          <cell r="A285" t="str">
            <v>0</v>
          </cell>
          <cell r="I285">
            <v>0</v>
          </cell>
          <cell r="N285">
            <v>0</v>
          </cell>
        </row>
        <row r="286">
          <cell r="A286" t="str">
            <v>0</v>
          </cell>
          <cell r="I286">
            <v>0</v>
          </cell>
          <cell r="N286">
            <v>0</v>
          </cell>
        </row>
        <row r="287">
          <cell r="A287" t="str">
            <v>0</v>
          </cell>
          <cell r="I287">
            <v>0</v>
          </cell>
          <cell r="N287">
            <v>0</v>
          </cell>
        </row>
        <row r="288">
          <cell r="A288" t="str">
            <v>0</v>
          </cell>
          <cell r="I288">
            <v>0</v>
          </cell>
          <cell r="N288">
            <v>0</v>
          </cell>
        </row>
        <row r="289">
          <cell r="A289" t="str">
            <v>0</v>
          </cell>
          <cell r="I289">
            <v>0</v>
          </cell>
          <cell r="N289">
            <v>0</v>
          </cell>
        </row>
        <row r="290">
          <cell r="A290" t="str">
            <v>0</v>
          </cell>
          <cell r="I290">
            <v>0</v>
          </cell>
          <cell r="N290">
            <v>0</v>
          </cell>
        </row>
        <row r="291">
          <cell r="A291" t="str">
            <v>0</v>
          </cell>
          <cell r="I291">
            <v>0</v>
          </cell>
          <cell r="N291">
            <v>0</v>
          </cell>
        </row>
        <row r="292">
          <cell r="A292" t="str">
            <v>0</v>
          </cell>
          <cell r="I292">
            <v>0</v>
          </cell>
          <cell r="N292">
            <v>0</v>
          </cell>
        </row>
        <row r="293">
          <cell r="A293" t="str">
            <v>0</v>
          </cell>
          <cell r="I293">
            <v>0</v>
          </cell>
          <cell r="N293">
            <v>0</v>
          </cell>
        </row>
        <row r="294">
          <cell r="A294" t="str">
            <v>0</v>
          </cell>
          <cell r="I294">
            <v>0</v>
          </cell>
          <cell r="N294">
            <v>0</v>
          </cell>
        </row>
        <row r="295">
          <cell r="A295" t="str">
            <v>0</v>
          </cell>
          <cell r="I295">
            <v>0</v>
          </cell>
          <cell r="N295">
            <v>0</v>
          </cell>
        </row>
        <row r="296">
          <cell r="A296" t="str">
            <v>0</v>
          </cell>
          <cell r="I296">
            <v>0</v>
          </cell>
          <cell r="N296">
            <v>0</v>
          </cell>
        </row>
        <row r="297">
          <cell r="A297" t="str">
            <v>0</v>
          </cell>
          <cell r="I297">
            <v>0</v>
          </cell>
          <cell r="N297">
            <v>0</v>
          </cell>
        </row>
        <row r="298">
          <cell r="A298" t="str">
            <v>0</v>
          </cell>
          <cell r="I298">
            <v>0</v>
          </cell>
          <cell r="N298">
            <v>0</v>
          </cell>
        </row>
        <row r="299">
          <cell r="A299" t="str">
            <v>0</v>
          </cell>
          <cell r="I299">
            <v>0</v>
          </cell>
          <cell r="N299">
            <v>0</v>
          </cell>
        </row>
        <row r="300">
          <cell r="A300" t="str">
            <v>0</v>
          </cell>
          <cell r="I300">
            <v>0</v>
          </cell>
          <cell r="N300">
            <v>0</v>
          </cell>
        </row>
        <row r="301">
          <cell r="A301" t="str">
            <v>0</v>
          </cell>
          <cell r="I301">
            <v>0</v>
          </cell>
          <cell r="N301">
            <v>0</v>
          </cell>
        </row>
        <row r="302">
          <cell r="A302" t="str">
            <v>0</v>
          </cell>
          <cell r="I302">
            <v>0</v>
          </cell>
          <cell r="N302">
            <v>0</v>
          </cell>
        </row>
        <row r="303">
          <cell r="A303" t="str">
            <v>0</v>
          </cell>
          <cell r="I303">
            <v>0</v>
          </cell>
          <cell r="N303">
            <v>0</v>
          </cell>
        </row>
        <row r="304">
          <cell r="A304" t="str">
            <v>0</v>
          </cell>
          <cell r="I304">
            <v>0</v>
          </cell>
          <cell r="N304">
            <v>0</v>
          </cell>
        </row>
        <row r="305">
          <cell r="A305" t="str">
            <v>0</v>
          </cell>
          <cell r="I305">
            <v>0</v>
          </cell>
          <cell r="N305">
            <v>0</v>
          </cell>
        </row>
        <row r="306">
          <cell r="A306" t="str">
            <v>0</v>
          </cell>
          <cell r="I306">
            <v>0</v>
          </cell>
          <cell r="N306">
            <v>0</v>
          </cell>
        </row>
        <row r="307">
          <cell r="A307" t="str">
            <v>0</v>
          </cell>
          <cell r="I307">
            <v>0</v>
          </cell>
          <cell r="N307">
            <v>0</v>
          </cell>
        </row>
        <row r="308">
          <cell r="A308" t="str">
            <v>0</v>
          </cell>
          <cell r="I308">
            <v>0</v>
          </cell>
          <cell r="N308">
            <v>0</v>
          </cell>
        </row>
        <row r="309">
          <cell r="A309" t="str">
            <v>0</v>
          </cell>
          <cell r="I309">
            <v>0</v>
          </cell>
          <cell r="N309">
            <v>0</v>
          </cell>
        </row>
        <row r="310">
          <cell r="A310" t="str">
            <v>0</v>
          </cell>
          <cell r="I310">
            <v>0</v>
          </cell>
          <cell r="N310">
            <v>0</v>
          </cell>
        </row>
        <row r="311">
          <cell r="A311" t="str">
            <v>0</v>
          </cell>
          <cell r="I311">
            <v>0</v>
          </cell>
          <cell r="N311">
            <v>0</v>
          </cell>
        </row>
        <row r="312">
          <cell r="A312" t="str">
            <v>0</v>
          </cell>
          <cell r="I312">
            <v>0</v>
          </cell>
          <cell r="N312">
            <v>0</v>
          </cell>
        </row>
        <row r="313">
          <cell r="A313" t="str">
            <v>0</v>
          </cell>
          <cell r="I313">
            <v>0</v>
          </cell>
          <cell r="N313">
            <v>0</v>
          </cell>
        </row>
        <row r="314">
          <cell r="A314" t="str">
            <v>0</v>
          </cell>
          <cell r="I314">
            <v>0</v>
          </cell>
          <cell r="N314">
            <v>0</v>
          </cell>
        </row>
        <row r="315">
          <cell r="A315" t="str">
            <v>0</v>
          </cell>
          <cell r="I315">
            <v>0</v>
          </cell>
          <cell r="N315">
            <v>0</v>
          </cell>
        </row>
        <row r="316">
          <cell r="A316" t="str">
            <v>0</v>
          </cell>
          <cell r="I316">
            <v>0</v>
          </cell>
          <cell r="N316">
            <v>0</v>
          </cell>
        </row>
        <row r="317">
          <cell r="A317" t="str">
            <v>0</v>
          </cell>
          <cell r="I317">
            <v>0</v>
          </cell>
          <cell r="N317">
            <v>0</v>
          </cell>
        </row>
        <row r="318">
          <cell r="A318" t="str">
            <v>0</v>
          </cell>
          <cell r="I318">
            <v>0</v>
          </cell>
          <cell r="N318">
            <v>0</v>
          </cell>
        </row>
        <row r="319">
          <cell r="A319" t="str">
            <v>0</v>
          </cell>
          <cell r="I319">
            <v>0</v>
          </cell>
          <cell r="N319">
            <v>0</v>
          </cell>
        </row>
        <row r="320">
          <cell r="A320" t="str">
            <v>0</v>
          </cell>
          <cell r="I320">
            <v>0</v>
          </cell>
          <cell r="N320">
            <v>0</v>
          </cell>
        </row>
        <row r="321">
          <cell r="A321" t="str">
            <v>0</v>
          </cell>
          <cell r="I321">
            <v>0</v>
          </cell>
          <cell r="N321">
            <v>0</v>
          </cell>
        </row>
        <row r="322">
          <cell r="A322" t="str">
            <v>0</v>
          </cell>
          <cell r="I322">
            <v>0</v>
          </cell>
          <cell r="N322">
            <v>0</v>
          </cell>
        </row>
        <row r="323">
          <cell r="A323" t="str">
            <v>0</v>
          </cell>
          <cell r="I323">
            <v>0</v>
          </cell>
          <cell r="N323">
            <v>0</v>
          </cell>
        </row>
        <row r="324">
          <cell r="A324" t="str">
            <v>0</v>
          </cell>
          <cell r="I324">
            <v>0</v>
          </cell>
          <cell r="N324">
            <v>0</v>
          </cell>
        </row>
        <row r="325">
          <cell r="A325" t="str">
            <v>0</v>
          </cell>
          <cell r="I325">
            <v>0</v>
          </cell>
          <cell r="N325">
            <v>0</v>
          </cell>
        </row>
        <row r="326">
          <cell r="A326" t="str">
            <v>0</v>
          </cell>
          <cell r="I326">
            <v>0</v>
          </cell>
          <cell r="N326">
            <v>0</v>
          </cell>
        </row>
        <row r="327">
          <cell r="A327" t="str">
            <v>0</v>
          </cell>
          <cell r="I327">
            <v>0</v>
          </cell>
          <cell r="N327">
            <v>0</v>
          </cell>
        </row>
        <row r="328">
          <cell r="A328" t="str">
            <v>0</v>
          </cell>
          <cell r="I328">
            <v>0</v>
          </cell>
          <cell r="N328">
            <v>0</v>
          </cell>
        </row>
        <row r="329">
          <cell r="A329" t="str">
            <v>0</v>
          </cell>
          <cell r="I329">
            <v>0</v>
          </cell>
          <cell r="N329">
            <v>0</v>
          </cell>
        </row>
        <row r="330">
          <cell r="A330" t="str">
            <v>0</v>
          </cell>
          <cell r="I330">
            <v>0</v>
          </cell>
          <cell r="N330">
            <v>0</v>
          </cell>
        </row>
        <row r="331">
          <cell r="A331" t="str">
            <v>0</v>
          </cell>
          <cell r="I331">
            <v>0</v>
          </cell>
          <cell r="N331">
            <v>0</v>
          </cell>
        </row>
        <row r="332">
          <cell r="A332" t="str">
            <v>0</v>
          </cell>
          <cell r="I332">
            <v>0</v>
          </cell>
          <cell r="N332">
            <v>0</v>
          </cell>
        </row>
        <row r="333">
          <cell r="A333" t="str">
            <v>0</v>
          </cell>
          <cell r="I333">
            <v>0</v>
          </cell>
          <cell r="N333">
            <v>0</v>
          </cell>
        </row>
        <row r="334">
          <cell r="A334" t="str">
            <v>0</v>
          </cell>
          <cell r="I334">
            <v>0</v>
          </cell>
          <cell r="N334">
            <v>0</v>
          </cell>
        </row>
        <row r="335">
          <cell r="A335" t="str">
            <v>0</v>
          </cell>
          <cell r="I335">
            <v>0</v>
          </cell>
          <cell r="N335">
            <v>0</v>
          </cell>
        </row>
        <row r="336">
          <cell r="A336" t="str">
            <v>0</v>
          </cell>
          <cell r="I336">
            <v>0</v>
          </cell>
          <cell r="N336">
            <v>0</v>
          </cell>
        </row>
        <row r="337">
          <cell r="A337" t="str">
            <v>0</v>
          </cell>
          <cell r="I337">
            <v>0</v>
          </cell>
          <cell r="N337">
            <v>0</v>
          </cell>
        </row>
        <row r="338">
          <cell r="A338" t="str">
            <v>0</v>
          </cell>
          <cell r="I338">
            <v>0</v>
          </cell>
          <cell r="N338">
            <v>0</v>
          </cell>
        </row>
        <row r="339">
          <cell r="A339" t="str">
            <v>0</v>
          </cell>
          <cell r="I339">
            <v>0</v>
          </cell>
          <cell r="N339">
            <v>0</v>
          </cell>
        </row>
        <row r="340">
          <cell r="A340" t="str">
            <v>0</v>
          </cell>
          <cell r="I340">
            <v>0</v>
          </cell>
          <cell r="N340">
            <v>0</v>
          </cell>
        </row>
        <row r="341">
          <cell r="A341" t="str">
            <v>0</v>
          </cell>
          <cell r="I341">
            <v>0</v>
          </cell>
          <cell r="N341">
            <v>0</v>
          </cell>
        </row>
        <row r="342">
          <cell r="A342" t="str">
            <v>0</v>
          </cell>
          <cell r="I342">
            <v>0</v>
          </cell>
          <cell r="N342">
            <v>0</v>
          </cell>
        </row>
        <row r="343">
          <cell r="A343" t="str">
            <v>0</v>
          </cell>
          <cell r="I343">
            <v>0</v>
          </cell>
          <cell r="N343">
            <v>0</v>
          </cell>
        </row>
        <row r="344">
          <cell r="A344" t="str">
            <v>0</v>
          </cell>
          <cell r="I344">
            <v>0</v>
          </cell>
          <cell r="N344">
            <v>0</v>
          </cell>
        </row>
        <row r="345">
          <cell r="A345" t="str">
            <v>0</v>
          </cell>
          <cell r="I345">
            <v>0</v>
          </cell>
          <cell r="N345">
            <v>0</v>
          </cell>
        </row>
        <row r="346">
          <cell r="A346" t="str">
            <v>0</v>
          </cell>
          <cell r="I346">
            <v>0</v>
          </cell>
          <cell r="N346">
            <v>0</v>
          </cell>
        </row>
        <row r="347">
          <cell r="A347" t="str">
            <v>0</v>
          </cell>
          <cell r="I347">
            <v>0</v>
          </cell>
          <cell r="N347">
            <v>0</v>
          </cell>
        </row>
        <row r="348">
          <cell r="A348" t="str">
            <v>0</v>
          </cell>
          <cell r="I348">
            <v>0</v>
          </cell>
          <cell r="N348">
            <v>0</v>
          </cell>
        </row>
        <row r="349">
          <cell r="A349" t="str">
            <v>0</v>
          </cell>
          <cell r="I349">
            <v>0</v>
          </cell>
          <cell r="N349">
            <v>0</v>
          </cell>
        </row>
        <row r="350">
          <cell r="A350" t="str">
            <v>0</v>
          </cell>
          <cell r="I350">
            <v>0</v>
          </cell>
          <cell r="N350">
            <v>0</v>
          </cell>
        </row>
        <row r="351">
          <cell r="A351" t="str">
            <v>0</v>
          </cell>
          <cell r="I351">
            <v>0</v>
          </cell>
          <cell r="N351">
            <v>0</v>
          </cell>
        </row>
        <row r="352">
          <cell r="A352" t="str">
            <v>0</v>
          </cell>
          <cell r="I352">
            <v>0</v>
          </cell>
          <cell r="N352">
            <v>0</v>
          </cell>
        </row>
        <row r="353">
          <cell r="A353" t="str">
            <v>0</v>
          </cell>
          <cell r="I353">
            <v>0</v>
          </cell>
          <cell r="N353">
            <v>0</v>
          </cell>
        </row>
        <row r="354">
          <cell r="A354" t="str">
            <v>0</v>
          </cell>
          <cell r="I354">
            <v>0</v>
          </cell>
          <cell r="N354">
            <v>0</v>
          </cell>
        </row>
        <row r="355">
          <cell r="A355" t="str">
            <v>0</v>
          </cell>
          <cell r="I355">
            <v>0</v>
          </cell>
          <cell r="N355">
            <v>0</v>
          </cell>
        </row>
        <row r="356">
          <cell r="A356" t="str">
            <v>0</v>
          </cell>
          <cell r="I356">
            <v>0</v>
          </cell>
          <cell r="N356">
            <v>0</v>
          </cell>
        </row>
        <row r="357">
          <cell r="A357" t="str">
            <v>0</v>
          </cell>
          <cell r="I357">
            <v>0</v>
          </cell>
          <cell r="N357">
            <v>0</v>
          </cell>
        </row>
        <row r="358">
          <cell r="A358" t="str">
            <v>0</v>
          </cell>
          <cell r="I358">
            <v>0</v>
          </cell>
          <cell r="N358">
            <v>0</v>
          </cell>
        </row>
        <row r="359">
          <cell r="A359" t="str">
            <v>0</v>
          </cell>
          <cell r="I359">
            <v>0</v>
          </cell>
          <cell r="N359">
            <v>0</v>
          </cell>
        </row>
        <row r="360">
          <cell r="A360" t="str">
            <v>0</v>
          </cell>
          <cell r="I360">
            <v>0</v>
          </cell>
          <cell r="N360">
            <v>0</v>
          </cell>
        </row>
        <row r="361">
          <cell r="A361" t="str">
            <v>0</v>
          </cell>
          <cell r="I361">
            <v>0</v>
          </cell>
          <cell r="N361">
            <v>0</v>
          </cell>
        </row>
        <row r="362">
          <cell r="A362" t="str">
            <v>0</v>
          </cell>
          <cell r="I362">
            <v>0</v>
          </cell>
          <cell r="N362">
            <v>0</v>
          </cell>
        </row>
        <row r="363">
          <cell r="A363" t="str">
            <v>0</v>
          </cell>
          <cell r="I363">
            <v>0</v>
          </cell>
          <cell r="N363">
            <v>0</v>
          </cell>
        </row>
        <row r="364">
          <cell r="A364" t="str">
            <v>0</v>
          </cell>
          <cell r="I364">
            <v>0</v>
          </cell>
          <cell r="N364">
            <v>0</v>
          </cell>
        </row>
        <row r="365">
          <cell r="A365" t="str">
            <v>0</v>
          </cell>
          <cell r="I365">
            <v>0</v>
          </cell>
          <cell r="N365">
            <v>0</v>
          </cell>
        </row>
        <row r="366">
          <cell r="A366" t="str">
            <v>0</v>
          </cell>
          <cell r="I366">
            <v>0</v>
          </cell>
          <cell r="N366">
            <v>0</v>
          </cell>
        </row>
        <row r="367">
          <cell r="A367" t="str">
            <v>0</v>
          </cell>
          <cell r="I367">
            <v>0</v>
          </cell>
          <cell r="N367">
            <v>0</v>
          </cell>
        </row>
        <row r="368">
          <cell r="A368" t="str">
            <v>0</v>
          </cell>
          <cell r="I368">
            <v>0</v>
          </cell>
          <cell r="N368">
            <v>0</v>
          </cell>
        </row>
        <row r="369">
          <cell r="A369" t="str">
            <v>0</v>
          </cell>
          <cell r="I369">
            <v>0</v>
          </cell>
          <cell r="N369">
            <v>0</v>
          </cell>
        </row>
        <row r="370">
          <cell r="A370" t="str">
            <v>0</v>
          </cell>
          <cell r="I370">
            <v>0</v>
          </cell>
          <cell r="N370">
            <v>0</v>
          </cell>
        </row>
        <row r="371">
          <cell r="A371" t="str">
            <v>0</v>
          </cell>
          <cell r="I371">
            <v>0</v>
          </cell>
          <cell r="N371">
            <v>0</v>
          </cell>
        </row>
        <row r="372">
          <cell r="A372" t="str">
            <v>0</v>
          </cell>
          <cell r="I372">
            <v>0</v>
          </cell>
          <cell r="N372">
            <v>0</v>
          </cell>
        </row>
        <row r="373">
          <cell r="A373" t="str">
            <v>0</v>
          </cell>
          <cell r="I373">
            <v>0</v>
          </cell>
          <cell r="N373">
            <v>0</v>
          </cell>
        </row>
        <row r="374">
          <cell r="A374" t="str">
            <v>0</v>
          </cell>
          <cell r="I374">
            <v>0</v>
          </cell>
          <cell r="N374">
            <v>0</v>
          </cell>
        </row>
        <row r="375">
          <cell r="A375" t="str">
            <v>0</v>
          </cell>
          <cell r="I375">
            <v>0</v>
          </cell>
          <cell r="N375">
            <v>0</v>
          </cell>
        </row>
        <row r="376">
          <cell r="A376" t="str">
            <v>0</v>
          </cell>
          <cell r="I376">
            <v>0</v>
          </cell>
          <cell r="N376">
            <v>0</v>
          </cell>
        </row>
        <row r="377">
          <cell r="A377" t="str">
            <v>0</v>
          </cell>
          <cell r="I377">
            <v>0</v>
          </cell>
          <cell r="N377">
            <v>0</v>
          </cell>
        </row>
        <row r="378">
          <cell r="A378" t="str">
            <v>0</v>
          </cell>
          <cell r="I378">
            <v>0</v>
          </cell>
          <cell r="N378">
            <v>0</v>
          </cell>
        </row>
        <row r="379">
          <cell r="A379" t="str">
            <v>0</v>
          </cell>
          <cell r="I379">
            <v>0</v>
          </cell>
          <cell r="N379">
            <v>0</v>
          </cell>
        </row>
        <row r="380">
          <cell r="A380" t="str">
            <v>0</v>
          </cell>
          <cell r="I380">
            <v>0</v>
          </cell>
          <cell r="N380">
            <v>0</v>
          </cell>
        </row>
        <row r="381">
          <cell r="A381" t="str">
            <v>0</v>
          </cell>
          <cell r="I381">
            <v>0</v>
          </cell>
          <cell r="N381">
            <v>0</v>
          </cell>
        </row>
        <row r="382">
          <cell r="A382" t="str">
            <v>0</v>
          </cell>
          <cell r="I382">
            <v>0</v>
          </cell>
          <cell r="N382">
            <v>0</v>
          </cell>
        </row>
        <row r="383">
          <cell r="A383" t="str">
            <v>0</v>
          </cell>
          <cell r="I383">
            <v>0</v>
          </cell>
          <cell r="N383">
            <v>0</v>
          </cell>
        </row>
        <row r="384">
          <cell r="A384" t="str">
            <v>0</v>
          </cell>
          <cell r="I384">
            <v>0</v>
          </cell>
          <cell r="N384">
            <v>0</v>
          </cell>
        </row>
        <row r="385">
          <cell r="A385" t="str">
            <v>0</v>
          </cell>
          <cell r="I385">
            <v>0</v>
          </cell>
          <cell r="N385">
            <v>0</v>
          </cell>
        </row>
        <row r="386">
          <cell r="A386" t="str">
            <v>0</v>
          </cell>
          <cell r="I386">
            <v>0</v>
          </cell>
          <cell r="N386">
            <v>0</v>
          </cell>
        </row>
        <row r="387">
          <cell r="A387" t="str">
            <v>0</v>
          </cell>
          <cell r="I387">
            <v>0</v>
          </cell>
          <cell r="N387">
            <v>0</v>
          </cell>
        </row>
        <row r="388">
          <cell r="A388" t="str">
            <v>0</v>
          </cell>
          <cell r="I388">
            <v>0</v>
          </cell>
          <cell r="N388">
            <v>0</v>
          </cell>
        </row>
        <row r="389">
          <cell r="A389" t="str">
            <v>0</v>
          </cell>
          <cell r="I389">
            <v>0</v>
          </cell>
          <cell r="N389">
            <v>0</v>
          </cell>
        </row>
        <row r="390">
          <cell r="A390" t="str">
            <v>0</v>
          </cell>
          <cell r="I390">
            <v>0</v>
          </cell>
          <cell r="N390">
            <v>0</v>
          </cell>
        </row>
        <row r="391">
          <cell r="A391" t="str">
            <v>0</v>
          </cell>
          <cell r="I391">
            <v>0</v>
          </cell>
          <cell r="N391">
            <v>0</v>
          </cell>
        </row>
        <row r="392">
          <cell r="A392" t="str">
            <v>0</v>
          </cell>
          <cell r="I392">
            <v>0</v>
          </cell>
          <cell r="N392">
            <v>0</v>
          </cell>
        </row>
        <row r="393">
          <cell r="A393" t="str">
            <v>0</v>
          </cell>
          <cell r="I393">
            <v>0</v>
          </cell>
          <cell r="N393">
            <v>0</v>
          </cell>
        </row>
        <row r="394">
          <cell r="A394" t="str">
            <v>0</v>
          </cell>
          <cell r="I394">
            <v>0</v>
          </cell>
          <cell r="N394">
            <v>0</v>
          </cell>
        </row>
        <row r="395">
          <cell r="A395" t="str">
            <v>0</v>
          </cell>
          <cell r="I395">
            <v>0</v>
          </cell>
          <cell r="N395">
            <v>0</v>
          </cell>
        </row>
        <row r="396">
          <cell r="A396" t="str">
            <v>0</v>
          </cell>
          <cell r="I396">
            <v>0</v>
          </cell>
          <cell r="N396">
            <v>0</v>
          </cell>
        </row>
        <row r="397">
          <cell r="A397" t="str">
            <v>0</v>
          </cell>
          <cell r="I397">
            <v>0</v>
          </cell>
          <cell r="N397">
            <v>0</v>
          </cell>
        </row>
        <row r="398">
          <cell r="A398" t="str">
            <v>0</v>
          </cell>
          <cell r="I398">
            <v>0</v>
          </cell>
          <cell r="N398">
            <v>0</v>
          </cell>
        </row>
        <row r="399">
          <cell r="A399" t="str">
            <v>0</v>
          </cell>
          <cell r="I399">
            <v>0</v>
          </cell>
          <cell r="N399">
            <v>0</v>
          </cell>
        </row>
        <row r="400">
          <cell r="A400" t="str">
            <v>0</v>
          </cell>
          <cell r="I400">
            <v>0</v>
          </cell>
          <cell r="N400">
            <v>0</v>
          </cell>
        </row>
        <row r="401">
          <cell r="A401" t="str">
            <v>0</v>
          </cell>
          <cell r="I401">
            <v>0</v>
          </cell>
          <cell r="N401">
            <v>0</v>
          </cell>
        </row>
        <row r="402">
          <cell r="A402" t="str">
            <v>0</v>
          </cell>
          <cell r="I402">
            <v>0</v>
          </cell>
          <cell r="N402">
            <v>0</v>
          </cell>
        </row>
        <row r="403">
          <cell r="A403" t="str">
            <v>0</v>
          </cell>
          <cell r="I403">
            <v>0</v>
          </cell>
          <cell r="N403">
            <v>0</v>
          </cell>
        </row>
        <row r="404">
          <cell r="A404" t="str">
            <v>0</v>
          </cell>
          <cell r="I404">
            <v>0</v>
          </cell>
          <cell r="N404">
            <v>0</v>
          </cell>
        </row>
        <row r="405">
          <cell r="A405" t="str">
            <v>0</v>
          </cell>
          <cell r="I405">
            <v>0</v>
          </cell>
          <cell r="N405">
            <v>0</v>
          </cell>
        </row>
        <row r="406">
          <cell r="A406" t="str">
            <v>0</v>
          </cell>
          <cell r="I406">
            <v>0</v>
          </cell>
          <cell r="N406">
            <v>0</v>
          </cell>
        </row>
        <row r="407">
          <cell r="A407" t="str">
            <v>0</v>
          </cell>
          <cell r="I407">
            <v>0</v>
          </cell>
          <cell r="N407">
            <v>0</v>
          </cell>
        </row>
        <row r="408">
          <cell r="A408" t="str">
            <v>0</v>
          </cell>
          <cell r="I408">
            <v>0</v>
          </cell>
          <cell r="N408">
            <v>0</v>
          </cell>
        </row>
        <row r="409">
          <cell r="A409" t="str">
            <v>0</v>
          </cell>
          <cell r="I409">
            <v>0</v>
          </cell>
          <cell r="N409">
            <v>0</v>
          </cell>
        </row>
        <row r="410">
          <cell r="A410" t="str">
            <v>0</v>
          </cell>
          <cell r="I410">
            <v>0</v>
          </cell>
          <cell r="N410">
            <v>0</v>
          </cell>
        </row>
        <row r="411">
          <cell r="A411" t="str">
            <v>0</v>
          </cell>
          <cell r="I411">
            <v>0</v>
          </cell>
          <cell r="N411">
            <v>0</v>
          </cell>
        </row>
        <row r="412">
          <cell r="A412" t="str">
            <v>0</v>
          </cell>
          <cell r="I412">
            <v>0</v>
          </cell>
          <cell r="N412">
            <v>0</v>
          </cell>
        </row>
        <row r="413">
          <cell r="A413" t="str">
            <v>0</v>
          </cell>
          <cell r="I413">
            <v>0</v>
          </cell>
          <cell r="N413">
            <v>0</v>
          </cell>
        </row>
        <row r="414">
          <cell r="A414" t="str">
            <v>0</v>
          </cell>
          <cell r="I414">
            <v>0</v>
          </cell>
          <cell r="N414">
            <v>0</v>
          </cell>
        </row>
        <row r="415">
          <cell r="A415" t="str">
            <v>0</v>
          </cell>
          <cell r="I415">
            <v>0</v>
          </cell>
          <cell r="N415">
            <v>0</v>
          </cell>
        </row>
        <row r="416">
          <cell r="A416" t="str">
            <v>0</v>
          </cell>
          <cell r="I416">
            <v>0</v>
          </cell>
          <cell r="N416">
            <v>0</v>
          </cell>
        </row>
        <row r="417">
          <cell r="A417" t="str">
            <v>0</v>
          </cell>
          <cell r="I417">
            <v>0</v>
          </cell>
          <cell r="N417">
            <v>0</v>
          </cell>
        </row>
        <row r="418">
          <cell r="A418" t="str">
            <v>0</v>
          </cell>
          <cell r="I418">
            <v>0</v>
          </cell>
          <cell r="N418">
            <v>0</v>
          </cell>
        </row>
        <row r="419">
          <cell r="A419" t="str">
            <v>0</v>
          </cell>
          <cell r="I419">
            <v>0</v>
          </cell>
          <cell r="N419">
            <v>0</v>
          </cell>
        </row>
        <row r="420">
          <cell r="A420" t="str">
            <v>0</v>
          </cell>
          <cell r="I420">
            <v>0</v>
          </cell>
          <cell r="N420">
            <v>0</v>
          </cell>
        </row>
        <row r="421">
          <cell r="A421" t="str">
            <v>0</v>
          </cell>
          <cell r="I421">
            <v>0</v>
          </cell>
          <cell r="N421">
            <v>0</v>
          </cell>
        </row>
        <row r="422">
          <cell r="A422" t="str">
            <v>0</v>
          </cell>
          <cell r="I422">
            <v>0</v>
          </cell>
          <cell r="N422">
            <v>0</v>
          </cell>
        </row>
        <row r="423">
          <cell r="A423" t="str">
            <v>0</v>
          </cell>
          <cell r="I423">
            <v>0</v>
          </cell>
          <cell r="N423">
            <v>0</v>
          </cell>
        </row>
        <row r="424">
          <cell r="A424" t="str">
            <v>0</v>
          </cell>
          <cell r="I424">
            <v>0</v>
          </cell>
          <cell r="N424">
            <v>0</v>
          </cell>
        </row>
        <row r="425">
          <cell r="A425" t="str">
            <v>0</v>
          </cell>
          <cell r="I425">
            <v>0</v>
          </cell>
          <cell r="N425">
            <v>0</v>
          </cell>
        </row>
        <row r="426">
          <cell r="A426" t="str">
            <v>0</v>
          </cell>
          <cell r="I426">
            <v>0</v>
          </cell>
          <cell r="N426">
            <v>0</v>
          </cell>
        </row>
        <row r="427">
          <cell r="A427" t="str">
            <v>0</v>
          </cell>
          <cell r="I427">
            <v>0</v>
          </cell>
          <cell r="N427">
            <v>0</v>
          </cell>
        </row>
        <row r="428">
          <cell r="A428" t="str">
            <v>0</v>
          </cell>
          <cell r="I428">
            <v>0</v>
          </cell>
          <cell r="N428">
            <v>0</v>
          </cell>
        </row>
        <row r="429">
          <cell r="A429" t="str">
            <v>0</v>
          </cell>
          <cell r="I429">
            <v>0</v>
          </cell>
          <cell r="N429">
            <v>0</v>
          </cell>
        </row>
        <row r="430">
          <cell r="A430" t="str">
            <v>0</v>
          </cell>
          <cell r="I430">
            <v>0</v>
          </cell>
          <cell r="N430">
            <v>0</v>
          </cell>
        </row>
        <row r="431">
          <cell r="A431" t="str">
            <v>0</v>
          </cell>
          <cell r="I431">
            <v>0</v>
          </cell>
          <cell r="N431">
            <v>0</v>
          </cell>
        </row>
        <row r="432">
          <cell r="A432" t="str">
            <v>0</v>
          </cell>
          <cell r="I432">
            <v>0</v>
          </cell>
          <cell r="N432">
            <v>0</v>
          </cell>
        </row>
        <row r="433">
          <cell r="A433" t="str">
            <v>0</v>
          </cell>
          <cell r="I433">
            <v>0</v>
          </cell>
          <cell r="N433">
            <v>0</v>
          </cell>
        </row>
        <row r="434">
          <cell r="A434" t="str">
            <v>0</v>
          </cell>
          <cell r="I434">
            <v>0</v>
          </cell>
          <cell r="N434">
            <v>0</v>
          </cell>
        </row>
        <row r="435">
          <cell r="A435" t="str">
            <v>0</v>
          </cell>
          <cell r="I435">
            <v>0</v>
          </cell>
          <cell r="N435">
            <v>0</v>
          </cell>
        </row>
        <row r="436">
          <cell r="A436" t="str">
            <v>0</v>
          </cell>
          <cell r="I436">
            <v>0</v>
          </cell>
          <cell r="N436">
            <v>0</v>
          </cell>
        </row>
        <row r="437">
          <cell r="A437" t="str">
            <v>0</v>
          </cell>
          <cell r="I437">
            <v>0</v>
          </cell>
          <cell r="N437">
            <v>0</v>
          </cell>
        </row>
        <row r="438">
          <cell r="A438" t="str">
            <v>0</v>
          </cell>
          <cell r="I438">
            <v>0</v>
          </cell>
          <cell r="N438">
            <v>0</v>
          </cell>
        </row>
        <row r="439">
          <cell r="A439" t="str">
            <v>0</v>
          </cell>
          <cell r="I439">
            <v>0</v>
          </cell>
          <cell r="N439">
            <v>0</v>
          </cell>
        </row>
        <row r="440">
          <cell r="A440" t="str">
            <v>0</v>
          </cell>
          <cell r="I440">
            <v>0</v>
          </cell>
          <cell r="N440">
            <v>0</v>
          </cell>
        </row>
        <row r="441">
          <cell r="A441" t="str">
            <v>0</v>
          </cell>
          <cell r="I441">
            <v>0</v>
          </cell>
          <cell r="N441">
            <v>0</v>
          </cell>
        </row>
        <row r="442">
          <cell r="A442" t="str">
            <v>0</v>
          </cell>
          <cell r="I442">
            <v>0</v>
          </cell>
          <cell r="N442">
            <v>0</v>
          </cell>
        </row>
        <row r="443">
          <cell r="A443" t="str">
            <v>0</v>
          </cell>
          <cell r="I443">
            <v>0</v>
          </cell>
          <cell r="N443">
            <v>0</v>
          </cell>
        </row>
        <row r="444">
          <cell r="A444" t="str">
            <v>0</v>
          </cell>
          <cell r="I444">
            <v>0</v>
          </cell>
          <cell r="N444">
            <v>0</v>
          </cell>
        </row>
        <row r="445">
          <cell r="A445" t="str">
            <v>0</v>
          </cell>
          <cell r="I445">
            <v>0</v>
          </cell>
          <cell r="N445">
            <v>0</v>
          </cell>
        </row>
        <row r="446">
          <cell r="A446" t="str">
            <v>0</v>
          </cell>
          <cell r="I446">
            <v>0</v>
          </cell>
          <cell r="N446">
            <v>0</v>
          </cell>
        </row>
        <row r="447">
          <cell r="A447" t="str">
            <v>0</v>
          </cell>
          <cell r="I447">
            <v>0</v>
          </cell>
          <cell r="N447">
            <v>0</v>
          </cell>
        </row>
        <row r="448">
          <cell r="A448" t="str">
            <v>0</v>
          </cell>
          <cell r="I448">
            <v>0</v>
          </cell>
          <cell r="N448">
            <v>0</v>
          </cell>
        </row>
        <row r="449">
          <cell r="A449" t="str">
            <v>0</v>
          </cell>
          <cell r="I449">
            <v>0</v>
          </cell>
          <cell r="N449">
            <v>0</v>
          </cell>
        </row>
        <row r="450">
          <cell r="A450" t="str">
            <v>0</v>
          </cell>
          <cell r="I450">
            <v>0</v>
          </cell>
          <cell r="N450">
            <v>0</v>
          </cell>
        </row>
        <row r="451">
          <cell r="A451" t="str">
            <v>0</v>
          </cell>
          <cell r="I451">
            <v>0</v>
          </cell>
          <cell r="N451">
            <v>0</v>
          </cell>
        </row>
        <row r="452">
          <cell r="A452" t="str">
            <v>0</v>
          </cell>
          <cell r="I452">
            <v>0</v>
          </cell>
          <cell r="N452">
            <v>0</v>
          </cell>
        </row>
        <row r="453">
          <cell r="A453" t="str">
            <v>0</v>
          </cell>
          <cell r="I453">
            <v>0</v>
          </cell>
          <cell r="N453">
            <v>0</v>
          </cell>
        </row>
        <row r="454">
          <cell r="A454" t="str">
            <v>0</v>
          </cell>
          <cell r="I454">
            <v>0</v>
          </cell>
          <cell r="N454">
            <v>0</v>
          </cell>
        </row>
        <row r="455">
          <cell r="A455" t="str">
            <v>0</v>
          </cell>
          <cell r="I455">
            <v>0</v>
          </cell>
          <cell r="N455">
            <v>0</v>
          </cell>
        </row>
        <row r="456">
          <cell r="A456" t="str">
            <v>0</v>
          </cell>
          <cell r="I456">
            <v>0</v>
          </cell>
          <cell r="N456">
            <v>0</v>
          </cell>
        </row>
        <row r="457">
          <cell r="A457" t="str">
            <v>0</v>
          </cell>
          <cell r="I457">
            <v>0</v>
          </cell>
          <cell r="N457">
            <v>0</v>
          </cell>
        </row>
        <row r="458">
          <cell r="A458" t="str">
            <v>0</v>
          </cell>
          <cell r="I458">
            <v>0</v>
          </cell>
          <cell r="N458">
            <v>0</v>
          </cell>
        </row>
        <row r="459">
          <cell r="A459" t="str">
            <v>0</v>
          </cell>
          <cell r="I459">
            <v>0</v>
          </cell>
          <cell r="N459">
            <v>0</v>
          </cell>
        </row>
        <row r="460">
          <cell r="A460" t="str">
            <v>0</v>
          </cell>
          <cell r="I460">
            <v>0</v>
          </cell>
          <cell r="N460">
            <v>0</v>
          </cell>
        </row>
        <row r="461">
          <cell r="A461" t="str">
            <v>0</v>
          </cell>
          <cell r="I461">
            <v>0</v>
          </cell>
          <cell r="N461">
            <v>0</v>
          </cell>
        </row>
        <row r="462">
          <cell r="A462" t="str">
            <v>0</v>
          </cell>
          <cell r="I462">
            <v>0</v>
          </cell>
          <cell r="N462">
            <v>0</v>
          </cell>
        </row>
        <row r="463">
          <cell r="A463" t="str">
            <v>0</v>
          </cell>
          <cell r="I463">
            <v>0</v>
          </cell>
          <cell r="N463">
            <v>0</v>
          </cell>
        </row>
        <row r="464">
          <cell r="A464" t="str">
            <v>0</v>
          </cell>
          <cell r="I464">
            <v>0</v>
          </cell>
          <cell r="N464">
            <v>0</v>
          </cell>
        </row>
        <row r="465">
          <cell r="A465" t="str">
            <v>0</v>
          </cell>
          <cell r="I465">
            <v>0</v>
          </cell>
          <cell r="N465">
            <v>0</v>
          </cell>
        </row>
        <row r="466">
          <cell r="A466" t="str">
            <v>0</v>
          </cell>
          <cell r="I466">
            <v>0</v>
          </cell>
          <cell r="N466">
            <v>0</v>
          </cell>
        </row>
        <row r="467">
          <cell r="A467" t="str">
            <v>0</v>
          </cell>
          <cell r="I467">
            <v>0</v>
          </cell>
          <cell r="N467">
            <v>0</v>
          </cell>
        </row>
        <row r="468">
          <cell r="A468" t="str">
            <v>0</v>
          </cell>
          <cell r="I468">
            <v>0</v>
          </cell>
          <cell r="N468">
            <v>0</v>
          </cell>
        </row>
        <row r="469">
          <cell r="A469" t="str">
            <v>0</v>
          </cell>
          <cell r="I469">
            <v>0</v>
          </cell>
          <cell r="N469">
            <v>0</v>
          </cell>
        </row>
        <row r="470">
          <cell r="A470" t="str">
            <v>0</v>
          </cell>
          <cell r="I470">
            <v>0</v>
          </cell>
          <cell r="N470">
            <v>0</v>
          </cell>
        </row>
        <row r="471">
          <cell r="A471" t="str">
            <v>0</v>
          </cell>
          <cell r="I471">
            <v>0</v>
          </cell>
          <cell r="N471">
            <v>0</v>
          </cell>
        </row>
        <row r="472">
          <cell r="A472" t="str">
            <v>0</v>
          </cell>
          <cell r="I472">
            <v>0</v>
          </cell>
          <cell r="N472">
            <v>0</v>
          </cell>
        </row>
        <row r="473">
          <cell r="A473" t="str">
            <v>0</v>
          </cell>
          <cell r="I473">
            <v>0</v>
          </cell>
          <cell r="N473">
            <v>0</v>
          </cell>
        </row>
        <row r="474">
          <cell r="A474" t="str">
            <v>0</v>
          </cell>
          <cell r="I474">
            <v>0</v>
          </cell>
          <cell r="N474">
            <v>0</v>
          </cell>
        </row>
        <row r="475">
          <cell r="A475" t="str">
            <v>0</v>
          </cell>
          <cell r="I475">
            <v>0</v>
          </cell>
          <cell r="N475">
            <v>0</v>
          </cell>
        </row>
        <row r="476">
          <cell r="A476" t="str">
            <v>0</v>
          </cell>
          <cell r="I476">
            <v>0</v>
          </cell>
          <cell r="N476">
            <v>0</v>
          </cell>
        </row>
        <row r="477">
          <cell r="A477" t="str">
            <v>0</v>
          </cell>
          <cell r="I477">
            <v>0</v>
          </cell>
          <cell r="N477">
            <v>0</v>
          </cell>
        </row>
        <row r="478">
          <cell r="A478" t="str">
            <v>0</v>
          </cell>
          <cell r="I478">
            <v>0</v>
          </cell>
          <cell r="N478">
            <v>0</v>
          </cell>
        </row>
        <row r="479">
          <cell r="A479" t="str">
            <v>0</v>
          </cell>
          <cell r="I479">
            <v>0</v>
          </cell>
          <cell r="N479">
            <v>0</v>
          </cell>
        </row>
        <row r="480">
          <cell r="A480" t="str">
            <v>0</v>
          </cell>
          <cell r="I480">
            <v>0</v>
          </cell>
          <cell r="N480">
            <v>0</v>
          </cell>
        </row>
        <row r="481">
          <cell r="A481" t="str">
            <v>0</v>
          </cell>
          <cell r="I481">
            <v>0</v>
          </cell>
          <cell r="N481">
            <v>0</v>
          </cell>
        </row>
        <row r="482">
          <cell r="A482" t="str">
            <v>0</v>
          </cell>
          <cell r="I482">
            <v>0</v>
          </cell>
          <cell r="N482">
            <v>0</v>
          </cell>
        </row>
        <row r="483">
          <cell r="A483" t="str">
            <v>0</v>
          </cell>
          <cell r="I483">
            <v>0</v>
          </cell>
          <cell r="N483">
            <v>0</v>
          </cell>
        </row>
        <row r="484">
          <cell r="A484" t="str">
            <v>0</v>
          </cell>
          <cell r="I484">
            <v>0</v>
          </cell>
          <cell r="N484">
            <v>0</v>
          </cell>
        </row>
        <row r="485">
          <cell r="A485" t="str">
            <v>0</v>
          </cell>
          <cell r="I485">
            <v>0</v>
          </cell>
          <cell r="N485">
            <v>0</v>
          </cell>
        </row>
        <row r="486">
          <cell r="A486" t="str">
            <v>0</v>
          </cell>
          <cell r="I486">
            <v>0</v>
          </cell>
          <cell r="N486">
            <v>0</v>
          </cell>
        </row>
        <row r="487">
          <cell r="A487" t="str">
            <v>0</v>
          </cell>
          <cell r="I487">
            <v>0</v>
          </cell>
          <cell r="N487">
            <v>0</v>
          </cell>
        </row>
        <row r="488">
          <cell r="A488" t="str">
            <v>0</v>
          </cell>
          <cell r="I488">
            <v>0</v>
          </cell>
          <cell r="N488">
            <v>0</v>
          </cell>
        </row>
        <row r="489">
          <cell r="A489" t="str">
            <v>0</v>
          </cell>
          <cell r="I489">
            <v>0</v>
          </cell>
          <cell r="N489">
            <v>0</v>
          </cell>
        </row>
        <row r="490">
          <cell r="A490" t="str">
            <v>0</v>
          </cell>
          <cell r="I490">
            <v>0</v>
          </cell>
          <cell r="N490">
            <v>0</v>
          </cell>
        </row>
        <row r="491">
          <cell r="A491" t="str">
            <v>0</v>
          </cell>
          <cell r="I491">
            <v>0</v>
          </cell>
          <cell r="N491">
            <v>0</v>
          </cell>
        </row>
        <row r="492">
          <cell r="A492" t="str">
            <v>0</v>
          </cell>
          <cell r="I492">
            <v>0</v>
          </cell>
          <cell r="N492">
            <v>0</v>
          </cell>
        </row>
        <row r="493">
          <cell r="A493" t="str">
            <v>0</v>
          </cell>
          <cell r="I493">
            <v>0</v>
          </cell>
          <cell r="N493">
            <v>0</v>
          </cell>
        </row>
        <row r="494">
          <cell r="A494" t="str">
            <v>0</v>
          </cell>
          <cell r="I494">
            <v>0</v>
          </cell>
          <cell r="N494">
            <v>0</v>
          </cell>
        </row>
        <row r="495">
          <cell r="A495" t="str">
            <v>0</v>
          </cell>
          <cell r="I495">
            <v>0</v>
          </cell>
          <cell r="N495">
            <v>0</v>
          </cell>
        </row>
        <row r="496">
          <cell r="A496" t="str">
            <v>0</v>
          </cell>
          <cell r="I496">
            <v>0</v>
          </cell>
          <cell r="N496">
            <v>0</v>
          </cell>
        </row>
        <row r="497">
          <cell r="A497" t="str">
            <v>0</v>
          </cell>
          <cell r="I497">
            <v>0</v>
          </cell>
          <cell r="N497">
            <v>0</v>
          </cell>
        </row>
        <row r="498">
          <cell r="A498" t="str">
            <v>0</v>
          </cell>
          <cell r="I498">
            <v>0</v>
          </cell>
          <cell r="N498">
            <v>0</v>
          </cell>
        </row>
        <row r="499">
          <cell r="A499" t="str">
            <v>0</v>
          </cell>
          <cell r="I499">
            <v>0</v>
          </cell>
          <cell r="N499">
            <v>0</v>
          </cell>
        </row>
        <row r="500">
          <cell r="A500" t="str">
            <v>0</v>
          </cell>
          <cell r="I500">
            <v>0</v>
          </cell>
          <cell r="N500">
            <v>0</v>
          </cell>
        </row>
        <row r="501">
          <cell r="A501" t="str">
            <v>0</v>
          </cell>
          <cell r="I501">
            <v>0</v>
          </cell>
          <cell r="N501">
            <v>0</v>
          </cell>
        </row>
        <row r="502">
          <cell r="A502" t="str">
            <v>0</v>
          </cell>
          <cell r="I502">
            <v>0</v>
          </cell>
          <cell r="N502">
            <v>0</v>
          </cell>
        </row>
        <row r="503">
          <cell r="A503" t="str">
            <v>0</v>
          </cell>
          <cell r="I503">
            <v>0</v>
          </cell>
          <cell r="N503">
            <v>0</v>
          </cell>
        </row>
        <row r="504">
          <cell r="A504" t="str">
            <v>0</v>
          </cell>
          <cell r="I504">
            <v>0</v>
          </cell>
          <cell r="N504">
            <v>0</v>
          </cell>
        </row>
        <row r="505">
          <cell r="A505" t="str">
            <v>0</v>
          </cell>
          <cell r="I505">
            <v>0</v>
          </cell>
          <cell r="N505">
            <v>0</v>
          </cell>
        </row>
        <row r="506">
          <cell r="A506" t="str">
            <v>0</v>
          </cell>
          <cell r="I506">
            <v>0</v>
          </cell>
          <cell r="N506">
            <v>0</v>
          </cell>
        </row>
        <row r="507">
          <cell r="A507" t="str">
            <v>0</v>
          </cell>
          <cell r="I507">
            <v>0</v>
          </cell>
          <cell r="N507">
            <v>0</v>
          </cell>
        </row>
        <row r="508">
          <cell r="A508" t="str">
            <v>0</v>
          </cell>
          <cell r="I508">
            <v>0</v>
          </cell>
          <cell r="N508">
            <v>0</v>
          </cell>
        </row>
        <row r="509">
          <cell r="A509" t="str">
            <v>0</v>
          </cell>
          <cell r="I509">
            <v>0</v>
          </cell>
          <cell r="N509">
            <v>0</v>
          </cell>
        </row>
        <row r="510">
          <cell r="A510" t="str">
            <v>0</v>
          </cell>
          <cell r="I510">
            <v>0</v>
          </cell>
          <cell r="N510">
            <v>0</v>
          </cell>
        </row>
        <row r="511">
          <cell r="A511" t="str">
            <v>0</v>
          </cell>
          <cell r="I511">
            <v>0</v>
          </cell>
          <cell r="N511">
            <v>0</v>
          </cell>
        </row>
        <row r="512">
          <cell r="A512" t="str">
            <v>0</v>
          </cell>
          <cell r="I512">
            <v>0</v>
          </cell>
          <cell r="N512">
            <v>0</v>
          </cell>
        </row>
        <row r="513">
          <cell r="A513" t="str">
            <v>0</v>
          </cell>
          <cell r="I513">
            <v>0</v>
          </cell>
          <cell r="N513">
            <v>0</v>
          </cell>
        </row>
        <row r="514">
          <cell r="A514" t="str">
            <v>0</v>
          </cell>
          <cell r="I514">
            <v>0</v>
          </cell>
          <cell r="N514">
            <v>0</v>
          </cell>
        </row>
        <row r="515">
          <cell r="A515" t="str">
            <v>0</v>
          </cell>
          <cell r="I515">
            <v>0</v>
          </cell>
          <cell r="N515">
            <v>0</v>
          </cell>
        </row>
        <row r="516">
          <cell r="A516" t="str">
            <v>0</v>
          </cell>
          <cell r="I516">
            <v>0</v>
          </cell>
          <cell r="N516">
            <v>0</v>
          </cell>
        </row>
        <row r="517">
          <cell r="A517" t="str">
            <v>0</v>
          </cell>
          <cell r="I517">
            <v>0</v>
          </cell>
          <cell r="N517">
            <v>0</v>
          </cell>
        </row>
        <row r="518">
          <cell r="A518" t="str">
            <v>0</v>
          </cell>
          <cell r="I518">
            <v>0</v>
          </cell>
          <cell r="N518">
            <v>0</v>
          </cell>
        </row>
        <row r="519">
          <cell r="A519" t="str">
            <v>0</v>
          </cell>
          <cell r="I519">
            <v>0</v>
          </cell>
          <cell r="N519">
            <v>0</v>
          </cell>
        </row>
        <row r="520">
          <cell r="A520" t="str">
            <v>0</v>
          </cell>
          <cell r="I520">
            <v>0</v>
          </cell>
          <cell r="N520">
            <v>0</v>
          </cell>
        </row>
        <row r="521">
          <cell r="A521" t="str">
            <v>0</v>
          </cell>
          <cell r="I521">
            <v>0</v>
          </cell>
          <cell r="N521">
            <v>0</v>
          </cell>
        </row>
        <row r="522">
          <cell r="A522" t="str">
            <v>0</v>
          </cell>
          <cell r="I522">
            <v>0</v>
          </cell>
          <cell r="N522">
            <v>0</v>
          </cell>
        </row>
        <row r="523">
          <cell r="A523" t="str">
            <v>0</v>
          </cell>
          <cell r="I523">
            <v>0</v>
          </cell>
          <cell r="N523">
            <v>0</v>
          </cell>
        </row>
        <row r="524">
          <cell r="A524" t="str">
            <v>0</v>
          </cell>
          <cell r="I524">
            <v>0</v>
          </cell>
          <cell r="N524">
            <v>0</v>
          </cell>
        </row>
        <row r="525">
          <cell r="A525" t="str">
            <v>0</v>
          </cell>
          <cell r="I525">
            <v>0</v>
          </cell>
          <cell r="N525">
            <v>0</v>
          </cell>
        </row>
        <row r="526">
          <cell r="A526" t="str">
            <v>0</v>
          </cell>
          <cell r="I526">
            <v>0</v>
          </cell>
          <cell r="N526">
            <v>0</v>
          </cell>
        </row>
        <row r="527">
          <cell r="A527" t="str">
            <v>0</v>
          </cell>
          <cell r="I527">
            <v>0</v>
          </cell>
          <cell r="N527">
            <v>0</v>
          </cell>
        </row>
        <row r="528">
          <cell r="A528" t="str">
            <v>0</v>
          </cell>
          <cell r="I528">
            <v>0</v>
          </cell>
          <cell r="N528">
            <v>0</v>
          </cell>
        </row>
        <row r="529">
          <cell r="A529" t="str">
            <v>0</v>
          </cell>
          <cell r="I529">
            <v>0</v>
          </cell>
          <cell r="N529">
            <v>0</v>
          </cell>
        </row>
        <row r="530">
          <cell r="A530" t="str">
            <v>0</v>
          </cell>
          <cell r="I530">
            <v>0</v>
          </cell>
          <cell r="N530">
            <v>0</v>
          </cell>
        </row>
        <row r="531">
          <cell r="A531" t="str">
            <v>0</v>
          </cell>
          <cell r="I531">
            <v>0</v>
          </cell>
          <cell r="N531">
            <v>0</v>
          </cell>
        </row>
        <row r="532">
          <cell r="A532" t="str">
            <v>0</v>
          </cell>
          <cell r="I532">
            <v>0</v>
          </cell>
          <cell r="N532">
            <v>0</v>
          </cell>
        </row>
        <row r="533">
          <cell r="A533" t="str">
            <v>0</v>
          </cell>
          <cell r="I533">
            <v>0</v>
          </cell>
          <cell r="N533">
            <v>0</v>
          </cell>
        </row>
        <row r="534">
          <cell r="A534" t="str">
            <v>0</v>
          </cell>
          <cell r="I534">
            <v>0</v>
          </cell>
          <cell r="N534">
            <v>0</v>
          </cell>
        </row>
        <row r="535">
          <cell r="A535" t="str">
            <v>0</v>
          </cell>
          <cell r="I535">
            <v>0</v>
          </cell>
          <cell r="N535">
            <v>0</v>
          </cell>
        </row>
        <row r="536">
          <cell r="A536" t="str">
            <v>0</v>
          </cell>
          <cell r="I536">
            <v>0</v>
          </cell>
          <cell r="N536">
            <v>0</v>
          </cell>
        </row>
        <row r="537">
          <cell r="A537" t="str">
            <v>0</v>
          </cell>
          <cell r="I537">
            <v>0</v>
          </cell>
          <cell r="N537">
            <v>0</v>
          </cell>
        </row>
        <row r="538">
          <cell r="A538" t="str">
            <v>0</v>
          </cell>
          <cell r="I538">
            <v>0</v>
          </cell>
          <cell r="N538">
            <v>0</v>
          </cell>
        </row>
        <row r="539">
          <cell r="A539" t="str">
            <v>0</v>
          </cell>
          <cell r="I539">
            <v>0</v>
          </cell>
          <cell r="N539">
            <v>0</v>
          </cell>
        </row>
        <row r="540">
          <cell r="A540" t="str">
            <v>0</v>
          </cell>
          <cell r="I540">
            <v>0</v>
          </cell>
          <cell r="N540">
            <v>0</v>
          </cell>
        </row>
        <row r="541">
          <cell r="A541" t="str">
            <v>0</v>
          </cell>
          <cell r="I541">
            <v>0</v>
          </cell>
          <cell r="N541">
            <v>0</v>
          </cell>
        </row>
        <row r="542">
          <cell r="A542" t="str">
            <v>0</v>
          </cell>
          <cell r="I542">
            <v>0</v>
          </cell>
          <cell r="N542">
            <v>0</v>
          </cell>
        </row>
        <row r="543">
          <cell r="A543" t="str">
            <v>0</v>
          </cell>
          <cell r="I543">
            <v>0</v>
          </cell>
          <cell r="N543">
            <v>0</v>
          </cell>
        </row>
        <row r="544">
          <cell r="A544" t="str">
            <v>0</v>
          </cell>
          <cell r="I544">
            <v>0</v>
          </cell>
          <cell r="N544">
            <v>0</v>
          </cell>
        </row>
        <row r="545">
          <cell r="A545" t="str">
            <v>0</v>
          </cell>
          <cell r="I545">
            <v>0</v>
          </cell>
          <cell r="N545">
            <v>0</v>
          </cell>
        </row>
        <row r="546">
          <cell r="A546" t="str">
            <v>0</v>
          </cell>
          <cell r="I546">
            <v>0</v>
          </cell>
          <cell r="N546">
            <v>0</v>
          </cell>
        </row>
        <row r="547">
          <cell r="A547" t="str">
            <v>0</v>
          </cell>
          <cell r="I547">
            <v>0</v>
          </cell>
          <cell r="N547">
            <v>0</v>
          </cell>
        </row>
        <row r="548">
          <cell r="A548" t="str">
            <v>0</v>
          </cell>
          <cell r="I548">
            <v>0</v>
          </cell>
          <cell r="N548">
            <v>0</v>
          </cell>
        </row>
        <row r="549">
          <cell r="A549" t="str">
            <v>0</v>
          </cell>
          <cell r="I549">
            <v>0</v>
          </cell>
          <cell r="N549">
            <v>0</v>
          </cell>
        </row>
        <row r="550">
          <cell r="A550" t="str">
            <v>0</v>
          </cell>
          <cell r="I550">
            <v>0</v>
          </cell>
          <cell r="N550">
            <v>0</v>
          </cell>
        </row>
        <row r="551">
          <cell r="A551" t="str">
            <v>0</v>
          </cell>
          <cell r="I551">
            <v>0</v>
          </cell>
          <cell r="N551">
            <v>0</v>
          </cell>
        </row>
        <row r="552">
          <cell r="A552" t="str">
            <v>0</v>
          </cell>
          <cell r="I552">
            <v>0</v>
          </cell>
          <cell r="N552">
            <v>0</v>
          </cell>
        </row>
        <row r="553">
          <cell r="A553" t="str">
            <v>0</v>
          </cell>
          <cell r="I553">
            <v>0</v>
          </cell>
          <cell r="N553">
            <v>0</v>
          </cell>
        </row>
        <row r="554">
          <cell r="A554" t="str">
            <v>0</v>
          </cell>
          <cell r="I554">
            <v>0</v>
          </cell>
          <cell r="N554">
            <v>0</v>
          </cell>
        </row>
        <row r="555">
          <cell r="A555" t="str">
            <v>0</v>
          </cell>
          <cell r="I555">
            <v>0</v>
          </cell>
          <cell r="N555">
            <v>0</v>
          </cell>
        </row>
        <row r="556">
          <cell r="A556" t="str">
            <v>0</v>
          </cell>
          <cell r="I556">
            <v>0</v>
          </cell>
          <cell r="N556">
            <v>0</v>
          </cell>
        </row>
        <row r="557">
          <cell r="A557" t="str">
            <v>0</v>
          </cell>
          <cell r="I557">
            <v>0</v>
          </cell>
          <cell r="N557">
            <v>0</v>
          </cell>
        </row>
        <row r="558">
          <cell r="A558" t="str">
            <v>0</v>
          </cell>
          <cell r="I558">
            <v>0</v>
          </cell>
          <cell r="N558">
            <v>0</v>
          </cell>
        </row>
        <row r="559">
          <cell r="A559" t="str">
            <v>0</v>
          </cell>
          <cell r="I559">
            <v>0</v>
          </cell>
          <cell r="N559">
            <v>0</v>
          </cell>
        </row>
        <row r="560">
          <cell r="A560" t="str">
            <v>0</v>
          </cell>
          <cell r="I560">
            <v>0</v>
          </cell>
          <cell r="N560">
            <v>0</v>
          </cell>
        </row>
        <row r="561">
          <cell r="A561" t="str">
            <v>0</v>
          </cell>
          <cell r="I561">
            <v>0</v>
          </cell>
          <cell r="N561">
            <v>0</v>
          </cell>
        </row>
        <row r="562">
          <cell r="A562" t="str">
            <v>0</v>
          </cell>
          <cell r="I562">
            <v>0</v>
          </cell>
          <cell r="N562">
            <v>0</v>
          </cell>
        </row>
        <row r="563">
          <cell r="A563" t="str">
            <v>0</v>
          </cell>
          <cell r="I563">
            <v>0</v>
          </cell>
          <cell r="N563">
            <v>0</v>
          </cell>
        </row>
        <row r="564">
          <cell r="A564" t="str">
            <v>0</v>
          </cell>
          <cell r="I564">
            <v>0</v>
          </cell>
          <cell r="N564">
            <v>0</v>
          </cell>
        </row>
        <row r="565">
          <cell r="A565" t="str">
            <v>0</v>
          </cell>
          <cell r="I565">
            <v>0</v>
          </cell>
          <cell r="N565">
            <v>0</v>
          </cell>
        </row>
        <row r="566">
          <cell r="A566" t="str">
            <v>0</v>
          </cell>
          <cell r="I566">
            <v>0</v>
          </cell>
          <cell r="N566">
            <v>0</v>
          </cell>
        </row>
        <row r="567">
          <cell r="A567" t="str">
            <v>0</v>
          </cell>
          <cell r="I567">
            <v>0</v>
          </cell>
          <cell r="N567">
            <v>0</v>
          </cell>
        </row>
        <row r="568">
          <cell r="A568" t="str">
            <v>0</v>
          </cell>
          <cell r="I568">
            <v>0</v>
          </cell>
          <cell r="N568">
            <v>0</v>
          </cell>
        </row>
        <row r="569">
          <cell r="A569" t="str">
            <v>0</v>
          </cell>
          <cell r="I569">
            <v>0</v>
          </cell>
          <cell r="N569">
            <v>0</v>
          </cell>
        </row>
        <row r="570">
          <cell r="A570" t="str">
            <v>0</v>
          </cell>
          <cell r="I570">
            <v>0</v>
          </cell>
          <cell r="N570">
            <v>0</v>
          </cell>
        </row>
        <row r="571">
          <cell r="A571" t="str">
            <v>0</v>
          </cell>
          <cell r="I571">
            <v>0</v>
          </cell>
          <cell r="N571">
            <v>0</v>
          </cell>
        </row>
        <row r="572">
          <cell r="A572" t="str">
            <v>0</v>
          </cell>
          <cell r="I572">
            <v>0</v>
          </cell>
          <cell r="N572">
            <v>0</v>
          </cell>
        </row>
        <row r="573">
          <cell r="A573" t="str">
            <v>0</v>
          </cell>
          <cell r="I573">
            <v>0</v>
          </cell>
          <cell r="N573">
            <v>0</v>
          </cell>
        </row>
        <row r="574">
          <cell r="A574" t="str">
            <v>0</v>
          </cell>
          <cell r="I574">
            <v>0</v>
          </cell>
          <cell r="N574">
            <v>0</v>
          </cell>
        </row>
        <row r="575">
          <cell r="A575" t="str">
            <v>0</v>
          </cell>
          <cell r="I575">
            <v>0</v>
          </cell>
          <cell r="N575">
            <v>0</v>
          </cell>
        </row>
        <row r="576">
          <cell r="A576" t="str">
            <v>0</v>
          </cell>
          <cell r="I576">
            <v>0</v>
          </cell>
          <cell r="N576">
            <v>0</v>
          </cell>
        </row>
        <row r="577">
          <cell r="A577" t="str">
            <v>0</v>
          </cell>
          <cell r="I577">
            <v>0</v>
          </cell>
          <cell r="N577">
            <v>0</v>
          </cell>
        </row>
        <row r="578">
          <cell r="A578" t="str">
            <v>0</v>
          </cell>
          <cell r="I578">
            <v>0</v>
          </cell>
          <cell r="N578">
            <v>0</v>
          </cell>
        </row>
        <row r="579">
          <cell r="A579" t="str">
            <v>0</v>
          </cell>
          <cell r="I579">
            <v>0</v>
          </cell>
          <cell r="N579">
            <v>0</v>
          </cell>
        </row>
        <row r="580">
          <cell r="A580" t="str">
            <v>0</v>
          </cell>
          <cell r="I580">
            <v>0</v>
          </cell>
          <cell r="N580">
            <v>0</v>
          </cell>
        </row>
        <row r="581">
          <cell r="A581" t="str">
            <v>0</v>
          </cell>
          <cell r="I581">
            <v>0</v>
          </cell>
          <cell r="N581">
            <v>0</v>
          </cell>
        </row>
        <row r="582">
          <cell r="A582" t="str">
            <v>0</v>
          </cell>
          <cell r="I582">
            <v>0</v>
          </cell>
          <cell r="N582">
            <v>0</v>
          </cell>
        </row>
        <row r="583">
          <cell r="A583" t="str">
            <v>0</v>
          </cell>
          <cell r="I583">
            <v>0</v>
          </cell>
          <cell r="N583">
            <v>0</v>
          </cell>
        </row>
        <row r="584">
          <cell r="A584" t="str">
            <v>0</v>
          </cell>
          <cell r="I584">
            <v>0</v>
          </cell>
          <cell r="N584">
            <v>0</v>
          </cell>
        </row>
        <row r="585">
          <cell r="A585" t="str">
            <v>0</v>
          </cell>
          <cell r="I585">
            <v>0</v>
          </cell>
          <cell r="N585">
            <v>0</v>
          </cell>
        </row>
        <row r="586">
          <cell r="A586" t="str">
            <v>0</v>
          </cell>
          <cell r="I586">
            <v>0</v>
          </cell>
          <cell r="N586">
            <v>0</v>
          </cell>
        </row>
        <row r="587">
          <cell r="A587" t="str">
            <v>0</v>
          </cell>
          <cell r="I587">
            <v>0</v>
          </cell>
          <cell r="N587">
            <v>0</v>
          </cell>
        </row>
        <row r="588">
          <cell r="A588" t="str">
            <v>0</v>
          </cell>
          <cell r="I588">
            <v>0</v>
          </cell>
          <cell r="N588">
            <v>0</v>
          </cell>
        </row>
        <row r="589">
          <cell r="A589" t="str">
            <v>0</v>
          </cell>
          <cell r="I589">
            <v>0</v>
          </cell>
          <cell r="N589">
            <v>0</v>
          </cell>
        </row>
        <row r="590">
          <cell r="A590" t="str">
            <v>0</v>
          </cell>
          <cell r="I590">
            <v>0</v>
          </cell>
          <cell r="N590">
            <v>0</v>
          </cell>
        </row>
        <row r="591">
          <cell r="A591" t="str">
            <v>0</v>
          </cell>
          <cell r="I591">
            <v>0</v>
          </cell>
          <cell r="N591">
            <v>0</v>
          </cell>
        </row>
        <row r="592">
          <cell r="A592" t="str">
            <v>0</v>
          </cell>
          <cell r="I592">
            <v>0</v>
          </cell>
          <cell r="N592">
            <v>0</v>
          </cell>
        </row>
        <row r="593">
          <cell r="A593" t="str">
            <v>0</v>
          </cell>
          <cell r="I593">
            <v>0</v>
          </cell>
          <cell r="N593">
            <v>0</v>
          </cell>
        </row>
        <row r="594">
          <cell r="A594" t="str">
            <v>0</v>
          </cell>
          <cell r="I594">
            <v>0</v>
          </cell>
          <cell r="N594">
            <v>0</v>
          </cell>
        </row>
        <row r="595">
          <cell r="A595" t="str">
            <v>0</v>
          </cell>
          <cell r="I595">
            <v>0</v>
          </cell>
          <cell r="N595">
            <v>0</v>
          </cell>
        </row>
        <row r="596">
          <cell r="A596" t="str">
            <v>0</v>
          </cell>
          <cell r="I596">
            <v>0</v>
          </cell>
          <cell r="N596">
            <v>0</v>
          </cell>
        </row>
        <row r="597">
          <cell r="A597" t="str">
            <v>0</v>
          </cell>
          <cell r="I597">
            <v>0</v>
          </cell>
          <cell r="N597">
            <v>0</v>
          </cell>
        </row>
        <row r="598">
          <cell r="A598" t="str">
            <v>0</v>
          </cell>
          <cell r="I598">
            <v>0</v>
          </cell>
          <cell r="N598">
            <v>0</v>
          </cell>
        </row>
        <row r="599">
          <cell r="A599" t="str">
            <v>0</v>
          </cell>
          <cell r="I599">
            <v>0</v>
          </cell>
          <cell r="N599">
            <v>0</v>
          </cell>
        </row>
        <row r="600">
          <cell r="A600" t="str">
            <v>0</v>
          </cell>
          <cell r="I600">
            <v>0</v>
          </cell>
          <cell r="N600">
            <v>0</v>
          </cell>
        </row>
        <row r="601">
          <cell r="A601" t="str">
            <v>0</v>
          </cell>
          <cell r="I601">
            <v>0</v>
          </cell>
          <cell r="N601">
            <v>0</v>
          </cell>
        </row>
        <row r="602">
          <cell r="A602" t="str">
            <v>0</v>
          </cell>
          <cell r="I602">
            <v>0</v>
          </cell>
          <cell r="N602">
            <v>0</v>
          </cell>
        </row>
        <row r="603">
          <cell r="A603" t="str">
            <v>0</v>
          </cell>
          <cell r="I603">
            <v>0</v>
          </cell>
          <cell r="N603">
            <v>0</v>
          </cell>
        </row>
        <row r="604">
          <cell r="A604" t="str">
            <v>0</v>
          </cell>
          <cell r="I604">
            <v>0</v>
          </cell>
          <cell r="N604">
            <v>0</v>
          </cell>
        </row>
        <row r="605">
          <cell r="A605" t="str">
            <v>0</v>
          </cell>
          <cell r="I605">
            <v>0</v>
          </cell>
          <cell r="N605">
            <v>0</v>
          </cell>
        </row>
        <row r="606">
          <cell r="A606" t="str">
            <v>0</v>
          </cell>
          <cell r="I606">
            <v>0</v>
          </cell>
          <cell r="N606">
            <v>0</v>
          </cell>
        </row>
        <row r="607">
          <cell r="A607" t="str">
            <v>0</v>
          </cell>
          <cell r="I607">
            <v>0</v>
          </cell>
          <cell r="N607">
            <v>0</v>
          </cell>
        </row>
        <row r="608">
          <cell r="A608" t="str">
            <v>0</v>
          </cell>
          <cell r="I608">
            <v>0</v>
          </cell>
          <cell r="N608">
            <v>0</v>
          </cell>
        </row>
        <row r="609">
          <cell r="A609" t="str">
            <v>0</v>
          </cell>
          <cell r="I609">
            <v>0</v>
          </cell>
          <cell r="N609">
            <v>0</v>
          </cell>
        </row>
        <row r="610">
          <cell r="A610" t="str">
            <v>0</v>
          </cell>
          <cell r="I610">
            <v>0</v>
          </cell>
          <cell r="N610">
            <v>0</v>
          </cell>
        </row>
        <row r="611">
          <cell r="A611" t="str">
            <v>0</v>
          </cell>
          <cell r="I611">
            <v>0</v>
          </cell>
          <cell r="N611">
            <v>0</v>
          </cell>
        </row>
        <row r="612">
          <cell r="A612" t="str">
            <v>0</v>
          </cell>
          <cell r="I612">
            <v>0</v>
          </cell>
          <cell r="N612">
            <v>0</v>
          </cell>
        </row>
        <row r="613">
          <cell r="A613" t="str">
            <v>0</v>
          </cell>
          <cell r="I613">
            <v>0</v>
          </cell>
          <cell r="N613">
            <v>0</v>
          </cell>
        </row>
        <row r="614">
          <cell r="A614" t="str">
            <v>0</v>
          </cell>
          <cell r="I614">
            <v>0</v>
          </cell>
          <cell r="N614">
            <v>0</v>
          </cell>
        </row>
        <row r="615">
          <cell r="A615" t="str">
            <v>0</v>
          </cell>
          <cell r="I615">
            <v>0</v>
          </cell>
          <cell r="N615">
            <v>0</v>
          </cell>
        </row>
        <row r="616">
          <cell r="A616" t="str">
            <v>0</v>
          </cell>
          <cell r="I616">
            <v>0</v>
          </cell>
          <cell r="N616">
            <v>0</v>
          </cell>
        </row>
        <row r="617">
          <cell r="A617" t="str">
            <v>0</v>
          </cell>
          <cell r="I617">
            <v>0</v>
          </cell>
          <cell r="N617">
            <v>0</v>
          </cell>
        </row>
        <row r="618">
          <cell r="A618" t="str">
            <v>0</v>
          </cell>
          <cell r="I618">
            <v>0</v>
          </cell>
          <cell r="N618">
            <v>0</v>
          </cell>
        </row>
        <row r="619">
          <cell r="A619" t="str">
            <v>0</v>
          </cell>
          <cell r="I619">
            <v>0</v>
          </cell>
          <cell r="N619">
            <v>0</v>
          </cell>
        </row>
        <row r="620">
          <cell r="A620" t="str">
            <v>0</v>
          </cell>
          <cell r="I620">
            <v>0</v>
          </cell>
          <cell r="N620">
            <v>0</v>
          </cell>
        </row>
        <row r="621">
          <cell r="A621" t="str">
            <v>0</v>
          </cell>
          <cell r="I621">
            <v>0</v>
          </cell>
          <cell r="N621">
            <v>0</v>
          </cell>
        </row>
        <row r="622">
          <cell r="A622" t="str">
            <v>0</v>
          </cell>
          <cell r="I622">
            <v>0</v>
          </cell>
          <cell r="N622">
            <v>0</v>
          </cell>
        </row>
        <row r="623">
          <cell r="A623" t="str">
            <v>0</v>
          </cell>
          <cell r="I623">
            <v>0</v>
          </cell>
          <cell r="N623">
            <v>0</v>
          </cell>
        </row>
        <row r="624">
          <cell r="A624" t="str">
            <v>0</v>
          </cell>
          <cell r="I624">
            <v>0</v>
          </cell>
          <cell r="N624">
            <v>0</v>
          </cell>
        </row>
        <row r="625">
          <cell r="A625" t="str">
            <v>0</v>
          </cell>
          <cell r="I625">
            <v>0</v>
          </cell>
          <cell r="N625">
            <v>0</v>
          </cell>
        </row>
        <row r="626">
          <cell r="A626" t="str">
            <v>0</v>
          </cell>
          <cell r="I626">
            <v>0</v>
          </cell>
          <cell r="N626">
            <v>0</v>
          </cell>
        </row>
        <row r="627">
          <cell r="A627" t="str">
            <v>0</v>
          </cell>
          <cell r="I627">
            <v>0</v>
          </cell>
          <cell r="N627">
            <v>0</v>
          </cell>
        </row>
        <row r="628">
          <cell r="A628" t="str">
            <v>0</v>
          </cell>
          <cell r="I628">
            <v>0</v>
          </cell>
          <cell r="N628">
            <v>0</v>
          </cell>
        </row>
        <row r="629">
          <cell r="A629" t="str">
            <v>0</v>
          </cell>
          <cell r="I629">
            <v>0</v>
          </cell>
          <cell r="N629">
            <v>0</v>
          </cell>
        </row>
        <row r="630">
          <cell r="A630" t="str">
            <v>0</v>
          </cell>
          <cell r="I630">
            <v>0</v>
          </cell>
          <cell r="N630">
            <v>0</v>
          </cell>
        </row>
        <row r="631">
          <cell r="A631" t="str">
            <v>0</v>
          </cell>
          <cell r="I631">
            <v>0</v>
          </cell>
          <cell r="N631">
            <v>0</v>
          </cell>
        </row>
        <row r="632">
          <cell r="A632" t="str">
            <v>0</v>
          </cell>
          <cell r="I632">
            <v>0</v>
          </cell>
          <cell r="N632">
            <v>0</v>
          </cell>
        </row>
        <row r="633">
          <cell r="A633" t="str">
            <v>0</v>
          </cell>
          <cell r="I633">
            <v>0</v>
          </cell>
          <cell r="N633">
            <v>0</v>
          </cell>
        </row>
        <row r="634">
          <cell r="A634" t="str">
            <v>0</v>
          </cell>
          <cell r="I634">
            <v>0</v>
          </cell>
          <cell r="N634">
            <v>0</v>
          </cell>
        </row>
        <row r="635">
          <cell r="A635" t="str">
            <v>0</v>
          </cell>
          <cell r="I635">
            <v>0</v>
          </cell>
          <cell r="N635">
            <v>0</v>
          </cell>
        </row>
        <row r="636">
          <cell r="A636" t="str">
            <v>0</v>
          </cell>
          <cell r="I636">
            <v>0</v>
          </cell>
          <cell r="N636">
            <v>0</v>
          </cell>
        </row>
        <row r="637">
          <cell r="A637" t="str">
            <v>0</v>
          </cell>
          <cell r="I637">
            <v>0</v>
          </cell>
          <cell r="N637">
            <v>0</v>
          </cell>
        </row>
        <row r="638">
          <cell r="A638" t="str">
            <v>0</v>
          </cell>
          <cell r="I638">
            <v>0</v>
          </cell>
          <cell r="N638">
            <v>0</v>
          </cell>
        </row>
        <row r="639">
          <cell r="A639" t="str">
            <v>0</v>
          </cell>
          <cell r="I639">
            <v>0</v>
          </cell>
          <cell r="N639">
            <v>0</v>
          </cell>
        </row>
        <row r="640">
          <cell r="A640" t="str">
            <v>0</v>
          </cell>
          <cell r="I640">
            <v>0</v>
          </cell>
          <cell r="N640">
            <v>0</v>
          </cell>
        </row>
        <row r="641">
          <cell r="A641" t="str">
            <v>0</v>
          </cell>
          <cell r="I641">
            <v>0</v>
          </cell>
          <cell r="N641">
            <v>0</v>
          </cell>
        </row>
        <row r="642">
          <cell r="A642" t="str">
            <v>0</v>
          </cell>
          <cell r="I642">
            <v>0</v>
          </cell>
          <cell r="N642">
            <v>0</v>
          </cell>
        </row>
        <row r="643">
          <cell r="A643" t="str">
            <v>0</v>
          </cell>
          <cell r="I643">
            <v>0</v>
          </cell>
          <cell r="N643">
            <v>0</v>
          </cell>
        </row>
        <row r="644">
          <cell r="A644" t="str">
            <v>0</v>
          </cell>
          <cell r="I644">
            <v>0</v>
          </cell>
          <cell r="N644">
            <v>0</v>
          </cell>
        </row>
        <row r="645">
          <cell r="A645" t="str">
            <v>0</v>
          </cell>
          <cell r="I645">
            <v>0</v>
          </cell>
          <cell r="N645">
            <v>0</v>
          </cell>
        </row>
        <row r="646">
          <cell r="A646" t="str">
            <v>0</v>
          </cell>
          <cell r="I646">
            <v>0</v>
          </cell>
          <cell r="N646">
            <v>0</v>
          </cell>
        </row>
        <row r="647">
          <cell r="A647" t="str">
            <v>0</v>
          </cell>
          <cell r="I647">
            <v>0</v>
          </cell>
          <cell r="N647">
            <v>0</v>
          </cell>
        </row>
        <row r="648">
          <cell r="A648" t="str">
            <v>0</v>
          </cell>
          <cell r="I648">
            <v>0</v>
          </cell>
          <cell r="N648">
            <v>0</v>
          </cell>
        </row>
        <row r="649">
          <cell r="A649" t="str">
            <v>0</v>
          </cell>
          <cell r="I649">
            <v>0</v>
          </cell>
          <cell r="N649">
            <v>0</v>
          </cell>
        </row>
        <row r="650">
          <cell r="A650" t="str">
            <v>0</v>
          </cell>
          <cell r="I650">
            <v>0</v>
          </cell>
          <cell r="N650">
            <v>0</v>
          </cell>
        </row>
        <row r="651">
          <cell r="A651" t="str">
            <v>0</v>
          </cell>
          <cell r="I651">
            <v>0</v>
          </cell>
          <cell r="N651">
            <v>0</v>
          </cell>
        </row>
        <row r="652">
          <cell r="A652" t="str">
            <v>0</v>
          </cell>
          <cell r="I652">
            <v>0</v>
          </cell>
          <cell r="N652">
            <v>0</v>
          </cell>
        </row>
        <row r="653">
          <cell r="A653" t="str">
            <v>0</v>
          </cell>
          <cell r="I653">
            <v>0</v>
          </cell>
          <cell r="N653">
            <v>0</v>
          </cell>
        </row>
        <row r="654">
          <cell r="A654" t="str">
            <v>0</v>
          </cell>
          <cell r="I654">
            <v>0</v>
          </cell>
          <cell r="N654">
            <v>0</v>
          </cell>
        </row>
        <row r="655">
          <cell r="A655" t="str">
            <v>0</v>
          </cell>
          <cell r="I655">
            <v>0</v>
          </cell>
          <cell r="N655">
            <v>0</v>
          </cell>
        </row>
        <row r="656">
          <cell r="A656" t="str">
            <v>0</v>
          </cell>
          <cell r="I656">
            <v>0</v>
          </cell>
          <cell r="N656">
            <v>0</v>
          </cell>
        </row>
        <row r="657">
          <cell r="A657" t="str">
            <v>0</v>
          </cell>
          <cell r="I657">
            <v>0</v>
          </cell>
          <cell r="N657">
            <v>0</v>
          </cell>
        </row>
        <row r="658">
          <cell r="A658" t="str">
            <v>0</v>
          </cell>
          <cell r="I658">
            <v>0</v>
          </cell>
          <cell r="N658">
            <v>0</v>
          </cell>
        </row>
        <row r="659">
          <cell r="A659" t="str">
            <v>0</v>
          </cell>
          <cell r="I659">
            <v>0</v>
          </cell>
          <cell r="N659">
            <v>0</v>
          </cell>
        </row>
        <row r="660">
          <cell r="A660" t="str">
            <v>0</v>
          </cell>
          <cell r="I660">
            <v>0</v>
          </cell>
          <cell r="N660">
            <v>0</v>
          </cell>
        </row>
        <row r="661">
          <cell r="A661" t="str">
            <v>0</v>
          </cell>
          <cell r="I661">
            <v>0</v>
          </cell>
          <cell r="N661">
            <v>0</v>
          </cell>
        </row>
        <row r="662">
          <cell r="A662" t="str">
            <v>0</v>
          </cell>
          <cell r="I662">
            <v>0</v>
          </cell>
          <cell r="N662">
            <v>0</v>
          </cell>
        </row>
        <row r="663">
          <cell r="A663" t="str">
            <v>0</v>
          </cell>
          <cell r="I663">
            <v>0</v>
          </cell>
          <cell r="N663">
            <v>0</v>
          </cell>
        </row>
        <row r="664">
          <cell r="A664" t="str">
            <v>0</v>
          </cell>
          <cell r="I664">
            <v>0</v>
          </cell>
          <cell r="N664">
            <v>0</v>
          </cell>
        </row>
        <row r="665">
          <cell r="A665" t="str">
            <v>0</v>
          </cell>
          <cell r="I665">
            <v>0</v>
          </cell>
          <cell r="N665">
            <v>0</v>
          </cell>
        </row>
        <row r="666">
          <cell r="A666" t="str">
            <v>0</v>
          </cell>
          <cell r="I666">
            <v>0</v>
          </cell>
          <cell r="N666">
            <v>0</v>
          </cell>
        </row>
        <row r="667">
          <cell r="A667" t="str">
            <v>0</v>
          </cell>
          <cell r="I667">
            <v>0</v>
          </cell>
          <cell r="N667">
            <v>0</v>
          </cell>
        </row>
        <row r="668">
          <cell r="A668" t="str">
            <v>0</v>
          </cell>
          <cell r="I668">
            <v>0</v>
          </cell>
          <cell r="N668">
            <v>0</v>
          </cell>
        </row>
        <row r="669">
          <cell r="A669" t="str">
            <v>0</v>
          </cell>
          <cell r="I669">
            <v>0</v>
          </cell>
          <cell r="N669">
            <v>0</v>
          </cell>
        </row>
        <row r="670">
          <cell r="A670" t="str">
            <v>0</v>
          </cell>
          <cell r="I670">
            <v>0</v>
          </cell>
          <cell r="N670">
            <v>0</v>
          </cell>
        </row>
        <row r="671">
          <cell r="A671" t="str">
            <v>0</v>
          </cell>
          <cell r="I671">
            <v>0</v>
          </cell>
          <cell r="N671">
            <v>0</v>
          </cell>
        </row>
        <row r="672">
          <cell r="A672" t="str">
            <v>0</v>
          </cell>
          <cell r="I672">
            <v>0</v>
          </cell>
          <cell r="N672">
            <v>0</v>
          </cell>
        </row>
        <row r="673">
          <cell r="A673" t="str">
            <v>0</v>
          </cell>
          <cell r="I673">
            <v>0</v>
          </cell>
          <cell r="N673">
            <v>0</v>
          </cell>
        </row>
        <row r="674">
          <cell r="A674" t="str">
            <v>0</v>
          </cell>
          <cell r="I674">
            <v>0</v>
          </cell>
          <cell r="N674">
            <v>0</v>
          </cell>
        </row>
        <row r="675">
          <cell r="A675" t="str">
            <v>0</v>
          </cell>
          <cell r="I675">
            <v>0</v>
          </cell>
          <cell r="N675">
            <v>0</v>
          </cell>
        </row>
        <row r="676">
          <cell r="A676" t="str">
            <v>0</v>
          </cell>
          <cell r="I676">
            <v>0</v>
          </cell>
          <cell r="N676">
            <v>0</v>
          </cell>
        </row>
        <row r="677">
          <cell r="A677" t="str">
            <v>0</v>
          </cell>
          <cell r="I677">
            <v>0</v>
          </cell>
          <cell r="N677">
            <v>0</v>
          </cell>
        </row>
        <row r="678">
          <cell r="A678" t="str">
            <v>0</v>
          </cell>
          <cell r="I678">
            <v>0</v>
          </cell>
          <cell r="N678">
            <v>0</v>
          </cell>
        </row>
        <row r="679">
          <cell r="A679" t="str">
            <v>0</v>
          </cell>
          <cell r="I679">
            <v>0</v>
          </cell>
          <cell r="N679">
            <v>0</v>
          </cell>
        </row>
        <row r="680">
          <cell r="A680" t="str">
            <v>0</v>
          </cell>
          <cell r="I680">
            <v>0</v>
          </cell>
          <cell r="N680">
            <v>0</v>
          </cell>
        </row>
        <row r="681">
          <cell r="A681" t="str">
            <v>0</v>
          </cell>
          <cell r="I681">
            <v>0</v>
          </cell>
          <cell r="N681">
            <v>0</v>
          </cell>
        </row>
        <row r="682">
          <cell r="A682" t="str">
            <v>0</v>
          </cell>
          <cell r="I682">
            <v>0</v>
          </cell>
          <cell r="N682">
            <v>0</v>
          </cell>
        </row>
        <row r="683">
          <cell r="A683" t="str">
            <v>0</v>
          </cell>
          <cell r="I683">
            <v>0</v>
          </cell>
          <cell r="N683">
            <v>0</v>
          </cell>
        </row>
        <row r="684">
          <cell r="A684" t="str">
            <v>0</v>
          </cell>
          <cell r="I684">
            <v>0</v>
          </cell>
          <cell r="N684">
            <v>0</v>
          </cell>
        </row>
        <row r="685">
          <cell r="A685" t="str">
            <v>0</v>
          </cell>
          <cell r="I685">
            <v>0</v>
          </cell>
          <cell r="N685">
            <v>0</v>
          </cell>
        </row>
        <row r="686">
          <cell r="A686" t="str">
            <v>0</v>
          </cell>
          <cell r="I686">
            <v>0</v>
          </cell>
          <cell r="N686">
            <v>0</v>
          </cell>
        </row>
        <row r="687">
          <cell r="A687" t="str">
            <v>0</v>
          </cell>
          <cell r="I687">
            <v>0</v>
          </cell>
          <cell r="N687">
            <v>0</v>
          </cell>
        </row>
        <row r="688">
          <cell r="A688" t="str">
            <v>0</v>
          </cell>
          <cell r="I688">
            <v>0</v>
          </cell>
          <cell r="N688">
            <v>0</v>
          </cell>
        </row>
        <row r="689">
          <cell r="A689" t="str">
            <v>0</v>
          </cell>
          <cell r="I689">
            <v>0</v>
          </cell>
          <cell r="N689">
            <v>0</v>
          </cell>
        </row>
        <row r="690">
          <cell r="A690" t="str">
            <v>0</v>
          </cell>
          <cell r="I690">
            <v>0</v>
          </cell>
          <cell r="N690">
            <v>0</v>
          </cell>
        </row>
        <row r="691">
          <cell r="A691" t="str">
            <v>0</v>
          </cell>
          <cell r="I691">
            <v>0</v>
          </cell>
          <cell r="N691">
            <v>0</v>
          </cell>
        </row>
        <row r="692">
          <cell r="A692" t="str">
            <v>0</v>
          </cell>
          <cell r="I692">
            <v>0</v>
          </cell>
          <cell r="N692">
            <v>0</v>
          </cell>
        </row>
        <row r="693">
          <cell r="A693" t="str">
            <v>0</v>
          </cell>
          <cell r="I693">
            <v>0</v>
          </cell>
          <cell r="N693">
            <v>0</v>
          </cell>
        </row>
        <row r="694">
          <cell r="A694" t="str">
            <v>0</v>
          </cell>
          <cell r="I694">
            <v>0</v>
          </cell>
          <cell r="N694">
            <v>0</v>
          </cell>
        </row>
        <row r="695">
          <cell r="A695" t="str">
            <v>0</v>
          </cell>
          <cell r="I695">
            <v>0</v>
          </cell>
          <cell r="N695">
            <v>0</v>
          </cell>
        </row>
        <row r="696">
          <cell r="A696" t="str">
            <v>0</v>
          </cell>
          <cell r="I696">
            <v>0</v>
          </cell>
          <cell r="N696">
            <v>0</v>
          </cell>
        </row>
        <row r="697">
          <cell r="A697" t="str">
            <v>0</v>
          </cell>
          <cell r="I697">
            <v>0</v>
          </cell>
          <cell r="N697">
            <v>0</v>
          </cell>
        </row>
        <row r="698">
          <cell r="A698" t="str">
            <v>0</v>
          </cell>
          <cell r="I698">
            <v>0</v>
          </cell>
          <cell r="N698">
            <v>0</v>
          </cell>
        </row>
        <row r="699">
          <cell r="A699" t="str">
            <v>0</v>
          </cell>
          <cell r="I699">
            <v>0</v>
          </cell>
          <cell r="N699">
            <v>0</v>
          </cell>
        </row>
        <row r="700">
          <cell r="A700" t="str">
            <v>0</v>
          </cell>
          <cell r="I700">
            <v>0</v>
          </cell>
          <cell r="N700">
            <v>0</v>
          </cell>
        </row>
        <row r="701">
          <cell r="A701" t="str">
            <v>0</v>
          </cell>
          <cell r="I701">
            <v>0</v>
          </cell>
          <cell r="N701">
            <v>0</v>
          </cell>
        </row>
        <row r="702">
          <cell r="A702" t="str">
            <v>0</v>
          </cell>
          <cell r="I702">
            <v>0</v>
          </cell>
          <cell r="N702">
            <v>0</v>
          </cell>
        </row>
        <row r="703">
          <cell r="A703" t="str">
            <v>0</v>
          </cell>
          <cell r="I703">
            <v>0</v>
          </cell>
          <cell r="N703">
            <v>0</v>
          </cell>
        </row>
        <row r="704">
          <cell r="A704" t="str">
            <v>0</v>
          </cell>
          <cell r="I704">
            <v>0</v>
          </cell>
          <cell r="N704">
            <v>0</v>
          </cell>
        </row>
        <row r="705">
          <cell r="A705" t="str">
            <v>0</v>
          </cell>
          <cell r="I705">
            <v>0</v>
          </cell>
          <cell r="N705">
            <v>0</v>
          </cell>
        </row>
        <row r="706">
          <cell r="A706" t="str">
            <v>0</v>
          </cell>
          <cell r="I706">
            <v>0</v>
          </cell>
          <cell r="N706">
            <v>0</v>
          </cell>
        </row>
        <row r="707">
          <cell r="A707" t="str">
            <v>0</v>
          </cell>
          <cell r="I707">
            <v>0</v>
          </cell>
          <cell r="N707">
            <v>0</v>
          </cell>
        </row>
        <row r="708">
          <cell r="A708" t="str">
            <v>0</v>
          </cell>
          <cell r="I708">
            <v>0</v>
          </cell>
          <cell r="N708">
            <v>0</v>
          </cell>
        </row>
        <row r="709">
          <cell r="A709" t="str">
            <v>0</v>
          </cell>
          <cell r="I709">
            <v>0</v>
          </cell>
          <cell r="N709">
            <v>0</v>
          </cell>
        </row>
        <row r="710">
          <cell r="A710" t="str">
            <v>0</v>
          </cell>
          <cell r="I710">
            <v>0</v>
          </cell>
          <cell r="N710">
            <v>0</v>
          </cell>
        </row>
        <row r="711">
          <cell r="A711" t="str">
            <v>0</v>
          </cell>
          <cell r="I711">
            <v>0</v>
          </cell>
          <cell r="N711">
            <v>0</v>
          </cell>
        </row>
        <row r="712">
          <cell r="A712" t="str">
            <v>0</v>
          </cell>
          <cell r="I712">
            <v>0</v>
          </cell>
          <cell r="N712">
            <v>0</v>
          </cell>
        </row>
        <row r="713">
          <cell r="A713" t="str">
            <v>0</v>
          </cell>
          <cell r="I713">
            <v>0</v>
          </cell>
          <cell r="N713">
            <v>0</v>
          </cell>
        </row>
        <row r="714">
          <cell r="A714" t="str">
            <v>0</v>
          </cell>
          <cell r="I714">
            <v>0</v>
          </cell>
          <cell r="N714">
            <v>0</v>
          </cell>
        </row>
        <row r="715">
          <cell r="A715" t="str">
            <v>0</v>
          </cell>
          <cell r="I715">
            <v>0</v>
          </cell>
          <cell r="N715">
            <v>0</v>
          </cell>
        </row>
        <row r="716">
          <cell r="A716" t="str">
            <v>0</v>
          </cell>
          <cell r="I716">
            <v>0</v>
          </cell>
          <cell r="N716">
            <v>0</v>
          </cell>
        </row>
        <row r="717">
          <cell r="A717" t="str">
            <v>0</v>
          </cell>
          <cell r="I717">
            <v>0</v>
          </cell>
          <cell r="N717">
            <v>0</v>
          </cell>
        </row>
        <row r="718">
          <cell r="A718" t="str">
            <v>0</v>
          </cell>
          <cell r="I718">
            <v>0</v>
          </cell>
          <cell r="N718">
            <v>0</v>
          </cell>
        </row>
        <row r="719">
          <cell r="A719" t="str">
            <v>0</v>
          </cell>
          <cell r="I719">
            <v>0</v>
          </cell>
          <cell r="N719">
            <v>0</v>
          </cell>
        </row>
        <row r="720">
          <cell r="A720" t="str">
            <v>0</v>
          </cell>
          <cell r="I720">
            <v>0</v>
          </cell>
          <cell r="N720">
            <v>0</v>
          </cell>
        </row>
        <row r="721">
          <cell r="A721" t="str">
            <v>0</v>
          </cell>
          <cell r="I721">
            <v>0</v>
          </cell>
          <cell r="N721">
            <v>0</v>
          </cell>
        </row>
        <row r="722">
          <cell r="A722" t="str">
            <v>0</v>
          </cell>
          <cell r="I722">
            <v>0</v>
          </cell>
          <cell r="N722">
            <v>0</v>
          </cell>
        </row>
        <row r="723">
          <cell r="A723" t="str">
            <v>0</v>
          </cell>
          <cell r="I723">
            <v>0</v>
          </cell>
          <cell r="N723">
            <v>0</v>
          </cell>
        </row>
        <row r="724">
          <cell r="A724" t="str">
            <v>0</v>
          </cell>
          <cell r="I724">
            <v>0</v>
          </cell>
          <cell r="N724">
            <v>0</v>
          </cell>
        </row>
        <row r="725">
          <cell r="A725" t="str">
            <v>0</v>
          </cell>
          <cell r="I725">
            <v>0</v>
          </cell>
          <cell r="N725">
            <v>0</v>
          </cell>
        </row>
        <row r="726">
          <cell r="A726" t="str">
            <v>0</v>
          </cell>
          <cell r="I726">
            <v>0</v>
          </cell>
          <cell r="N726">
            <v>0</v>
          </cell>
        </row>
        <row r="727">
          <cell r="A727" t="str">
            <v>0</v>
          </cell>
          <cell r="I727">
            <v>0</v>
          </cell>
          <cell r="N727">
            <v>0</v>
          </cell>
        </row>
        <row r="728">
          <cell r="A728" t="str">
            <v>0</v>
          </cell>
          <cell r="I728">
            <v>0</v>
          </cell>
          <cell r="N728">
            <v>0</v>
          </cell>
        </row>
        <row r="729">
          <cell r="A729" t="str">
            <v>0</v>
          </cell>
          <cell r="I729">
            <v>0</v>
          </cell>
          <cell r="N729">
            <v>0</v>
          </cell>
        </row>
        <row r="730">
          <cell r="A730" t="str">
            <v>0</v>
          </cell>
          <cell r="I730">
            <v>0</v>
          </cell>
          <cell r="N730">
            <v>0</v>
          </cell>
        </row>
        <row r="731">
          <cell r="A731" t="str">
            <v>0</v>
          </cell>
          <cell r="I731">
            <v>0</v>
          </cell>
          <cell r="N731">
            <v>0</v>
          </cell>
        </row>
        <row r="732">
          <cell r="A732" t="str">
            <v>0</v>
          </cell>
          <cell r="I732">
            <v>0</v>
          </cell>
          <cell r="N732">
            <v>0</v>
          </cell>
        </row>
        <row r="733">
          <cell r="A733" t="str">
            <v>0</v>
          </cell>
          <cell r="I733">
            <v>0</v>
          </cell>
          <cell r="N733">
            <v>0</v>
          </cell>
        </row>
        <row r="734">
          <cell r="A734" t="str">
            <v>0</v>
          </cell>
          <cell r="I734">
            <v>0</v>
          </cell>
          <cell r="N734">
            <v>0</v>
          </cell>
        </row>
        <row r="735">
          <cell r="A735" t="str">
            <v>0</v>
          </cell>
          <cell r="I735">
            <v>0</v>
          </cell>
          <cell r="N735">
            <v>0</v>
          </cell>
        </row>
        <row r="736">
          <cell r="A736" t="str">
            <v>0</v>
          </cell>
          <cell r="I736">
            <v>0</v>
          </cell>
          <cell r="N736">
            <v>0</v>
          </cell>
        </row>
        <row r="737">
          <cell r="A737" t="str">
            <v>0</v>
          </cell>
          <cell r="I737">
            <v>0</v>
          </cell>
          <cell r="N737">
            <v>0</v>
          </cell>
        </row>
        <row r="738">
          <cell r="A738" t="str">
            <v>0</v>
          </cell>
          <cell r="I738">
            <v>0</v>
          </cell>
          <cell r="N738">
            <v>0</v>
          </cell>
        </row>
        <row r="739">
          <cell r="A739" t="str">
            <v>0</v>
          </cell>
          <cell r="I739">
            <v>0</v>
          </cell>
          <cell r="N739">
            <v>0</v>
          </cell>
        </row>
        <row r="740">
          <cell r="A740" t="str">
            <v>0</v>
          </cell>
          <cell r="I740">
            <v>0</v>
          </cell>
          <cell r="N740">
            <v>0</v>
          </cell>
        </row>
        <row r="741">
          <cell r="A741" t="str">
            <v>0</v>
          </cell>
          <cell r="I741">
            <v>0</v>
          </cell>
          <cell r="N741">
            <v>0</v>
          </cell>
        </row>
        <row r="742">
          <cell r="A742" t="str">
            <v>0</v>
          </cell>
          <cell r="I742">
            <v>0</v>
          </cell>
          <cell r="N742">
            <v>0</v>
          </cell>
        </row>
        <row r="743">
          <cell r="A743" t="str">
            <v>0</v>
          </cell>
          <cell r="I743">
            <v>0</v>
          </cell>
          <cell r="N743">
            <v>0</v>
          </cell>
        </row>
        <row r="744">
          <cell r="A744" t="str">
            <v>0</v>
          </cell>
          <cell r="I744">
            <v>0</v>
          </cell>
          <cell r="N744">
            <v>0</v>
          </cell>
        </row>
        <row r="745">
          <cell r="A745" t="str">
            <v>0</v>
          </cell>
          <cell r="I745">
            <v>0</v>
          </cell>
          <cell r="N745">
            <v>0</v>
          </cell>
        </row>
        <row r="746">
          <cell r="A746" t="str">
            <v>0</v>
          </cell>
          <cell r="I746">
            <v>0</v>
          </cell>
          <cell r="N746">
            <v>0</v>
          </cell>
        </row>
        <row r="747">
          <cell r="A747" t="str">
            <v>0</v>
          </cell>
          <cell r="I747">
            <v>0</v>
          </cell>
          <cell r="N747">
            <v>0</v>
          </cell>
        </row>
        <row r="748">
          <cell r="A748" t="str">
            <v>0</v>
          </cell>
          <cell r="I748">
            <v>0</v>
          </cell>
          <cell r="N748">
            <v>0</v>
          </cell>
        </row>
        <row r="749">
          <cell r="A749" t="str">
            <v>0</v>
          </cell>
          <cell r="I749">
            <v>0</v>
          </cell>
          <cell r="N749">
            <v>0</v>
          </cell>
        </row>
        <row r="750">
          <cell r="A750" t="str">
            <v>0</v>
          </cell>
          <cell r="I750">
            <v>0</v>
          </cell>
          <cell r="N750">
            <v>0</v>
          </cell>
        </row>
        <row r="751">
          <cell r="A751" t="str">
            <v>0</v>
          </cell>
          <cell r="I751">
            <v>0</v>
          </cell>
          <cell r="N751">
            <v>0</v>
          </cell>
        </row>
        <row r="752">
          <cell r="A752" t="str">
            <v>0</v>
          </cell>
          <cell r="I752">
            <v>0</v>
          </cell>
          <cell r="N752">
            <v>0</v>
          </cell>
        </row>
        <row r="753">
          <cell r="A753" t="str">
            <v>0</v>
          </cell>
          <cell r="I753">
            <v>0</v>
          </cell>
          <cell r="N753">
            <v>0</v>
          </cell>
        </row>
        <row r="754">
          <cell r="A754" t="str">
            <v>0</v>
          </cell>
          <cell r="I754">
            <v>0</v>
          </cell>
          <cell r="N754">
            <v>0</v>
          </cell>
        </row>
        <row r="755">
          <cell r="A755" t="str">
            <v>0</v>
          </cell>
          <cell r="I755">
            <v>0</v>
          </cell>
          <cell r="N755">
            <v>0</v>
          </cell>
        </row>
        <row r="756">
          <cell r="A756" t="str">
            <v>0</v>
          </cell>
          <cell r="I756">
            <v>0</v>
          </cell>
          <cell r="N756">
            <v>0</v>
          </cell>
        </row>
        <row r="757">
          <cell r="A757" t="str">
            <v>0</v>
          </cell>
          <cell r="I757">
            <v>0</v>
          </cell>
          <cell r="N757">
            <v>0</v>
          </cell>
        </row>
        <row r="758">
          <cell r="A758" t="str">
            <v>0</v>
          </cell>
          <cell r="I758">
            <v>0</v>
          </cell>
          <cell r="N758">
            <v>0</v>
          </cell>
        </row>
        <row r="759">
          <cell r="A759" t="str">
            <v>0</v>
          </cell>
          <cell r="I759">
            <v>0</v>
          </cell>
          <cell r="N759">
            <v>0</v>
          </cell>
        </row>
        <row r="760">
          <cell r="A760" t="str">
            <v>0</v>
          </cell>
          <cell r="I760">
            <v>0</v>
          </cell>
          <cell r="N760">
            <v>0</v>
          </cell>
        </row>
        <row r="761">
          <cell r="A761" t="str">
            <v>0</v>
          </cell>
          <cell r="I761">
            <v>0</v>
          </cell>
          <cell r="N761">
            <v>0</v>
          </cell>
        </row>
        <row r="762">
          <cell r="A762" t="str">
            <v>0</v>
          </cell>
          <cell r="I762">
            <v>0</v>
          </cell>
          <cell r="N762">
            <v>0</v>
          </cell>
        </row>
        <row r="763">
          <cell r="A763" t="str">
            <v>0</v>
          </cell>
          <cell r="I763">
            <v>0</v>
          </cell>
          <cell r="N763">
            <v>0</v>
          </cell>
        </row>
        <row r="764">
          <cell r="A764" t="str">
            <v>0</v>
          </cell>
          <cell r="I764">
            <v>0</v>
          </cell>
          <cell r="N764">
            <v>0</v>
          </cell>
        </row>
        <row r="765">
          <cell r="A765" t="str">
            <v>0</v>
          </cell>
          <cell r="I765">
            <v>0</v>
          </cell>
          <cell r="N765">
            <v>0</v>
          </cell>
        </row>
        <row r="766">
          <cell r="A766" t="str">
            <v>0</v>
          </cell>
          <cell r="I766">
            <v>0</v>
          </cell>
          <cell r="N766">
            <v>0</v>
          </cell>
        </row>
        <row r="767">
          <cell r="A767" t="str">
            <v>0</v>
          </cell>
          <cell r="I767">
            <v>0</v>
          </cell>
          <cell r="N767">
            <v>0</v>
          </cell>
        </row>
        <row r="768">
          <cell r="A768" t="str">
            <v>0</v>
          </cell>
          <cell r="I768">
            <v>0</v>
          </cell>
          <cell r="N768">
            <v>0</v>
          </cell>
        </row>
        <row r="769">
          <cell r="A769" t="str">
            <v>0</v>
          </cell>
          <cell r="I769">
            <v>0</v>
          </cell>
          <cell r="N769">
            <v>0</v>
          </cell>
        </row>
        <row r="770">
          <cell r="A770" t="str">
            <v>0</v>
          </cell>
          <cell r="I770">
            <v>0</v>
          </cell>
          <cell r="N770">
            <v>0</v>
          </cell>
        </row>
        <row r="771">
          <cell r="A771" t="str">
            <v>0</v>
          </cell>
          <cell r="I771">
            <v>0</v>
          </cell>
          <cell r="N771">
            <v>0</v>
          </cell>
        </row>
        <row r="772">
          <cell r="A772" t="str">
            <v>0</v>
          </cell>
          <cell r="I772">
            <v>0</v>
          </cell>
          <cell r="N772">
            <v>0</v>
          </cell>
        </row>
        <row r="773">
          <cell r="A773" t="str">
            <v>0</v>
          </cell>
          <cell r="I773">
            <v>0</v>
          </cell>
          <cell r="N773">
            <v>0</v>
          </cell>
        </row>
        <row r="774">
          <cell r="A774" t="str">
            <v>0</v>
          </cell>
          <cell r="I774">
            <v>0</v>
          </cell>
          <cell r="N774">
            <v>0</v>
          </cell>
        </row>
        <row r="775">
          <cell r="A775" t="str">
            <v>0</v>
          </cell>
          <cell r="I775">
            <v>0</v>
          </cell>
          <cell r="N775">
            <v>0</v>
          </cell>
        </row>
        <row r="776">
          <cell r="A776" t="str">
            <v>0</v>
          </cell>
          <cell r="I776">
            <v>0</v>
          </cell>
          <cell r="N776">
            <v>0</v>
          </cell>
        </row>
        <row r="777">
          <cell r="A777" t="str">
            <v>0</v>
          </cell>
          <cell r="I777">
            <v>0</v>
          </cell>
          <cell r="N777">
            <v>0</v>
          </cell>
        </row>
        <row r="778">
          <cell r="A778" t="str">
            <v>0</v>
          </cell>
          <cell r="I778">
            <v>0</v>
          </cell>
          <cell r="N778">
            <v>0</v>
          </cell>
        </row>
        <row r="779">
          <cell r="A779" t="str">
            <v>0</v>
          </cell>
          <cell r="I779">
            <v>0</v>
          </cell>
          <cell r="N779">
            <v>0</v>
          </cell>
        </row>
        <row r="780">
          <cell r="A780" t="str">
            <v>0</v>
          </cell>
          <cell r="I780">
            <v>0</v>
          </cell>
          <cell r="N780">
            <v>0</v>
          </cell>
        </row>
        <row r="781">
          <cell r="A781" t="str">
            <v>0</v>
          </cell>
          <cell r="I781">
            <v>0</v>
          </cell>
          <cell r="N781">
            <v>0</v>
          </cell>
        </row>
        <row r="782">
          <cell r="A782" t="str">
            <v>0</v>
          </cell>
          <cell r="I782">
            <v>0</v>
          </cell>
          <cell r="N782">
            <v>0</v>
          </cell>
        </row>
        <row r="783">
          <cell r="A783" t="str">
            <v>0</v>
          </cell>
          <cell r="I783">
            <v>0</v>
          </cell>
          <cell r="N783">
            <v>0</v>
          </cell>
        </row>
        <row r="784">
          <cell r="A784" t="str">
            <v>0</v>
          </cell>
          <cell r="I784">
            <v>0</v>
          </cell>
          <cell r="N784">
            <v>0</v>
          </cell>
        </row>
        <row r="785">
          <cell r="A785" t="str">
            <v>0</v>
          </cell>
          <cell r="I785">
            <v>0</v>
          </cell>
          <cell r="N785">
            <v>0</v>
          </cell>
        </row>
        <row r="786">
          <cell r="A786" t="str">
            <v>0</v>
          </cell>
          <cell r="I786">
            <v>0</v>
          </cell>
          <cell r="N786">
            <v>0</v>
          </cell>
        </row>
        <row r="787">
          <cell r="A787" t="str">
            <v>0</v>
          </cell>
          <cell r="I787">
            <v>0</v>
          </cell>
          <cell r="N787">
            <v>0</v>
          </cell>
        </row>
        <row r="788">
          <cell r="A788" t="str">
            <v>0</v>
          </cell>
          <cell r="I788">
            <v>0</v>
          </cell>
          <cell r="N788">
            <v>0</v>
          </cell>
        </row>
        <row r="789">
          <cell r="A789" t="str">
            <v>0</v>
          </cell>
          <cell r="I789">
            <v>0</v>
          </cell>
          <cell r="N789">
            <v>0</v>
          </cell>
        </row>
        <row r="790">
          <cell r="A790" t="str">
            <v>0</v>
          </cell>
          <cell r="I790">
            <v>0</v>
          </cell>
          <cell r="N790">
            <v>0</v>
          </cell>
        </row>
        <row r="791">
          <cell r="A791" t="str">
            <v>0</v>
          </cell>
          <cell r="I791">
            <v>0</v>
          </cell>
          <cell r="N791">
            <v>0</v>
          </cell>
        </row>
        <row r="792">
          <cell r="A792" t="str">
            <v>0</v>
          </cell>
          <cell r="I792">
            <v>0</v>
          </cell>
          <cell r="N792">
            <v>0</v>
          </cell>
        </row>
        <row r="793">
          <cell r="A793" t="str">
            <v>0</v>
          </cell>
          <cell r="I793">
            <v>0</v>
          </cell>
          <cell r="N793">
            <v>0</v>
          </cell>
        </row>
        <row r="794">
          <cell r="A794" t="str">
            <v>0</v>
          </cell>
          <cell r="I794">
            <v>0</v>
          </cell>
          <cell r="N794">
            <v>0</v>
          </cell>
        </row>
        <row r="795">
          <cell r="A795" t="str">
            <v>0</v>
          </cell>
          <cell r="I795">
            <v>0</v>
          </cell>
          <cell r="N795">
            <v>0</v>
          </cell>
        </row>
        <row r="796">
          <cell r="A796" t="str">
            <v>0</v>
          </cell>
          <cell r="I796">
            <v>0</v>
          </cell>
          <cell r="N796">
            <v>0</v>
          </cell>
        </row>
        <row r="797">
          <cell r="A797" t="str">
            <v>0</v>
          </cell>
          <cell r="I797">
            <v>0</v>
          </cell>
          <cell r="N797">
            <v>0</v>
          </cell>
        </row>
        <row r="798">
          <cell r="A798" t="str">
            <v>0</v>
          </cell>
          <cell r="I798">
            <v>0</v>
          </cell>
          <cell r="N798">
            <v>0</v>
          </cell>
        </row>
        <row r="799">
          <cell r="A799" t="str">
            <v>0</v>
          </cell>
          <cell r="I799">
            <v>0</v>
          </cell>
          <cell r="N799">
            <v>0</v>
          </cell>
        </row>
        <row r="800">
          <cell r="A800" t="str">
            <v>0</v>
          </cell>
          <cell r="I800">
            <v>0</v>
          </cell>
          <cell r="N800">
            <v>0</v>
          </cell>
        </row>
        <row r="801">
          <cell r="A801" t="str">
            <v>0</v>
          </cell>
          <cell r="I801">
            <v>0</v>
          </cell>
          <cell r="N801">
            <v>0</v>
          </cell>
        </row>
        <row r="802">
          <cell r="A802" t="str">
            <v>0</v>
          </cell>
          <cell r="I802">
            <v>0</v>
          </cell>
          <cell r="N802">
            <v>0</v>
          </cell>
        </row>
        <row r="803">
          <cell r="A803" t="str">
            <v>0</v>
          </cell>
          <cell r="I803">
            <v>0</v>
          </cell>
          <cell r="N803">
            <v>0</v>
          </cell>
        </row>
        <row r="804">
          <cell r="A804" t="str">
            <v>0</v>
          </cell>
          <cell r="I804">
            <v>0</v>
          </cell>
          <cell r="N804">
            <v>0</v>
          </cell>
        </row>
        <row r="805">
          <cell r="A805" t="str">
            <v>0</v>
          </cell>
          <cell r="I805">
            <v>0</v>
          </cell>
          <cell r="N805">
            <v>0</v>
          </cell>
        </row>
        <row r="806">
          <cell r="A806" t="str">
            <v>0</v>
          </cell>
          <cell r="I806">
            <v>0</v>
          </cell>
          <cell r="N806">
            <v>0</v>
          </cell>
        </row>
        <row r="807">
          <cell r="A807" t="str">
            <v>0</v>
          </cell>
          <cell r="I807">
            <v>0</v>
          </cell>
          <cell r="N807">
            <v>0</v>
          </cell>
        </row>
        <row r="808">
          <cell r="A808" t="str">
            <v>0</v>
          </cell>
          <cell r="I808">
            <v>0</v>
          </cell>
          <cell r="N808">
            <v>0</v>
          </cell>
        </row>
        <row r="809">
          <cell r="A809" t="str">
            <v>0</v>
          </cell>
          <cell r="I809">
            <v>0</v>
          </cell>
          <cell r="N809">
            <v>0</v>
          </cell>
        </row>
        <row r="810">
          <cell r="A810" t="str">
            <v>0</v>
          </cell>
          <cell r="I810">
            <v>0</v>
          </cell>
          <cell r="N810">
            <v>0</v>
          </cell>
        </row>
        <row r="811">
          <cell r="A811" t="str">
            <v>0</v>
          </cell>
          <cell r="I811">
            <v>0</v>
          </cell>
          <cell r="N811">
            <v>0</v>
          </cell>
        </row>
        <row r="812">
          <cell r="A812" t="str">
            <v>0</v>
          </cell>
          <cell r="I812">
            <v>0</v>
          </cell>
          <cell r="N812">
            <v>0</v>
          </cell>
        </row>
        <row r="813">
          <cell r="A813" t="str">
            <v>0</v>
          </cell>
          <cell r="I813">
            <v>0</v>
          </cell>
          <cell r="N813">
            <v>0</v>
          </cell>
        </row>
        <row r="814">
          <cell r="A814" t="str">
            <v>0</v>
          </cell>
          <cell r="I814">
            <v>0</v>
          </cell>
          <cell r="N814">
            <v>0</v>
          </cell>
        </row>
        <row r="815">
          <cell r="A815" t="str">
            <v>0</v>
          </cell>
          <cell r="I815">
            <v>0</v>
          </cell>
          <cell r="N815">
            <v>0</v>
          </cell>
        </row>
        <row r="816">
          <cell r="A816" t="str">
            <v>0</v>
          </cell>
          <cell r="I816">
            <v>0</v>
          </cell>
          <cell r="N816">
            <v>0</v>
          </cell>
        </row>
        <row r="817">
          <cell r="A817" t="str">
            <v>0</v>
          </cell>
          <cell r="I817">
            <v>0</v>
          </cell>
          <cell r="N817">
            <v>0</v>
          </cell>
        </row>
        <row r="818">
          <cell r="A818" t="str">
            <v>0</v>
          </cell>
          <cell r="I818">
            <v>0</v>
          </cell>
          <cell r="N818">
            <v>0</v>
          </cell>
        </row>
        <row r="819">
          <cell r="A819" t="str">
            <v>0</v>
          </cell>
          <cell r="I819">
            <v>0</v>
          </cell>
          <cell r="N819">
            <v>0</v>
          </cell>
        </row>
        <row r="820">
          <cell r="A820" t="str">
            <v>0</v>
          </cell>
          <cell r="I820">
            <v>0</v>
          </cell>
          <cell r="N820">
            <v>0</v>
          </cell>
        </row>
        <row r="821">
          <cell r="A821" t="str">
            <v>0</v>
          </cell>
          <cell r="I821">
            <v>0</v>
          </cell>
          <cell r="N821">
            <v>0</v>
          </cell>
        </row>
        <row r="822">
          <cell r="A822" t="str">
            <v>0</v>
          </cell>
          <cell r="I822">
            <v>0</v>
          </cell>
          <cell r="N822">
            <v>0</v>
          </cell>
        </row>
        <row r="823">
          <cell r="A823" t="str">
            <v>0</v>
          </cell>
          <cell r="I823">
            <v>0</v>
          </cell>
          <cell r="N823">
            <v>0</v>
          </cell>
        </row>
        <row r="824">
          <cell r="A824" t="str">
            <v>0</v>
          </cell>
          <cell r="I824">
            <v>0</v>
          </cell>
          <cell r="N824">
            <v>0</v>
          </cell>
        </row>
        <row r="825">
          <cell r="A825" t="str">
            <v>0</v>
          </cell>
          <cell r="I825">
            <v>0</v>
          </cell>
          <cell r="N825">
            <v>0</v>
          </cell>
        </row>
        <row r="826">
          <cell r="A826" t="str">
            <v>0</v>
          </cell>
          <cell r="I826">
            <v>0</v>
          </cell>
          <cell r="N826">
            <v>0</v>
          </cell>
        </row>
        <row r="827">
          <cell r="A827" t="str">
            <v>0</v>
          </cell>
          <cell r="I827">
            <v>0</v>
          </cell>
          <cell r="N827">
            <v>0</v>
          </cell>
        </row>
        <row r="828">
          <cell r="A828" t="str">
            <v>0</v>
          </cell>
          <cell r="I828">
            <v>0</v>
          </cell>
          <cell r="N828">
            <v>0</v>
          </cell>
        </row>
        <row r="829">
          <cell r="A829" t="str">
            <v>0</v>
          </cell>
          <cell r="I829">
            <v>0</v>
          </cell>
          <cell r="N829">
            <v>0</v>
          </cell>
        </row>
        <row r="830">
          <cell r="A830" t="str">
            <v>0</v>
          </cell>
          <cell r="I830">
            <v>0</v>
          </cell>
          <cell r="N830">
            <v>0</v>
          </cell>
        </row>
        <row r="831">
          <cell r="A831" t="str">
            <v>0</v>
          </cell>
          <cell r="I831">
            <v>0</v>
          </cell>
          <cell r="N831">
            <v>0</v>
          </cell>
        </row>
        <row r="832">
          <cell r="A832" t="str">
            <v>0</v>
          </cell>
          <cell r="I832">
            <v>0</v>
          </cell>
          <cell r="N832">
            <v>0</v>
          </cell>
        </row>
        <row r="833">
          <cell r="A833" t="str">
            <v>0</v>
          </cell>
          <cell r="I833">
            <v>0</v>
          </cell>
          <cell r="N833">
            <v>0</v>
          </cell>
        </row>
        <row r="834">
          <cell r="A834" t="str">
            <v>0</v>
          </cell>
          <cell r="I834">
            <v>0</v>
          </cell>
          <cell r="N834">
            <v>0</v>
          </cell>
        </row>
        <row r="835">
          <cell r="A835" t="str">
            <v>0</v>
          </cell>
          <cell r="I835">
            <v>0</v>
          </cell>
          <cell r="N835">
            <v>0</v>
          </cell>
        </row>
        <row r="836">
          <cell r="A836" t="str">
            <v>0</v>
          </cell>
          <cell r="I836">
            <v>0</v>
          </cell>
          <cell r="N836">
            <v>0</v>
          </cell>
        </row>
        <row r="837">
          <cell r="A837" t="str">
            <v>0</v>
          </cell>
          <cell r="I837">
            <v>0</v>
          </cell>
          <cell r="N837">
            <v>0</v>
          </cell>
        </row>
        <row r="838">
          <cell r="A838" t="str">
            <v>0</v>
          </cell>
          <cell r="I838">
            <v>0</v>
          </cell>
          <cell r="N838">
            <v>0</v>
          </cell>
        </row>
        <row r="839">
          <cell r="A839" t="str">
            <v>0</v>
          </cell>
          <cell r="I839">
            <v>0</v>
          </cell>
          <cell r="N839">
            <v>0</v>
          </cell>
        </row>
        <row r="840">
          <cell r="A840" t="str">
            <v>0</v>
          </cell>
          <cell r="I840">
            <v>0</v>
          </cell>
          <cell r="N840">
            <v>0</v>
          </cell>
        </row>
        <row r="841">
          <cell r="A841" t="str">
            <v>0</v>
          </cell>
          <cell r="I841">
            <v>0</v>
          </cell>
          <cell r="N841">
            <v>0</v>
          </cell>
        </row>
        <row r="842">
          <cell r="A842" t="str">
            <v>0</v>
          </cell>
          <cell r="I842">
            <v>0</v>
          </cell>
          <cell r="N842">
            <v>0</v>
          </cell>
        </row>
        <row r="843">
          <cell r="A843" t="str">
            <v>0</v>
          </cell>
          <cell r="I843">
            <v>0</v>
          </cell>
          <cell r="N843">
            <v>0</v>
          </cell>
        </row>
        <row r="844">
          <cell r="A844" t="str">
            <v>0</v>
          </cell>
          <cell r="I844">
            <v>0</v>
          </cell>
          <cell r="N844">
            <v>0</v>
          </cell>
        </row>
        <row r="845">
          <cell r="A845" t="str">
            <v>0</v>
          </cell>
          <cell r="I845">
            <v>0</v>
          </cell>
          <cell r="N845">
            <v>0</v>
          </cell>
        </row>
        <row r="846">
          <cell r="A846" t="str">
            <v>0</v>
          </cell>
          <cell r="I846">
            <v>0</v>
          </cell>
          <cell r="N846">
            <v>0</v>
          </cell>
        </row>
        <row r="847">
          <cell r="A847" t="str">
            <v>0</v>
          </cell>
          <cell r="I847">
            <v>0</v>
          </cell>
          <cell r="N847">
            <v>0</v>
          </cell>
        </row>
        <row r="848">
          <cell r="A848" t="str">
            <v>0</v>
          </cell>
          <cell r="I848">
            <v>0</v>
          </cell>
          <cell r="N848">
            <v>0</v>
          </cell>
        </row>
        <row r="849">
          <cell r="A849" t="str">
            <v>0</v>
          </cell>
          <cell r="I849">
            <v>0</v>
          </cell>
          <cell r="N849">
            <v>0</v>
          </cell>
        </row>
        <row r="850">
          <cell r="A850" t="str">
            <v>0</v>
          </cell>
          <cell r="I850">
            <v>0</v>
          </cell>
          <cell r="N850">
            <v>0</v>
          </cell>
        </row>
        <row r="851">
          <cell r="A851" t="str">
            <v>0</v>
          </cell>
          <cell r="I851">
            <v>0</v>
          </cell>
          <cell r="N851">
            <v>0</v>
          </cell>
        </row>
        <row r="852">
          <cell r="A852" t="str">
            <v>0</v>
          </cell>
          <cell r="I852">
            <v>0</v>
          </cell>
          <cell r="N852">
            <v>0</v>
          </cell>
        </row>
        <row r="853">
          <cell r="A853" t="str">
            <v>0</v>
          </cell>
          <cell r="I853">
            <v>0</v>
          </cell>
          <cell r="N853">
            <v>0</v>
          </cell>
        </row>
        <row r="854">
          <cell r="A854" t="str">
            <v>0</v>
          </cell>
          <cell r="I854">
            <v>0</v>
          </cell>
          <cell r="N854">
            <v>0</v>
          </cell>
        </row>
        <row r="855">
          <cell r="A855" t="str">
            <v>0</v>
          </cell>
          <cell r="I855">
            <v>0</v>
          </cell>
          <cell r="N855">
            <v>0</v>
          </cell>
        </row>
        <row r="856">
          <cell r="A856" t="str">
            <v>0</v>
          </cell>
          <cell r="I856">
            <v>0</v>
          </cell>
          <cell r="N856">
            <v>0</v>
          </cell>
        </row>
        <row r="857">
          <cell r="A857" t="str">
            <v>0</v>
          </cell>
          <cell r="I857">
            <v>0</v>
          </cell>
          <cell r="N857">
            <v>0</v>
          </cell>
        </row>
        <row r="858">
          <cell r="A858" t="str">
            <v>0</v>
          </cell>
          <cell r="I858">
            <v>0</v>
          </cell>
          <cell r="N858">
            <v>0</v>
          </cell>
        </row>
        <row r="859">
          <cell r="A859" t="str">
            <v>0</v>
          </cell>
          <cell r="I859">
            <v>0</v>
          </cell>
          <cell r="N859">
            <v>0</v>
          </cell>
        </row>
        <row r="860">
          <cell r="A860" t="str">
            <v>0</v>
          </cell>
          <cell r="I860">
            <v>0</v>
          </cell>
          <cell r="N860">
            <v>0</v>
          </cell>
        </row>
        <row r="861">
          <cell r="A861" t="str">
            <v>0</v>
          </cell>
          <cell r="I861">
            <v>0</v>
          </cell>
          <cell r="N861">
            <v>0</v>
          </cell>
        </row>
        <row r="862">
          <cell r="A862" t="str">
            <v>0</v>
          </cell>
          <cell r="I862">
            <v>0</v>
          </cell>
          <cell r="N862">
            <v>0</v>
          </cell>
        </row>
        <row r="863">
          <cell r="A863" t="str">
            <v>0</v>
          </cell>
          <cell r="I863">
            <v>0</v>
          </cell>
          <cell r="N863">
            <v>0</v>
          </cell>
        </row>
        <row r="864">
          <cell r="A864" t="str">
            <v>0</v>
          </cell>
          <cell r="I864">
            <v>0</v>
          </cell>
          <cell r="N864">
            <v>0</v>
          </cell>
        </row>
        <row r="865">
          <cell r="A865" t="str">
            <v>0</v>
          </cell>
          <cell r="I865">
            <v>0</v>
          </cell>
          <cell r="N865">
            <v>0</v>
          </cell>
        </row>
        <row r="866">
          <cell r="A866" t="str">
            <v>0</v>
          </cell>
          <cell r="I866">
            <v>0</v>
          </cell>
          <cell r="N866">
            <v>0</v>
          </cell>
        </row>
        <row r="867">
          <cell r="A867" t="str">
            <v>0</v>
          </cell>
          <cell r="I867">
            <v>0</v>
          </cell>
          <cell r="N867">
            <v>0</v>
          </cell>
        </row>
        <row r="868">
          <cell r="A868" t="str">
            <v>0</v>
          </cell>
          <cell r="I868">
            <v>0</v>
          </cell>
          <cell r="N868">
            <v>0</v>
          </cell>
        </row>
        <row r="869">
          <cell r="A869" t="str">
            <v>0</v>
          </cell>
          <cell r="I869">
            <v>0</v>
          </cell>
          <cell r="N869">
            <v>0</v>
          </cell>
        </row>
        <row r="870">
          <cell r="A870" t="str">
            <v>0</v>
          </cell>
          <cell r="I870">
            <v>0</v>
          </cell>
          <cell r="N870">
            <v>0</v>
          </cell>
        </row>
        <row r="871">
          <cell r="A871" t="str">
            <v>0</v>
          </cell>
          <cell r="I871">
            <v>0</v>
          </cell>
          <cell r="N871">
            <v>0</v>
          </cell>
        </row>
        <row r="872">
          <cell r="A872" t="str">
            <v>0</v>
          </cell>
          <cell r="I872">
            <v>0</v>
          </cell>
          <cell r="N872">
            <v>0</v>
          </cell>
        </row>
        <row r="873">
          <cell r="A873" t="str">
            <v>0</v>
          </cell>
          <cell r="I873">
            <v>0</v>
          </cell>
          <cell r="N873">
            <v>0</v>
          </cell>
        </row>
        <row r="874">
          <cell r="A874" t="str">
            <v>0</v>
          </cell>
          <cell r="I874">
            <v>0</v>
          </cell>
          <cell r="N874">
            <v>0</v>
          </cell>
        </row>
        <row r="875">
          <cell r="A875" t="str">
            <v>0</v>
          </cell>
          <cell r="I875">
            <v>0</v>
          </cell>
          <cell r="N875">
            <v>0</v>
          </cell>
        </row>
        <row r="876">
          <cell r="A876" t="str">
            <v>0</v>
          </cell>
          <cell r="I876">
            <v>0</v>
          </cell>
          <cell r="N876">
            <v>0</v>
          </cell>
        </row>
        <row r="877">
          <cell r="A877" t="str">
            <v>0</v>
          </cell>
          <cell r="I877">
            <v>0</v>
          </cell>
          <cell r="N877">
            <v>0</v>
          </cell>
        </row>
        <row r="878">
          <cell r="A878" t="str">
            <v>0</v>
          </cell>
          <cell r="I878">
            <v>0</v>
          </cell>
          <cell r="N878">
            <v>0</v>
          </cell>
        </row>
        <row r="879">
          <cell r="A879" t="str">
            <v>0</v>
          </cell>
          <cell r="I879">
            <v>0</v>
          </cell>
          <cell r="N879">
            <v>0</v>
          </cell>
        </row>
        <row r="880">
          <cell r="A880" t="str">
            <v>0</v>
          </cell>
          <cell r="I880">
            <v>0</v>
          </cell>
          <cell r="N880">
            <v>0</v>
          </cell>
        </row>
        <row r="881">
          <cell r="A881" t="str">
            <v>0</v>
          </cell>
          <cell r="I881">
            <v>0</v>
          </cell>
          <cell r="N881">
            <v>0</v>
          </cell>
        </row>
        <row r="882">
          <cell r="A882" t="str">
            <v>0</v>
          </cell>
          <cell r="I882">
            <v>0</v>
          </cell>
          <cell r="N882">
            <v>0</v>
          </cell>
        </row>
        <row r="883">
          <cell r="A883" t="str">
            <v>0</v>
          </cell>
          <cell r="I883">
            <v>0</v>
          </cell>
          <cell r="N883">
            <v>0</v>
          </cell>
        </row>
        <row r="884">
          <cell r="A884" t="str">
            <v>0</v>
          </cell>
          <cell r="I884">
            <v>0</v>
          </cell>
          <cell r="N884">
            <v>0</v>
          </cell>
        </row>
        <row r="885">
          <cell r="A885" t="str">
            <v>0</v>
          </cell>
          <cell r="I885">
            <v>0</v>
          </cell>
          <cell r="N885">
            <v>0</v>
          </cell>
        </row>
        <row r="886">
          <cell r="A886" t="str">
            <v>0</v>
          </cell>
          <cell r="I886">
            <v>0</v>
          </cell>
          <cell r="N886">
            <v>0</v>
          </cell>
        </row>
        <row r="887">
          <cell r="A887" t="str">
            <v>0</v>
          </cell>
          <cell r="I887">
            <v>0</v>
          </cell>
          <cell r="N887">
            <v>0</v>
          </cell>
        </row>
        <row r="888">
          <cell r="A888" t="str">
            <v>0</v>
          </cell>
          <cell r="I888">
            <v>0</v>
          </cell>
          <cell r="N888">
            <v>0</v>
          </cell>
        </row>
        <row r="889">
          <cell r="A889" t="str">
            <v>0</v>
          </cell>
          <cell r="I889">
            <v>0</v>
          </cell>
          <cell r="N889">
            <v>0</v>
          </cell>
        </row>
        <row r="890">
          <cell r="A890" t="str">
            <v>0</v>
          </cell>
          <cell r="I890">
            <v>0</v>
          </cell>
          <cell r="N890">
            <v>0</v>
          </cell>
        </row>
        <row r="891">
          <cell r="A891" t="str">
            <v>0</v>
          </cell>
          <cell r="I891">
            <v>0</v>
          </cell>
          <cell r="N891">
            <v>0</v>
          </cell>
        </row>
        <row r="892">
          <cell r="A892" t="str">
            <v>0</v>
          </cell>
          <cell r="I892">
            <v>0</v>
          </cell>
          <cell r="N892">
            <v>0</v>
          </cell>
        </row>
        <row r="893">
          <cell r="A893" t="str">
            <v>0</v>
          </cell>
          <cell r="I893">
            <v>0</v>
          </cell>
          <cell r="N893">
            <v>0</v>
          </cell>
        </row>
        <row r="894">
          <cell r="A894" t="str">
            <v>0</v>
          </cell>
          <cell r="I894">
            <v>0</v>
          </cell>
          <cell r="N894">
            <v>0</v>
          </cell>
        </row>
        <row r="895">
          <cell r="A895" t="str">
            <v>0</v>
          </cell>
          <cell r="I895">
            <v>0</v>
          </cell>
          <cell r="N895">
            <v>0</v>
          </cell>
        </row>
        <row r="896">
          <cell r="A896" t="str">
            <v>0</v>
          </cell>
          <cell r="I896">
            <v>0</v>
          </cell>
          <cell r="N896">
            <v>0</v>
          </cell>
        </row>
        <row r="897">
          <cell r="A897" t="str">
            <v>0</v>
          </cell>
          <cell r="I897">
            <v>0</v>
          </cell>
          <cell r="N897">
            <v>0</v>
          </cell>
        </row>
        <row r="898">
          <cell r="A898" t="str">
            <v>0</v>
          </cell>
          <cell r="I898">
            <v>0</v>
          </cell>
          <cell r="N898">
            <v>0</v>
          </cell>
        </row>
        <row r="899">
          <cell r="A899" t="str">
            <v>0</v>
          </cell>
          <cell r="I899">
            <v>0</v>
          </cell>
          <cell r="N899">
            <v>0</v>
          </cell>
        </row>
        <row r="900">
          <cell r="A900" t="str">
            <v>0</v>
          </cell>
          <cell r="I900">
            <v>0</v>
          </cell>
          <cell r="N900">
            <v>0</v>
          </cell>
        </row>
        <row r="901">
          <cell r="A901" t="str">
            <v>0</v>
          </cell>
          <cell r="I901">
            <v>0</v>
          </cell>
          <cell r="N901">
            <v>0</v>
          </cell>
        </row>
        <row r="902">
          <cell r="A902" t="str">
            <v>0</v>
          </cell>
          <cell r="I902">
            <v>0</v>
          </cell>
          <cell r="N902">
            <v>0</v>
          </cell>
        </row>
        <row r="903">
          <cell r="A903" t="str">
            <v>0</v>
          </cell>
          <cell r="I903">
            <v>0</v>
          </cell>
          <cell r="N903">
            <v>0</v>
          </cell>
        </row>
        <row r="904">
          <cell r="A904" t="str">
            <v>0</v>
          </cell>
          <cell r="I904">
            <v>0</v>
          </cell>
          <cell r="N904">
            <v>0</v>
          </cell>
        </row>
        <row r="905">
          <cell r="A905" t="str">
            <v>0</v>
          </cell>
          <cell r="I905">
            <v>0</v>
          </cell>
          <cell r="N905">
            <v>0</v>
          </cell>
        </row>
        <row r="906">
          <cell r="A906" t="str">
            <v>0</v>
          </cell>
          <cell r="I906">
            <v>0</v>
          </cell>
          <cell r="N906">
            <v>0</v>
          </cell>
        </row>
        <row r="907">
          <cell r="A907" t="str">
            <v>0</v>
          </cell>
          <cell r="I907">
            <v>0</v>
          </cell>
          <cell r="N907">
            <v>0</v>
          </cell>
        </row>
        <row r="908">
          <cell r="A908" t="str">
            <v>0</v>
          </cell>
          <cell r="I908">
            <v>0</v>
          </cell>
          <cell r="N908">
            <v>0</v>
          </cell>
        </row>
        <row r="909">
          <cell r="A909" t="str">
            <v>0</v>
          </cell>
          <cell r="I909">
            <v>0</v>
          </cell>
          <cell r="N909">
            <v>0</v>
          </cell>
        </row>
        <row r="910">
          <cell r="A910" t="str">
            <v>0</v>
          </cell>
          <cell r="I910">
            <v>0</v>
          </cell>
          <cell r="N910">
            <v>0</v>
          </cell>
        </row>
        <row r="911">
          <cell r="A911" t="str">
            <v>0</v>
          </cell>
          <cell r="I911">
            <v>0</v>
          </cell>
          <cell r="N911">
            <v>0</v>
          </cell>
        </row>
        <row r="912">
          <cell r="A912" t="str">
            <v>0</v>
          </cell>
          <cell r="I912">
            <v>0</v>
          </cell>
          <cell r="N912">
            <v>0</v>
          </cell>
        </row>
        <row r="913">
          <cell r="A913" t="str">
            <v>0</v>
          </cell>
          <cell r="I913">
            <v>0</v>
          </cell>
          <cell r="N913">
            <v>0</v>
          </cell>
        </row>
        <row r="914">
          <cell r="A914" t="str">
            <v>0</v>
          </cell>
          <cell r="I914">
            <v>0</v>
          </cell>
          <cell r="N914">
            <v>0</v>
          </cell>
        </row>
        <row r="915">
          <cell r="A915" t="str">
            <v>0</v>
          </cell>
          <cell r="I915">
            <v>0</v>
          </cell>
          <cell r="N915">
            <v>0</v>
          </cell>
        </row>
        <row r="916">
          <cell r="A916" t="str">
            <v>0</v>
          </cell>
          <cell r="I916">
            <v>0</v>
          </cell>
          <cell r="N916">
            <v>0</v>
          </cell>
        </row>
        <row r="917">
          <cell r="A917" t="str">
            <v>0</v>
          </cell>
          <cell r="I917">
            <v>0</v>
          </cell>
          <cell r="N917">
            <v>0</v>
          </cell>
        </row>
        <row r="918">
          <cell r="A918" t="str">
            <v>0</v>
          </cell>
          <cell r="I918">
            <v>0</v>
          </cell>
          <cell r="N918">
            <v>0</v>
          </cell>
        </row>
        <row r="919">
          <cell r="A919" t="str">
            <v>0</v>
          </cell>
          <cell r="I919">
            <v>0</v>
          </cell>
          <cell r="N919">
            <v>0</v>
          </cell>
        </row>
        <row r="920">
          <cell r="A920" t="str">
            <v>0</v>
          </cell>
          <cell r="I920">
            <v>0</v>
          </cell>
          <cell r="N920">
            <v>0</v>
          </cell>
        </row>
        <row r="921">
          <cell r="A921" t="str">
            <v>0</v>
          </cell>
          <cell r="I921">
            <v>0</v>
          </cell>
          <cell r="N921">
            <v>0</v>
          </cell>
        </row>
        <row r="922">
          <cell r="A922" t="str">
            <v>0</v>
          </cell>
          <cell r="I922">
            <v>0</v>
          </cell>
          <cell r="N922">
            <v>0</v>
          </cell>
        </row>
        <row r="923">
          <cell r="A923" t="str">
            <v>0</v>
          </cell>
          <cell r="I923">
            <v>0</v>
          </cell>
          <cell r="N923">
            <v>0</v>
          </cell>
        </row>
        <row r="924">
          <cell r="A924" t="str">
            <v>0</v>
          </cell>
          <cell r="I924">
            <v>0</v>
          </cell>
          <cell r="N924">
            <v>0</v>
          </cell>
        </row>
        <row r="925">
          <cell r="A925" t="str">
            <v>0</v>
          </cell>
          <cell r="I925">
            <v>0</v>
          </cell>
          <cell r="N925">
            <v>0</v>
          </cell>
        </row>
        <row r="926">
          <cell r="A926" t="str">
            <v>0</v>
          </cell>
          <cell r="I926">
            <v>0</v>
          </cell>
          <cell r="N926">
            <v>0</v>
          </cell>
        </row>
        <row r="927">
          <cell r="A927" t="str">
            <v>0</v>
          </cell>
          <cell r="I927">
            <v>0</v>
          </cell>
          <cell r="N927">
            <v>0</v>
          </cell>
        </row>
        <row r="928">
          <cell r="A928" t="str">
            <v>0</v>
          </cell>
          <cell r="I928">
            <v>0</v>
          </cell>
          <cell r="N928">
            <v>0</v>
          </cell>
        </row>
        <row r="929">
          <cell r="A929" t="str">
            <v>0</v>
          </cell>
          <cell r="I929">
            <v>0</v>
          </cell>
          <cell r="N929">
            <v>0</v>
          </cell>
        </row>
        <row r="930">
          <cell r="A930" t="str">
            <v>0</v>
          </cell>
          <cell r="I930">
            <v>0</v>
          </cell>
          <cell r="N930">
            <v>0</v>
          </cell>
        </row>
        <row r="931">
          <cell r="A931" t="str">
            <v>0</v>
          </cell>
          <cell r="I931">
            <v>0</v>
          </cell>
          <cell r="N931">
            <v>0</v>
          </cell>
        </row>
        <row r="932">
          <cell r="A932" t="str">
            <v>0</v>
          </cell>
          <cell r="I932">
            <v>0</v>
          </cell>
          <cell r="N932">
            <v>0</v>
          </cell>
        </row>
        <row r="933">
          <cell r="A933" t="str">
            <v>0</v>
          </cell>
          <cell r="I933">
            <v>0</v>
          </cell>
          <cell r="N933">
            <v>0</v>
          </cell>
        </row>
        <row r="934">
          <cell r="A934" t="str">
            <v>0</v>
          </cell>
          <cell r="I934">
            <v>0</v>
          </cell>
          <cell r="N934">
            <v>0</v>
          </cell>
        </row>
        <row r="935">
          <cell r="A935" t="str">
            <v>0</v>
          </cell>
          <cell r="I935">
            <v>0</v>
          </cell>
          <cell r="N935">
            <v>0</v>
          </cell>
        </row>
        <row r="936">
          <cell r="A936" t="str">
            <v>0</v>
          </cell>
          <cell r="I936">
            <v>0</v>
          </cell>
          <cell r="N936">
            <v>0</v>
          </cell>
        </row>
        <row r="937">
          <cell r="A937" t="str">
            <v>0</v>
          </cell>
          <cell r="I937">
            <v>0</v>
          </cell>
          <cell r="N937">
            <v>0</v>
          </cell>
        </row>
        <row r="938">
          <cell r="A938" t="str">
            <v>0</v>
          </cell>
          <cell r="I938">
            <v>0</v>
          </cell>
          <cell r="N938">
            <v>0</v>
          </cell>
        </row>
        <row r="939">
          <cell r="A939" t="str">
            <v>0</v>
          </cell>
          <cell r="I939">
            <v>0</v>
          </cell>
          <cell r="N939">
            <v>0</v>
          </cell>
        </row>
        <row r="940">
          <cell r="A940" t="str">
            <v>0</v>
          </cell>
          <cell r="I940">
            <v>0</v>
          </cell>
          <cell r="N940">
            <v>0</v>
          </cell>
        </row>
        <row r="941">
          <cell r="A941" t="str">
            <v>0</v>
          </cell>
          <cell r="I941">
            <v>0</v>
          </cell>
          <cell r="N941">
            <v>0</v>
          </cell>
        </row>
        <row r="942">
          <cell r="A942" t="str">
            <v>0</v>
          </cell>
          <cell r="I942">
            <v>0</v>
          </cell>
          <cell r="N942">
            <v>0</v>
          </cell>
        </row>
        <row r="943">
          <cell r="A943" t="str">
            <v>0</v>
          </cell>
          <cell r="I943">
            <v>0</v>
          </cell>
          <cell r="N943">
            <v>0</v>
          </cell>
        </row>
        <row r="944">
          <cell r="A944" t="str">
            <v>0</v>
          </cell>
          <cell r="I944">
            <v>0</v>
          </cell>
          <cell r="N944">
            <v>0</v>
          </cell>
        </row>
        <row r="945">
          <cell r="A945" t="str">
            <v>0</v>
          </cell>
          <cell r="I945">
            <v>0</v>
          </cell>
          <cell r="N945">
            <v>0</v>
          </cell>
        </row>
        <row r="946">
          <cell r="A946" t="str">
            <v>0</v>
          </cell>
          <cell r="I946">
            <v>0</v>
          </cell>
          <cell r="N946">
            <v>0</v>
          </cell>
        </row>
        <row r="947">
          <cell r="A947" t="str">
            <v>0</v>
          </cell>
          <cell r="I947">
            <v>0</v>
          </cell>
          <cell r="N947">
            <v>0</v>
          </cell>
        </row>
        <row r="948">
          <cell r="A948" t="str">
            <v>0</v>
          </cell>
          <cell r="I948">
            <v>0</v>
          </cell>
          <cell r="N948">
            <v>0</v>
          </cell>
        </row>
        <row r="949">
          <cell r="A949" t="str">
            <v>0</v>
          </cell>
          <cell r="I949">
            <v>0</v>
          </cell>
          <cell r="N949">
            <v>0</v>
          </cell>
        </row>
        <row r="950">
          <cell r="A950" t="str">
            <v>0</v>
          </cell>
          <cell r="I950">
            <v>0</v>
          </cell>
          <cell r="N950">
            <v>0</v>
          </cell>
        </row>
        <row r="951">
          <cell r="A951" t="str">
            <v>0</v>
          </cell>
          <cell r="I951">
            <v>0</v>
          </cell>
          <cell r="N951">
            <v>0</v>
          </cell>
        </row>
        <row r="952">
          <cell r="A952" t="str">
            <v>0</v>
          </cell>
          <cell r="I952">
            <v>0</v>
          </cell>
          <cell r="N952">
            <v>0</v>
          </cell>
        </row>
        <row r="953">
          <cell r="A953" t="str">
            <v>0</v>
          </cell>
          <cell r="I953">
            <v>0</v>
          </cell>
          <cell r="N953">
            <v>0</v>
          </cell>
        </row>
        <row r="954">
          <cell r="A954" t="str">
            <v>0</v>
          </cell>
          <cell r="I954">
            <v>0</v>
          </cell>
          <cell r="N954">
            <v>0</v>
          </cell>
        </row>
        <row r="955">
          <cell r="A955" t="str">
            <v>0</v>
          </cell>
          <cell r="I955">
            <v>0</v>
          </cell>
          <cell r="N955">
            <v>0</v>
          </cell>
        </row>
        <row r="956">
          <cell r="A956" t="str">
            <v>0</v>
          </cell>
          <cell r="I956">
            <v>0</v>
          </cell>
          <cell r="N956">
            <v>0</v>
          </cell>
        </row>
        <row r="957">
          <cell r="A957" t="str">
            <v>0</v>
          </cell>
          <cell r="I957">
            <v>0</v>
          </cell>
          <cell r="N957">
            <v>0</v>
          </cell>
        </row>
        <row r="958">
          <cell r="A958" t="str">
            <v>0</v>
          </cell>
          <cell r="I958">
            <v>0</v>
          </cell>
          <cell r="N958">
            <v>0</v>
          </cell>
        </row>
        <row r="959">
          <cell r="A959" t="str">
            <v>0</v>
          </cell>
          <cell r="I959">
            <v>0</v>
          </cell>
          <cell r="N959">
            <v>0</v>
          </cell>
        </row>
        <row r="960">
          <cell r="A960" t="str">
            <v>0</v>
          </cell>
          <cell r="I960">
            <v>0</v>
          </cell>
          <cell r="N960">
            <v>0</v>
          </cell>
        </row>
        <row r="961">
          <cell r="A961" t="str">
            <v>0</v>
          </cell>
          <cell r="I961">
            <v>0</v>
          </cell>
          <cell r="N961">
            <v>0</v>
          </cell>
        </row>
        <row r="962">
          <cell r="A962" t="str">
            <v>0</v>
          </cell>
          <cell r="I962">
            <v>0</v>
          </cell>
          <cell r="N962">
            <v>0</v>
          </cell>
        </row>
        <row r="963">
          <cell r="A963" t="str">
            <v>0</v>
          </cell>
          <cell r="I963">
            <v>0</v>
          </cell>
          <cell r="N963">
            <v>0</v>
          </cell>
        </row>
        <row r="964">
          <cell r="A964" t="str">
            <v>0</v>
          </cell>
          <cell r="I964">
            <v>0</v>
          </cell>
          <cell r="N964">
            <v>0</v>
          </cell>
        </row>
        <row r="965">
          <cell r="A965" t="str">
            <v>0</v>
          </cell>
          <cell r="I965">
            <v>0</v>
          </cell>
          <cell r="N965">
            <v>0</v>
          </cell>
        </row>
        <row r="966">
          <cell r="A966" t="str">
            <v>0</v>
          </cell>
          <cell r="I966">
            <v>0</v>
          </cell>
          <cell r="N966">
            <v>0</v>
          </cell>
        </row>
        <row r="967">
          <cell r="A967" t="str">
            <v>0</v>
          </cell>
          <cell r="I967">
            <v>0</v>
          </cell>
          <cell r="N967">
            <v>0</v>
          </cell>
        </row>
        <row r="968">
          <cell r="A968" t="str">
            <v>0</v>
          </cell>
          <cell r="I968">
            <v>0</v>
          </cell>
          <cell r="N968">
            <v>0</v>
          </cell>
        </row>
        <row r="969">
          <cell r="A969" t="str">
            <v>0</v>
          </cell>
          <cell r="I969">
            <v>0</v>
          </cell>
          <cell r="N969">
            <v>0</v>
          </cell>
        </row>
        <row r="970">
          <cell r="A970" t="str">
            <v>0</v>
          </cell>
          <cell r="I970">
            <v>0</v>
          </cell>
          <cell r="N970">
            <v>0</v>
          </cell>
        </row>
        <row r="971">
          <cell r="A971" t="str">
            <v>0</v>
          </cell>
          <cell r="I971">
            <v>0</v>
          </cell>
          <cell r="N971">
            <v>0</v>
          </cell>
        </row>
        <row r="972">
          <cell r="A972" t="str">
            <v>0</v>
          </cell>
          <cell r="I972">
            <v>0</v>
          </cell>
          <cell r="N972">
            <v>0</v>
          </cell>
        </row>
        <row r="973">
          <cell r="A973" t="str">
            <v>0</v>
          </cell>
          <cell r="I973">
            <v>0</v>
          </cell>
          <cell r="N973">
            <v>0</v>
          </cell>
        </row>
        <row r="974">
          <cell r="A974" t="str">
            <v>0</v>
          </cell>
          <cell r="I974">
            <v>0</v>
          </cell>
          <cell r="N974">
            <v>0</v>
          </cell>
        </row>
        <row r="975">
          <cell r="A975" t="str">
            <v>0</v>
          </cell>
          <cell r="I975">
            <v>0</v>
          </cell>
          <cell r="N975">
            <v>0</v>
          </cell>
        </row>
        <row r="976">
          <cell r="A976" t="str">
            <v>0</v>
          </cell>
          <cell r="I976">
            <v>0</v>
          </cell>
          <cell r="N976">
            <v>0</v>
          </cell>
        </row>
        <row r="977">
          <cell r="A977" t="str">
            <v>0</v>
          </cell>
          <cell r="I977">
            <v>0</v>
          </cell>
          <cell r="N977">
            <v>0</v>
          </cell>
        </row>
        <row r="978">
          <cell r="A978" t="str">
            <v>0</v>
          </cell>
          <cell r="I978">
            <v>0</v>
          </cell>
          <cell r="N978">
            <v>0</v>
          </cell>
        </row>
        <row r="979">
          <cell r="A979" t="str">
            <v>0</v>
          </cell>
          <cell r="I979">
            <v>0</v>
          </cell>
          <cell r="N979">
            <v>0</v>
          </cell>
        </row>
        <row r="980">
          <cell r="A980" t="str">
            <v>0</v>
          </cell>
          <cell r="I980">
            <v>0</v>
          </cell>
          <cell r="N980">
            <v>0</v>
          </cell>
        </row>
        <row r="981">
          <cell r="A981" t="str">
            <v>0</v>
          </cell>
          <cell r="I981">
            <v>0</v>
          </cell>
          <cell r="N981">
            <v>0</v>
          </cell>
        </row>
        <row r="982">
          <cell r="A982" t="str">
            <v>0</v>
          </cell>
          <cell r="I982">
            <v>0</v>
          </cell>
          <cell r="N982">
            <v>0</v>
          </cell>
        </row>
        <row r="983">
          <cell r="A983" t="str">
            <v>0</v>
          </cell>
          <cell r="I983">
            <v>0</v>
          </cell>
          <cell r="N983">
            <v>0</v>
          </cell>
        </row>
        <row r="984">
          <cell r="A984" t="str">
            <v>0</v>
          </cell>
          <cell r="I984">
            <v>0</v>
          </cell>
          <cell r="N984">
            <v>0</v>
          </cell>
        </row>
        <row r="985">
          <cell r="A985" t="str">
            <v>0</v>
          </cell>
          <cell r="I985">
            <v>0</v>
          </cell>
          <cell r="N985">
            <v>0</v>
          </cell>
        </row>
        <row r="986">
          <cell r="A986" t="str">
            <v>0</v>
          </cell>
          <cell r="I986">
            <v>0</v>
          </cell>
          <cell r="N986">
            <v>0</v>
          </cell>
        </row>
        <row r="987">
          <cell r="A987" t="str">
            <v>0</v>
          </cell>
          <cell r="I987">
            <v>0</v>
          </cell>
          <cell r="N987">
            <v>0</v>
          </cell>
        </row>
        <row r="988">
          <cell r="A988" t="str">
            <v>0</v>
          </cell>
          <cell r="I988">
            <v>0</v>
          </cell>
          <cell r="N988">
            <v>0</v>
          </cell>
        </row>
        <row r="989">
          <cell r="A989" t="str">
            <v>0</v>
          </cell>
          <cell r="I989">
            <v>0</v>
          </cell>
          <cell r="N989">
            <v>0</v>
          </cell>
        </row>
        <row r="990">
          <cell r="A990" t="str">
            <v>0</v>
          </cell>
          <cell r="I990">
            <v>0</v>
          </cell>
          <cell r="N990">
            <v>0</v>
          </cell>
        </row>
        <row r="991">
          <cell r="A991" t="str">
            <v>0</v>
          </cell>
          <cell r="I991">
            <v>0</v>
          </cell>
          <cell r="N991">
            <v>0</v>
          </cell>
        </row>
        <row r="992">
          <cell r="A992" t="str">
            <v>0</v>
          </cell>
          <cell r="I992">
            <v>0</v>
          </cell>
          <cell r="N992">
            <v>0</v>
          </cell>
        </row>
        <row r="993">
          <cell r="A993" t="str">
            <v>0</v>
          </cell>
          <cell r="I993">
            <v>0</v>
          </cell>
          <cell r="N993">
            <v>0</v>
          </cell>
        </row>
        <row r="994">
          <cell r="A994" t="str">
            <v>0</v>
          </cell>
          <cell r="I994">
            <v>0</v>
          </cell>
          <cell r="N994">
            <v>0</v>
          </cell>
        </row>
        <row r="995">
          <cell r="A995" t="str">
            <v>0</v>
          </cell>
          <cell r="I995">
            <v>0</v>
          </cell>
          <cell r="N995">
            <v>0</v>
          </cell>
        </row>
        <row r="996">
          <cell r="A996" t="str">
            <v>0</v>
          </cell>
          <cell r="I996">
            <v>0</v>
          </cell>
          <cell r="N996">
            <v>0</v>
          </cell>
        </row>
        <row r="997">
          <cell r="A997" t="str">
            <v>0</v>
          </cell>
          <cell r="I997">
            <v>0</v>
          </cell>
          <cell r="N997">
            <v>0</v>
          </cell>
        </row>
        <row r="998">
          <cell r="A998" t="str">
            <v>0</v>
          </cell>
          <cell r="I998">
            <v>0</v>
          </cell>
          <cell r="N998">
            <v>0</v>
          </cell>
        </row>
        <row r="999">
          <cell r="A999" t="str">
            <v>0</v>
          </cell>
          <cell r="I999">
            <v>0</v>
          </cell>
          <cell r="N999">
            <v>0</v>
          </cell>
        </row>
        <row r="1000">
          <cell r="A1000" t="str">
            <v>0</v>
          </cell>
          <cell r="I1000">
            <v>0</v>
          </cell>
          <cell r="N1000">
            <v>0</v>
          </cell>
        </row>
        <row r="1001">
          <cell r="N1001">
            <v>0</v>
          </cell>
        </row>
      </sheetData>
      <sheetData sheetId="30">
        <row r="2">
          <cell r="B2">
            <v>1</v>
          </cell>
        </row>
        <row r="3">
          <cell r="B3">
            <v>1</v>
          </cell>
        </row>
        <row r="4">
          <cell r="D4">
            <v>0</v>
          </cell>
          <cell r="M4" t="str">
            <v>Cout_mh_avril_0J</v>
          </cell>
        </row>
        <row r="5">
          <cell r="B5">
            <v>1</v>
          </cell>
          <cell r="D5">
            <v>1</v>
          </cell>
        </row>
        <row r="20">
          <cell r="F20">
            <v>0</v>
          </cell>
        </row>
        <row r="21">
          <cell r="B21">
            <v>0</v>
          </cell>
        </row>
      </sheetData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ez-moi"/>
      <sheetName val="Tableau1"/>
      <sheetName val="Tableau 2"/>
      <sheetName val="Tableau3"/>
      <sheetName val="données_graph1"/>
      <sheetName val="Graphique 1 "/>
      <sheetName val="Graphique 2"/>
      <sheetName val="Carte1"/>
      <sheetName val="Carte1a"/>
      <sheetName val="Carte1b"/>
      <sheetName val="Carte1c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lications"/>
      <sheetName val="prevision"/>
      <sheetName val="durée"/>
      <sheetName val="stock"/>
      <sheetName val="résultat"/>
      <sheetName val="Graph1"/>
      <sheetName val="sorties"/>
      <sheetName val="couts"/>
      <sheetName val="essai_calage_cout"/>
      <sheetName val="données_graph1"/>
    </sheetNames>
    <sheetDataSet>
      <sheetData sheetId="0" refreshError="1"/>
      <sheetData sheetId="1" refreshError="1">
        <row r="5">
          <cell r="E5">
            <v>307</v>
          </cell>
        </row>
        <row r="6">
          <cell r="E6">
            <v>300</v>
          </cell>
        </row>
        <row r="7">
          <cell r="E7">
            <v>300</v>
          </cell>
        </row>
        <row r="8">
          <cell r="E8">
            <v>300</v>
          </cell>
        </row>
        <row r="9">
          <cell r="E9">
            <v>300</v>
          </cell>
        </row>
        <row r="10">
          <cell r="E10">
            <v>300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ez-moi"/>
      <sheetName val="Tableau1"/>
      <sheetName val="Tableau 2"/>
      <sheetName val="Tableau3"/>
      <sheetName val="données_graph1"/>
      <sheetName val="Graphique 1 "/>
      <sheetName val="Graphique 2"/>
      <sheetName val="Carte1"/>
      <sheetName val="Carte1a"/>
      <sheetName val="Carte1b"/>
      <sheetName val="Carte1c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+ grosse convention CR"/>
      <sheetName val="Metal Europe - DAEWOO"/>
      <sheetName val="ATD NAF29 2002"/>
      <sheetName val="ATD - desc"/>
      <sheetName val="ATD -Table1-2"/>
      <sheetName val="ATD - Tab 5"/>
      <sheetName val="CR Age"/>
      <sheetName val="CR sexe"/>
      <sheetName val="CR Qualif"/>
      <sheetName val="Desc Sortie"/>
      <sheetName val="CR Graphiques -sortie"/>
      <sheetName val="CR -Table1-2"/>
      <sheetName val="CR - Tab 3-4"/>
      <sheetName val="CR Graph 1 Situation sortie"/>
      <sheetName val="CR - Tab 5"/>
      <sheetName val="CR naf29 2002"/>
      <sheetName val="CR naf 29 2003"/>
      <sheetName val="CR Desc 02-03"/>
      <sheetName val="Budgétaire"/>
      <sheetName val="Suivi TOTAL"/>
      <sheetName val="CR Convention desc"/>
      <sheetName val="Codes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var</v>
          </cell>
          <cell r="B1" t="str">
            <v>COUNT</v>
          </cell>
          <cell r="C1" t="str">
            <v>PERCENT</v>
          </cell>
          <cell r="D1" t="str">
            <v>name</v>
          </cell>
        </row>
        <row r="2">
          <cell r="A2">
            <v>1</v>
          </cell>
          <cell r="B2">
            <v>5</v>
          </cell>
          <cell r="C2">
            <v>2.5680534155110425E-3</v>
          </cell>
          <cell r="D2" t="str">
            <v>naf29</v>
          </cell>
        </row>
        <row r="3">
          <cell r="A3">
            <v>2</v>
          </cell>
          <cell r="B3">
            <v>3</v>
          </cell>
          <cell r="C3">
            <v>1.5408320493066256E-3</v>
          </cell>
          <cell r="D3" t="str">
            <v>naf29</v>
          </cell>
        </row>
        <row r="4">
          <cell r="A4">
            <v>3</v>
          </cell>
          <cell r="B4">
            <v>100</v>
          </cell>
          <cell r="C4">
            <v>5.1361068310220852E-2</v>
          </cell>
          <cell r="D4" t="str">
            <v>naf29</v>
          </cell>
        </row>
        <row r="5">
          <cell r="A5">
            <v>4</v>
          </cell>
          <cell r="B5">
            <v>112</v>
          </cell>
          <cell r="C5">
            <v>5.7524396507447353E-2</v>
          </cell>
          <cell r="D5" t="str">
            <v>naf29</v>
          </cell>
        </row>
        <row r="6">
          <cell r="A6">
            <v>5</v>
          </cell>
          <cell r="B6">
            <v>34</v>
          </cell>
          <cell r="C6">
            <v>1.7462763225475089E-2</v>
          </cell>
          <cell r="D6" t="str">
            <v>naf29</v>
          </cell>
        </row>
        <row r="7">
          <cell r="A7">
            <v>6</v>
          </cell>
          <cell r="B7">
            <v>197</v>
          </cell>
          <cell r="C7">
            <v>0.10118130457113508</v>
          </cell>
          <cell r="D7" t="str">
            <v>naf29</v>
          </cell>
        </row>
        <row r="8">
          <cell r="A8">
            <v>8</v>
          </cell>
          <cell r="B8">
            <v>54</v>
          </cell>
          <cell r="C8">
            <v>2.7734976887519261E-2</v>
          </cell>
          <cell r="D8" t="str">
            <v>naf29</v>
          </cell>
        </row>
        <row r="9">
          <cell r="A9">
            <v>9</v>
          </cell>
          <cell r="B9">
            <v>85</v>
          </cell>
          <cell r="C9">
            <v>4.3656908063687723E-2</v>
          </cell>
          <cell r="D9" t="str">
            <v>naf29</v>
          </cell>
        </row>
        <row r="10">
          <cell r="A10">
            <v>11</v>
          </cell>
          <cell r="B10">
            <v>138</v>
          </cell>
          <cell r="C10">
            <v>7.0878274268104779E-2</v>
          </cell>
          <cell r="D10" t="str">
            <v>naf29</v>
          </cell>
        </row>
        <row r="11">
          <cell r="A11">
            <v>12</v>
          </cell>
          <cell r="B11">
            <v>13</v>
          </cell>
          <cell r="C11">
            <v>6.6769388803287104E-3</v>
          </cell>
          <cell r="D11" t="str">
            <v>naf29</v>
          </cell>
        </row>
        <row r="12">
          <cell r="A12">
            <v>13</v>
          </cell>
          <cell r="B12">
            <v>363</v>
          </cell>
          <cell r="C12">
            <v>0.1864406779661017</v>
          </cell>
          <cell r="D12" t="str">
            <v>naf29</v>
          </cell>
        </row>
        <row r="13">
          <cell r="A13">
            <v>14</v>
          </cell>
          <cell r="B13">
            <v>237</v>
          </cell>
          <cell r="C13">
            <v>0.12172573189522343</v>
          </cell>
          <cell r="D13" t="str">
            <v>naf29</v>
          </cell>
        </row>
        <row r="14">
          <cell r="A14">
            <v>15</v>
          </cell>
          <cell r="B14">
            <v>14</v>
          </cell>
          <cell r="C14">
            <v>7.1905495634309192E-3</v>
          </cell>
          <cell r="D14" t="str">
            <v>naf29</v>
          </cell>
        </row>
        <row r="15">
          <cell r="A15">
            <v>16</v>
          </cell>
          <cell r="B15">
            <v>27</v>
          </cell>
          <cell r="C15">
            <v>1.386748844375963E-2</v>
          </cell>
          <cell r="D15" t="str">
            <v>naf29</v>
          </cell>
        </row>
        <row r="16">
          <cell r="A16">
            <v>17</v>
          </cell>
          <cell r="B16">
            <v>83</v>
          </cell>
          <cell r="C16">
            <v>4.2629686697483307E-2</v>
          </cell>
          <cell r="D16" t="str">
            <v>naf29</v>
          </cell>
        </row>
        <row r="17">
          <cell r="A17">
            <v>18</v>
          </cell>
          <cell r="B17">
            <v>40</v>
          </cell>
          <cell r="C17">
            <v>2.054442732408834E-2</v>
          </cell>
          <cell r="D17" t="str">
            <v>naf29</v>
          </cell>
        </row>
        <row r="18">
          <cell r="A18">
            <v>20</v>
          </cell>
          <cell r="B18">
            <v>97</v>
          </cell>
          <cell r="C18">
            <v>4.9820236260914225E-2</v>
          </cell>
          <cell r="D18" t="str">
            <v>naf29</v>
          </cell>
        </row>
        <row r="19">
          <cell r="A19">
            <v>21</v>
          </cell>
          <cell r="B19">
            <v>10</v>
          </cell>
          <cell r="C19">
            <v>5.136106831022085E-3</v>
          </cell>
          <cell r="D19" t="str">
            <v>naf29</v>
          </cell>
        </row>
        <row r="20">
          <cell r="A20">
            <v>22</v>
          </cell>
          <cell r="B20">
            <v>114</v>
          </cell>
          <cell r="C20">
            <v>5.8551617873651769E-2</v>
          </cell>
          <cell r="D20" t="str">
            <v>naf29</v>
          </cell>
        </row>
        <row r="21">
          <cell r="A21">
            <v>23</v>
          </cell>
          <cell r="B21">
            <v>4</v>
          </cell>
          <cell r="C21">
            <v>2.0544427324088342E-3</v>
          </cell>
          <cell r="D21" t="str">
            <v>naf29</v>
          </cell>
        </row>
        <row r="22">
          <cell r="A22">
            <v>24</v>
          </cell>
          <cell r="B22">
            <v>110</v>
          </cell>
          <cell r="C22">
            <v>5.6497175141242938E-2</v>
          </cell>
          <cell r="D22" t="str">
            <v>naf29</v>
          </cell>
        </row>
        <row r="23">
          <cell r="A23">
            <v>25</v>
          </cell>
          <cell r="B23">
            <v>1</v>
          </cell>
          <cell r="C23">
            <v>5.1361068310220854E-4</v>
          </cell>
          <cell r="D23" t="str">
            <v>naf29</v>
          </cell>
        </row>
        <row r="24">
          <cell r="A24">
            <v>26</v>
          </cell>
          <cell r="B24">
            <v>8</v>
          </cell>
          <cell r="C24">
            <v>4.1088854648176684E-3</v>
          </cell>
          <cell r="D24" t="str">
            <v>naf29</v>
          </cell>
        </row>
        <row r="25">
          <cell r="A25">
            <v>27</v>
          </cell>
          <cell r="B25">
            <v>38</v>
          </cell>
          <cell r="C25">
            <v>1.9517205957883924E-2</v>
          </cell>
          <cell r="D25" t="str">
            <v>naf29</v>
          </cell>
        </row>
        <row r="26">
          <cell r="A26">
            <v>28</v>
          </cell>
          <cell r="B26">
            <v>18</v>
          </cell>
          <cell r="C26">
            <v>9.2449922958397542E-3</v>
          </cell>
          <cell r="D26" t="str">
            <v>naf29</v>
          </cell>
        </row>
        <row r="27">
          <cell r="A27">
            <v>29</v>
          </cell>
          <cell r="B27">
            <v>42</v>
          </cell>
          <cell r="C27">
            <v>2.1571648690292759E-2</v>
          </cell>
          <cell r="D27" t="str">
            <v>naf29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">
          <cell r="D1" t="str">
            <v>COUNT</v>
          </cell>
        </row>
        <row r="3">
          <cell r="C3" t="str">
            <v>Agriculture, chasse, sylviculture</v>
          </cell>
          <cell r="D3">
            <v>58</v>
          </cell>
        </row>
        <row r="4">
          <cell r="C4" t="str">
            <v>Industries agricoles et alimentaires</v>
          </cell>
          <cell r="D4">
            <v>473</v>
          </cell>
        </row>
        <row r="5">
          <cell r="C5" t="str">
            <v>Industrie textile et habillement</v>
          </cell>
          <cell r="D5">
            <v>2371</v>
          </cell>
        </row>
        <row r="6">
          <cell r="C6" t="str">
            <v>Industrie du cuir et de la chaussure</v>
          </cell>
          <cell r="D6">
            <v>489</v>
          </cell>
        </row>
        <row r="7">
          <cell r="C7" t="str">
            <v>Industrie du papier et du carton ; édition et imprimerie</v>
          </cell>
          <cell r="D7">
            <v>438</v>
          </cell>
        </row>
        <row r="8">
          <cell r="C8" t="str">
            <v>Industrie du caoutchouc et des plastiques</v>
          </cell>
          <cell r="D8">
            <v>437</v>
          </cell>
        </row>
        <row r="9">
          <cell r="C9" t="str">
            <v>Industrie chimique</v>
          </cell>
          <cell r="D9">
            <v>41</v>
          </cell>
        </row>
        <row r="10">
          <cell r="C10" t="str">
            <v>Métallurgie et travail des métaux</v>
          </cell>
          <cell r="D10">
            <v>1034</v>
          </cell>
        </row>
        <row r="11">
          <cell r="C11" t="str">
            <v>Fabrication de matériel de transport</v>
          </cell>
          <cell r="D11">
            <v>339</v>
          </cell>
        </row>
        <row r="12">
          <cell r="C12" t="str">
            <v>Fabrication de machines et équipements</v>
          </cell>
          <cell r="D12">
            <v>525</v>
          </cell>
        </row>
        <row r="13">
          <cell r="C13" t="str">
            <v>Fabrication d'équipements électriques et électroniques</v>
          </cell>
          <cell r="D13">
            <v>858</v>
          </cell>
        </row>
        <row r="14">
          <cell r="C14" t="str">
            <v>Fabrication d'autres produits minéraux non métalliques</v>
          </cell>
          <cell r="D14">
            <v>94</v>
          </cell>
        </row>
        <row r="15">
          <cell r="C15" t="str">
            <v>Travail du bois et fabrication d'articles en bois</v>
          </cell>
          <cell r="D15">
            <v>46</v>
          </cell>
        </row>
        <row r="16">
          <cell r="C16" t="str">
            <v>Autres industries manufacturières</v>
          </cell>
          <cell r="D16">
            <v>317</v>
          </cell>
        </row>
        <row r="17">
          <cell r="C17" t="str">
            <v>Construction</v>
          </cell>
          <cell r="D17">
            <v>63</v>
          </cell>
        </row>
        <row r="18">
          <cell r="C18" t="str">
            <v>Commerce ; réparations automobile et d'articles domestiques</v>
          </cell>
          <cell r="D18">
            <v>489</v>
          </cell>
        </row>
        <row r="19">
          <cell r="C19" t="str">
            <v>Transports et communications</v>
          </cell>
          <cell r="D19">
            <v>475</v>
          </cell>
        </row>
        <row r="20">
          <cell r="C20" t="str">
            <v>Activités financières</v>
          </cell>
          <cell r="D20">
            <v>73</v>
          </cell>
        </row>
        <row r="21">
          <cell r="C21" t="str">
            <v>Immobilier, location et services aux entreprises</v>
          </cell>
          <cell r="D21">
            <v>857</v>
          </cell>
        </row>
        <row r="22">
          <cell r="C22" t="str">
            <v>Conseil pour les affaires et la gestion</v>
          </cell>
          <cell r="D22">
            <v>1250</v>
          </cell>
        </row>
        <row r="23">
          <cell r="C23" t="str">
            <v>Administration publique et Education</v>
          </cell>
          <cell r="D23">
            <v>378</v>
          </cell>
        </row>
        <row r="24">
          <cell r="C24" t="str">
            <v>Santé et action sociale</v>
          </cell>
          <cell r="D24">
            <v>164</v>
          </cell>
        </row>
        <row r="25">
          <cell r="C25" t="str">
            <v>Services collectifs, sociaux et personnels</v>
          </cell>
          <cell r="D25">
            <v>317</v>
          </cell>
        </row>
        <row r="26">
          <cell r="C26" t="str">
            <v>INTER ENTREPRISE</v>
          </cell>
          <cell r="D26">
            <v>1468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showGridLines="0" tabSelected="1" topLeftCell="A2" zoomScale="110" zoomScaleNormal="110" workbookViewId="0">
      <selection activeCell="A39" sqref="A39"/>
    </sheetView>
  </sheetViews>
  <sheetFormatPr baseColWidth="10" defaultColWidth="11.42578125" defaultRowHeight="12.75" x14ac:dyDescent="0.2"/>
  <cols>
    <col min="1" max="1" width="58" style="2" customWidth="1"/>
    <col min="2" max="2" width="15" style="2" customWidth="1"/>
    <col min="3" max="3" width="23.42578125" style="2" customWidth="1"/>
    <col min="4" max="5" width="11.42578125" style="2"/>
    <col min="6" max="6" width="15" style="2" customWidth="1"/>
    <col min="7" max="7" width="22.85546875" style="2" customWidth="1"/>
    <col min="8" max="8" width="29.140625" style="2" customWidth="1"/>
    <col min="9" max="16384" width="11.42578125" style="2"/>
  </cols>
  <sheetData>
    <row r="1" spans="1:12" x14ac:dyDescent="0.2">
      <c r="A1" s="26" t="s">
        <v>56</v>
      </c>
      <c r="B1" s="26"/>
    </row>
    <row r="2" spans="1:12" x14ac:dyDescent="0.2">
      <c r="A2" s="4"/>
      <c r="B2" s="4"/>
      <c r="C2" s="24"/>
      <c r="D2" s="5"/>
    </row>
    <row r="3" spans="1:12" ht="12.75" customHeight="1" x14ac:dyDescent="0.2">
      <c r="A3" s="131"/>
      <c r="B3" s="132" t="s">
        <v>57</v>
      </c>
      <c r="C3" s="133" t="s">
        <v>113</v>
      </c>
      <c r="F3" s="127" t="s">
        <v>57</v>
      </c>
      <c r="G3" s="125" t="s">
        <v>58</v>
      </c>
    </row>
    <row r="4" spans="1:12" ht="17.25" customHeight="1" x14ac:dyDescent="0.2">
      <c r="A4" s="131"/>
      <c r="B4" s="132"/>
      <c r="C4" s="133"/>
      <c r="F4" s="128"/>
      <c r="G4" s="126"/>
      <c r="J4" s="34"/>
      <c r="K4" s="28"/>
    </row>
    <row r="5" spans="1:12" ht="15.75" customHeight="1" x14ac:dyDescent="0.2">
      <c r="A5" s="111" t="s">
        <v>13</v>
      </c>
      <c r="B5" s="112">
        <f t="shared" ref="B5:B29" si="0">ROUND(F5/100,0)*100</f>
        <v>745600</v>
      </c>
      <c r="C5" s="113">
        <f>G5</f>
        <v>11.816216898010978</v>
      </c>
      <c r="D5" s="33"/>
      <c r="E5" s="6"/>
      <c r="F5" s="57">
        <f>Données!O4</f>
        <v>745641.10979077069</v>
      </c>
      <c r="G5" s="72">
        <f>Données!P4</f>
        <v>11.816216898010978</v>
      </c>
      <c r="H5" s="29"/>
      <c r="I5" s="23"/>
      <c r="J5" s="23"/>
      <c r="K5" s="35"/>
      <c r="L5" s="3"/>
    </row>
    <row r="6" spans="1:12" ht="15" x14ac:dyDescent="0.25">
      <c r="A6" s="122" t="s">
        <v>115</v>
      </c>
      <c r="B6" s="123">
        <f t="shared" si="0"/>
        <v>366300</v>
      </c>
      <c r="C6" s="124">
        <f t="shared" ref="C6:C29" si="1">G6</f>
        <v>6.6428219647954867</v>
      </c>
      <c r="D6" s="3"/>
      <c r="F6" s="57">
        <f>Données!O5</f>
        <v>366317.88211413199</v>
      </c>
      <c r="G6" s="72">
        <f>Données!P5</f>
        <v>6.6428219647954867</v>
      </c>
      <c r="H6" s="22"/>
      <c r="I6" s="23"/>
      <c r="J6" s="23"/>
      <c r="K6" s="35"/>
    </row>
    <row r="7" spans="1:12" ht="15" hidden="1" x14ac:dyDescent="0.25">
      <c r="A7" s="114" t="s">
        <v>28</v>
      </c>
      <c r="B7" s="115">
        <f t="shared" si="0"/>
        <v>0</v>
      </c>
      <c r="C7" s="116">
        <f t="shared" si="1"/>
        <v>0</v>
      </c>
      <c r="D7" s="3"/>
      <c r="F7" s="58">
        <f>ROUND(J7/100,0)*100</f>
        <v>0</v>
      </c>
      <c r="G7" s="73">
        <f>ROUND(K7/100,0)*100</f>
        <v>0</v>
      </c>
      <c r="H7" s="22"/>
      <c r="I7" s="23"/>
      <c r="J7" s="23"/>
      <c r="K7" s="35"/>
    </row>
    <row r="8" spans="1:12" ht="15" x14ac:dyDescent="0.25">
      <c r="A8" s="114" t="s">
        <v>29</v>
      </c>
      <c r="B8" s="115">
        <f t="shared" si="0"/>
        <v>57700</v>
      </c>
      <c r="C8" s="116">
        <f t="shared" si="1"/>
        <v>7.9493810443934665</v>
      </c>
      <c r="F8" s="59">
        <f>Données!O7</f>
        <v>57740.509819253326</v>
      </c>
      <c r="G8" s="74">
        <f>Données!P7</f>
        <v>7.9493810443934665</v>
      </c>
      <c r="H8" s="22"/>
      <c r="I8" s="23"/>
      <c r="J8" s="23"/>
      <c r="K8" s="35"/>
    </row>
    <row r="9" spans="1:12" ht="15" x14ac:dyDescent="0.25">
      <c r="A9" s="114" t="s">
        <v>30</v>
      </c>
      <c r="B9" s="115">
        <f t="shared" si="0"/>
        <v>102000</v>
      </c>
      <c r="C9" s="116">
        <f t="shared" si="1"/>
        <v>1.7152133261058911</v>
      </c>
      <c r="F9" s="59">
        <f>Données!O8</f>
        <v>101972.56797594904</v>
      </c>
      <c r="G9" s="74">
        <f>Données!P8</f>
        <v>1.7152133261058911</v>
      </c>
      <c r="H9" s="22"/>
      <c r="I9" s="23"/>
      <c r="J9" s="23"/>
      <c r="K9" s="35"/>
    </row>
    <row r="10" spans="1:12" ht="15" hidden="1" x14ac:dyDescent="0.25">
      <c r="A10" s="117" t="s">
        <v>31</v>
      </c>
      <c r="B10" s="118">
        <f t="shared" si="0"/>
        <v>3500</v>
      </c>
      <c r="C10" s="119">
        <f t="shared" si="1"/>
        <v>8.1412432014423608</v>
      </c>
      <c r="F10" s="59">
        <f>Données!O9</f>
        <v>3541.2216626977488</v>
      </c>
      <c r="G10" s="74">
        <f>Données!P9</f>
        <v>8.1412432014423608</v>
      </c>
      <c r="H10" s="22"/>
      <c r="I10" s="23"/>
      <c r="J10" s="23"/>
      <c r="K10" s="35"/>
    </row>
    <row r="11" spans="1:12" ht="15" x14ac:dyDescent="0.25">
      <c r="A11" s="114" t="s">
        <v>43</v>
      </c>
      <c r="B11" s="115">
        <f t="shared" si="0"/>
        <v>151800</v>
      </c>
      <c r="C11" s="116">
        <f t="shared" si="1"/>
        <v>8.7782670278686581</v>
      </c>
      <c r="F11" s="59">
        <f>Données!O10</f>
        <v>151838.79074356207</v>
      </c>
      <c r="G11" s="74">
        <f>Données!P10</f>
        <v>8.7782670278686581</v>
      </c>
      <c r="H11" s="22"/>
      <c r="I11" s="23"/>
      <c r="J11" s="23"/>
      <c r="K11" s="35"/>
    </row>
    <row r="12" spans="1:12" ht="15" hidden="1" x14ac:dyDescent="0.25">
      <c r="A12" s="114" t="s">
        <v>32</v>
      </c>
      <c r="B12" s="115">
        <f t="shared" si="0"/>
        <v>5400</v>
      </c>
      <c r="C12" s="116">
        <f t="shared" si="1"/>
        <v>23.892902444879404</v>
      </c>
      <c r="F12" s="59">
        <f>Données!O11</f>
        <v>5438.045670459318</v>
      </c>
      <c r="G12" s="74">
        <f>Données!P11</f>
        <v>23.892902444879404</v>
      </c>
      <c r="H12" s="22"/>
      <c r="I12" s="23"/>
      <c r="J12" s="23"/>
      <c r="K12" s="35"/>
    </row>
    <row r="13" spans="1:12" ht="15" x14ac:dyDescent="0.25">
      <c r="A13" s="114" t="s">
        <v>33</v>
      </c>
      <c r="B13" s="115">
        <f t="shared" si="0"/>
        <v>33300</v>
      </c>
      <c r="C13" s="116">
        <f t="shared" si="1"/>
        <v>7.4693032461274234</v>
      </c>
      <c r="F13" s="59">
        <f>Données!O12</f>
        <v>33323.15645481227</v>
      </c>
      <c r="G13" s="74">
        <f>Données!P12</f>
        <v>7.4693032461274234</v>
      </c>
      <c r="H13" s="22"/>
      <c r="I13" s="23"/>
      <c r="J13" s="23"/>
      <c r="K13" s="35"/>
    </row>
    <row r="14" spans="1:12" ht="15" x14ac:dyDescent="0.25">
      <c r="A14" s="122" t="s">
        <v>114</v>
      </c>
      <c r="B14" s="123">
        <f t="shared" si="0"/>
        <v>285900</v>
      </c>
      <c r="C14" s="124">
        <f t="shared" si="1"/>
        <v>18.197328986427742</v>
      </c>
      <c r="F14" s="59">
        <f>Données!O13</f>
        <v>285897.71557007771</v>
      </c>
      <c r="G14" s="74">
        <f>Données!P13</f>
        <v>18.197328986427742</v>
      </c>
      <c r="H14" s="22"/>
      <c r="I14" s="23"/>
      <c r="J14" s="23"/>
      <c r="K14" s="35"/>
    </row>
    <row r="15" spans="1:12" ht="15" hidden="1" x14ac:dyDescent="0.25">
      <c r="A15" s="114" t="s">
        <v>34</v>
      </c>
      <c r="B15" s="115">
        <f t="shared" si="0"/>
        <v>0</v>
      </c>
      <c r="C15" s="116">
        <f t="shared" si="1"/>
        <v>0</v>
      </c>
      <c r="F15" s="58">
        <f>ROUND(J15/100,0)*100</f>
        <v>0</v>
      </c>
      <c r="G15" s="73">
        <f>ROUND(K15/100,0)*100</f>
        <v>0</v>
      </c>
      <c r="H15" s="22"/>
      <c r="I15" s="23"/>
      <c r="J15" s="23"/>
      <c r="K15" s="35"/>
    </row>
    <row r="16" spans="1:12" ht="15" hidden="1" x14ac:dyDescent="0.25">
      <c r="A16" s="114" t="s">
        <v>41</v>
      </c>
      <c r="B16" s="115">
        <f t="shared" si="0"/>
        <v>0</v>
      </c>
      <c r="C16" s="116">
        <f t="shared" si="1"/>
        <v>0</v>
      </c>
      <c r="F16" s="58"/>
      <c r="G16" s="73"/>
      <c r="H16" s="22"/>
      <c r="I16" s="23"/>
      <c r="J16" s="23"/>
      <c r="K16" s="35"/>
    </row>
    <row r="17" spans="1:11" ht="15" x14ac:dyDescent="0.25">
      <c r="A17" s="114" t="s">
        <v>35</v>
      </c>
      <c r="B17" s="115">
        <f t="shared" si="0"/>
        <v>34200</v>
      </c>
      <c r="C17" s="116">
        <f t="shared" si="1"/>
        <v>19.906484528400693</v>
      </c>
      <c r="F17" s="59">
        <f>Données!O16</f>
        <v>34216.392504932453</v>
      </c>
      <c r="G17" s="74">
        <f>Données!P16</f>
        <v>19.906484528400693</v>
      </c>
      <c r="H17" s="22"/>
      <c r="I17" s="23"/>
      <c r="J17" s="23"/>
      <c r="K17" s="35"/>
    </row>
    <row r="18" spans="1:11" ht="15" x14ac:dyDescent="0.25">
      <c r="A18" s="114" t="s">
        <v>10</v>
      </c>
      <c r="B18" s="115">
        <f t="shared" si="0"/>
        <v>126900</v>
      </c>
      <c r="C18" s="116">
        <f t="shared" si="1"/>
        <v>22.193438024917089</v>
      </c>
      <c r="F18" s="59">
        <f>Données!O18</f>
        <v>126907.76247328216</v>
      </c>
      <c r="G18" s="74">
        <f>Données!P18</f>
        <v>22.193438024917089</v>
      </c>
      <c r="H18" s="22"/>
      <c r="I18" s="23"/>
      <c r="J18" s="23"/>
      <c r="K18" s="35"/>
    </row>
    <row r="19" spans="1:11" ht="15" x14ac:dyDescent="0.25">
      <c r="A19" s="114" t="s">
        <v>36</v>
      </c>
      <c r="B19" s="115">
        <f t="shared" si="0"/>
        <v>109800</v>
      </c>
      <c r="C19" s="116">
        <f t="shared" si="1"/>
        <v>15.628786071416179</v>
      </c>
      <c r="F19" s="59">
        <f>Données!O17</f>
        <v>109781.21716617503</v>
      </c>
      <c r="G19" s="74">
        <f>Données!P17</f>
        <v>15.628786071416179</v>
      </c>
      <c r="H19" s="22"/>
      <c r="I19" s="23"/>
      <c r="J19" s="23"/>
      <c r="K19" s="35"/>
    </row>
    <row r="20" spans="1:11" ht="15" x14ac:dyDescent="0.25">
      <c r="A20" s="122" t="s">
        <v>116</v>
      </c>
      <c r="B20" s="123">
        <f t="shared" si="0"/>
        <v>93400</v>
      </c>
      <c r="C20" s="124">
        <f t="shared" si="1"/>
        <v>14.683577337835384</v>
      </c>
      <c r="F20" s="58">
        <f>Données!O19</f>
        <v>93425.512106561</v>
      </c>
      <c r="G20" s="73">
        <f>Données!P19</f>
        <v>14.683577337835384</v>
      </c>
      <c r="H20" s="22"/>
      <c r="I20" s="23"/>
      <c r="J20" s="23"/>
      <c r="K20" s="35"/>
    </row>
    <row r="21" spans="1:11" ht="15" x14ac:dyDescent="0.25">
      <c r="A21" s="114" t="s">
        <v>37</v>
      </c>
      <c r="B21" s="115">
        <f t="shared" si="0"/>
        <v>52700</v>
      </c>
      <c r="C21" s="116">
        <f t="shared" si="1"/>
        <v>15.112331434771754</v>
      </c>
      <c r="F21" s="59">
        <f>Données!O22</f>
        <v>52724.472333641228</v>
      </c>
      <c r="G21" s="74">
        <f>Données!P22</f>
        <v>15.112331434771754</v>
      </c>
      <c r="H21" s="22"/>
      <c r="I21" s="23"/>
      <c r="J21" s="23"/>
      <c r="K21" s="35"/>
    </row>
    <row r="22" spans="1:11" ht="15" x14ac:dyDescent="0.25">
      <c r="A22" s="114" t="s">
        <v>38</v>
      </c>
      <c r="B22" s="115">
        <f t="shared" si="0"/>
        <v>27000</v>
      </c>
      <c r="C22" s="116">
        <f t="shared" si="1"/>
        <v>15.970882169509526</v>
      </c>
      <c r="F22" s="59">
        <f>Données!O21</f>
        <v>27048.438626253672</v>
      </c>
      <c r="G22" s="74">
        <f>Données!P21</f>
        <v>15.970882169509526</v>
      </c>
      <c r="H22" s="22"/>
      <c r="I22" s="23"/>
      <c r="J22" s="23"/>
      <c r="K22" s="35"/>
    </row>
    <row r="23" spans="1:11" ht="15" x14ac:dyDescent="0.25">
      <c r="A23" s="114" t="s">
        <v>39</v>
      </c>
      <c r="B23" s="115">
        <f t="shared" si="0"/>
        <v>13700</v>
      </c>
      <c r="C23" s="116">
        <f t="shared" si="1"/>
        <v>10.658288997559161</v>
      </c>
      <c r="F23" s="59">
        <f>Données!O20</f>
        <v>13652.6011466661</v>
      </c>
      <c r="G23" s="74">
        <f>Données!P20</f>
        <v>10.658288997559161</v>
      </c>
      <c r="H23" s="22"/>
      <c r="I23" s="23"/>
      <c r="J23" s="23"/>
      <c r="K23" s="35"/>
    </row>
    <row r="24" spans="1:11" ht="17.25" customHeight="1" x14ac:dyDescent="0.2">
      <c r="A24" s="134" t="s">
        <v>117</v>
      </c>
      <c r="B24" s="135">
        <f t="shared" si="0"/>
        <v>422100</v>
      </c>
      <c r="C24" s="136">
        <f t="shared" si="1"/>
        <v>6.164492980533165</v>
      </c>
      <c r="F24" s="60">
        <f>Données!O23</f>
        <v>422118.5296951718</v>
      </c>
      <c r="G24" s="75">
        <f>Données!P23</f>
        <v>6.164492980533165</v>
      </c>
      <c r="H24" s="23"/>
      <c r="I24" s="23"/>
      <c r="J24" s="23"/>
      <c r="K24" s="35"/>
    </row>
    <row r="25" spans="1:11" hidden="1" x14ac:dyDescent="0.2">
      <c r="A25" s="114" t="s">
        <v>8</v>
      </c>
      <c r="B25" s="115">
        <f t="shared" si="0"/>
        <v>0</v>
      </c>
      <c r="C25" s="116">
        <f t="shared" si="1"/>
        <v>0</v>
      </c>
      <c r="F25" s="58">
        <f>ROUND(J25/100,0)*100</f>
        <v>0</v>
      </c>
      <c r="G25" s="73">
        <f>ROUND(K25/100,0)*100</f>
        <v>0</v>
      </c>
      <c r="H25" s="23"/>
      <c r="I25" s="23"/>
      <c r="J25" s="23"/>
      <c r="K25" s="35"/>
    </row>
    <row r="26" spans="1:11" x14ac:dyDescent="0.2">
      <c r="A26" s="114" t="s">
        <v>45</v>
      </c>
      <c r="B26" s="137">
        <f t="shared" si="0"/>
        <v>380300</v>
      </c>
      <c r="C26" s="138">
        <f t="shared" si="1"/>
        <v>5.0186143060773736</v>
      </c>
      <c r="F26" s="62">
        <f>Données!O25+Données!O26</f>
        <v>380310.77273541508</v>
      </c>
      <c r="G26" s="76">
        <f>((Données!O25+Données!O26)/(Données!N25+Données!N26)-1)*100</f>
        <v>5.0186143060773736</v>
      </c>
      <c r="H26" s="23"/>
      <c r="I26" s="23"/>
      <c r="J26" s="23"/>
      <c r="K26" s="35"/>
    </row>
    <row r="27" spans="1:11" hidden="1" x14ac:dyDescent="0.2">
      <c r="A27" s="114" t="s">
        <v>25</v>
      </c>
      <c r="B27" s="120">
        <f t="shared" si="0"/>
        <v>0</v>
      </c>
      <c r="C27" s="121">
        <f t="shared" si="1"/>
        <v>0</v>
      </c>
      <c r="F27" s="61">
        <f>ROUND(J27/100,0)*100</f>
        <v>0</v>
      </c>
      <c r="G27" s="77">
        <f>ROUND(K27/100,0)*100</f>
        <v>0</v>
      </c>
      <c r="H27" s="23"/>
      <c r="I27" s="23"/>
      <c r="J27" s="23"/>
      <c r="K27" s="35"/>
    </row>
    <row r="28" spans="1:11" ht="15.75" customHeight="1" x14ac:dyDescent="0.2">
      <c r="A28" s="122" t="s">
        <v>11</v>
      </c>
      <c r="B28" s="123">
        <f t="shared" si="0"/>
        <v>1167800</v>
      </c>
      <c r="C28" s="124">
        <f t="shared" si="1"/>
        <v>9.7051136389959769</v>
      </c>
      <c r="D28" s="32"/>
      <c r="F28" s="63">
        <f>Données!O27</f>
        <v>1167759.6394859424</v>
      </c>
      <c r="G28" s="78">
        <f>Données!P27</f>
        <v>9.7051136389959769</v>
      </c>
      <c r="H28" s="23"/>
      <c r="I28" s="23"/>
      <c r="J28" s="23"/>
      <c r="K28" s="35"/>
    </row>
    <row r="29" spans="1:11" x14ac:dyDescent="0.2">
      <c r="A29" s="122" t="s">
        <v>12</v>
      </c>
      <c r="B29" s="123">
        <f t="shared" si="0"/>
        <v>27611600</v>
      </c>
      <c r="C29" s="124">
        <f t="shared" si="1"/>
        <v>2.9158420085503511</v>
      </c>
      <c r="D29" s="30"/>
      <c r="F29" s="64">
        <v>27611600</v>
      </c>
      <c r="G29" s="79">
        <v>2.9158420085503511</v>
      </c>
      <c r="I29" s="36"/>
      <c r="J29" s="36"/>
      <c r="K29" s="35"/>
    </row>
    <row r="30" spans="1:11" ht="15" x14ac:dyDescent="0.25">
      <c r="A30" s="28" t="s">
        <v>66</v>
      </c>
      <c r="B30" s="28"/>
      <c r="C30" s="4"/>
      <c r="F30"/>
      <c r="H30" s="28"/>
      <c r="I30" s="23"/>
      <c r="J30" s="36"/>
    </row>
    <row r="31" spans="1:11" ht="15" x14ac:dyDescent="0.25">
      <c r="A31" s="4" t="s">
        <v>9</v>
      </c>
      <c r="B31" s="4"/>
      <c r="C31" s="4"/>
      <c r="F31" s="27"/>
      <c r="H31" s="28"/>
      <c r="J31" s="3"/>
    </row>
    <row r="32" spans="1:11" ht="15" x14ac:dyDescent="0.25">
      <c r="A32" s="129" t="s">
        <v>63</v>
      </c>
      <c r="B32" s="129"/>
      <c r="C32" s="129"/>
      <c r="D32" s="129"/>
      <c r="F32" s="1"/>
    </row>
    <row r="33" spans="2:6" ht="15" x14ac:dyDescent="0.25">
      <c r="F33"/>
    </row>
    <row r="34" spans="2:6" ht="15" x14ac:dyDescent="0.25">
      <c r="B34" s="3"/>
      <c r="F34"/>
    </row>
    <row r="35" spans="2:6" ht="15" x14ac:dyDescent="0.25">
      <c r="F35" s="1"/>
    </row>
  </sheetData>
  <mergeCells count="6">
    <mergeCell ref="G3:G4"/>
    <mergeCell ref="A3:A4"/>
    <mergeCell ref="F3:F4"/>
    <mergeCell ref="C3:C4"/>
    <mergeCell ref="A32:D32"/>
    <mergeCell ref="B3:B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showGridLines="0" workbookViewId="0">
      <selection activeCell="A47" sqref="A47"/>
    </sheetView>
  </sheetViews>
  <sheetFormatPr baseColWidth="10" defaultRowHeight="15" x14ac:dyDescent="0.25"/>
  <sheetData>
    <row r="1" spans="1:1" x14ac:dyDescent="0.25">
      <c r="A1" s="42" t="s">
        <v>60</v>
      </c>
    </row>
    <row r="2" spans="1:1" x14ac:dyDescent="0.25">
      <c r="A2" s="43" t="s">
        <v>55</v>
      </c>
    </row>
    <row r="26" spans="1:13" x14ac:dyDescent="0.25">
      <c r="A26" s="39" t="s">
        <v>61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</row>
    <row r="27" spans="1:13" x14ac:dyDescent="0.25">
      <c r="A27" s="41" t="s">
        <v>9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</row>
    <row r="28" spans="1:13" x14ac:dyDescent="0.25">
      <c r="A28" s="39" t="s">
        <v>62</v>
      </c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0"/>
  <sheetViews>
    <sheetView showGridLines="0" workbookViewId="0">
      <selection activeCell="A56" sqref="A56"/>
    </sheetView>
  </sheetViews>
  <sheetFormatPr baseColWidth="10" defaultColWidth="11.42578125" defaultRowHeight="14.25" x14ac:dyDescent="0.2"/>
  <cols>
    <col min="1" max="1" width="31.7109375" style="8" customWidth="1"/>
    <col min="2" max="12" width="14.28515625" style="8" bestFit="1" customWidth="1"/>
    <col min="13" max="14" width="14.42578125" style="8" bestFit="1" customWidth="1"/>
    <col min="15" max="15" width="13.85546875" style="8" customWidth="1"/>
    <col min="16" max="16" width="11.42578125" style="8"/>
    <col min="17" max="17" width="13.5703125" style="8" customWidth="1"/>
    <col min="18" max="19" width="14.42578125" style="8" bestFit="1" customWidth="1"/>
    <col min="20" max="16384" width="11.42578125" style="8"/>
  </cols>
  <sheetData>
    <row r="1" spans="1:8" x14ac:dyDescent="0.2">
      <c r="A1" s="25" t="s">
        <v>112</v>
      </c>
    </row>
    <row r="2" spans="1:8" x14ac:dyDescent="0.2">
      <c r="A2" s="20" t="s">
        <v>27</v>
      </c>
    </row>
    <row r="12" spans="1:8" ht="15" x14ac:dyDescent="0.25">
      <c r="H12" s="21"/>
    </row>
    <row r="13" spans="1:8" ht="15" x14ac:dyDescent="0.25">
      <c r="H13" s="21"/>
    </row>
    <row r="21" spans="1:22" x14ac:dyDescent="0.2">
      <c r="A21" s="81" t="s">
        <v>64</v>
      </c>
    </row>
    <row r="22" spans="1:22" x14ac:dyDescent="0.2">
      <c r="A22" s="82" t="s">
        <v>9</v>
      </c>
    </row>
    <row r="23" spans="1:22" x14ac:dyDescent="0.2">
      <c r="A23" s="130" t="s">
        <v>63</v>
      </c>
      <c r="B23" s="130"/>
      <c r="C23" s="130"/>
      <c r="D23" s="130"/>
      <c r="E23" s="130"/>
      <c r="F23" s="130"/>
    </row>
    <row r="26" spans="1:22" ht="20.25" x14ac:dyDescent="0.3">
      <c r="A26" s="12" t="s">
        <v>1</v>
      </c>
    </row>
    <row r="27" spans="1:22" ht="15" x14ac:dyDescent="0.25">
      <c r="A27" s="7"/>
    </row>
    <row r="28" spans="1:22" x14ac:dyDescent="0.2">
      <c r="A28" s="9" t="s">
        <v>40</v>
      </c>
    </row>
    <row r="29" spans="1:22" ht="15" x14ac:dyDescent="0.25">
      <c r="A29" s="13"/>
      <c r="B29" s="14">
        <v>2004</v>
      </c>
      <c r="C29" s="14">
        <v>2005</v>
      </c>
      <c r="D29" s="14">
        <v>2006</v>
      </c>
      <c r="E29" s="14">
        <v>2007</v>
      </c>
      <c r="F29" s="14">
        <v>2008</v>
      </c>
      <c r="G29" s="14">
        <v>2009</v>
      </c>
      <c r="H29" s="14">
        <v>2010</v>
      </c>
      <c r="I29" s="14">
        <v>2011</v>
      </c>
      <c r="J29" s="14">
        <v>2012</v>
      </c>
      <c r="K29" s="14">
        <v>2013</v>
      </c>
      <c r="L29" s="14">
        <v>2014</v>
      </c>
      <c r="M29" s="14">
        <v>2015</v>
      </c>
      <c r="N29" s="14">
        <v>2016</v>
      </c>
      <c r="O29" s="14">
        <v>2017</v>
      </c>
      <c r="P29" s="37">
        <v>2018</v>
      </c>
      <c r="Q29" s="14">
        <v>2019</v>
      </c>
      <c r="R29" s="37">
        <v>2020</v>
      </c>
      <c r="S29" s="84" t="s">
        <v>59</v>
      </c>
    </row>
    <row r="30" spans="1:22" x14ac:dyDescent="0.2">
      <c r="A30" s="13" t="s">
        <v>13</v>
      </c>
      <c r="B30" s="15">
        <f>Données!B48</f>
        <v>400850.64715574635</v>
      </c>
      <c r="C30" s="15">
        <f>Données!C48</f>
        <v>420487.02367170656</v>
      </c>
      <c r="D30" s="15">
        <f>Données!D48</f>
        <v>436145.95733943128</v>
      </c>
      <c r="E30" s="15">
        <f>Données!E48</f>
        <v>458631.03976829909</v>
      </c>
      <c r="F30" s="15">
        <f>Données!F48</f>
        <v>483280.90609080374</v>
      </c>
      <c r="G30" s="15">
        <f>Données!G48</f>
        <v>515192.73935596022</v>
      </c>
      <c r="H30" s="15">
        <f>Données!H48</f>
        <v>567175.46920190542</v>
      </c>
      <c r="I30" s="15">
        <f>Données!I48</f>
        <v>569919.47234095074</v>
      </c>
      <c r="J30" s="15">
        <f>Données!J48</f>
        <v>565869.46964232461</v>
      </c>
      <c r="K30" s="15">
        <f>Données!K48</f>
        <v>569773.83702068124</v>
      </c>
      <c r="L30" s="15">
        <f>Données!L48</f>
        <v>569289.33002833812</v>
      </c>
      <c r="M30" s="15">
        <f>Données!M48</f>
        <v>577332.2536753848</v>
      </c>
      <c r="N30" s="15">
        <f>Données!N48</f>
        <v>579210.50922082958</v>
      </c>
      <c r="O30" s="15">
        <f>Données!O48</f>
        <v>599789.51004521979</v>
      </c>
      <c r="P30" s="15">
        <f>Données!P48</f>
        <v>622177.10005867772</v>
      </c>
      <c r="Q30" s="15">
        <f>Données!Q48</f>
        <v>646390.6055104828</v>
      </c>
      <c r="R30" s="15">
        <f>Données!R48</f>
        <v>666845.23093003547</v>
      </c>
      <c r="S30" s="15">
        <f>Données!S48</f>
        <v>745641.10979077069</v>
      </c>
      <c r="U30" s="8">
        <f>S30/F30</f>
        <v>1.5428731000820297</v>
      </c>
    </row>
    <row r="31" spans="1:22" x14ac:dyDescent="0.2">
      <c r="A31" s="13" t="s">
        <v>2</v>
      </c>
      <c r="B31" s="16"/>
      <c r="C31" s="16"/>
      <c r="D31" s="16"/>
      <c r="E31" s="16"/>
      <c r="F31" s="15">
        <f>Données!B23</f>
        <v>373205.24976759619</v>
      </c>
      <c r="G31" s="15">
        <f>Données!C23</f>
        <v>380839.32293903746</v>
      </c>
      <c r="H31" s="15">
        <f>Données!D23</f>
        <v>378359.63621225144</v>
      </c>
      <c r="I31" s="15">
        <f>Données!E23</f>
        <v>383874.75035377854</v>
      </c>
      <c r="J31" s="15">
        <f>Données!F23</f>
        <v>392380.14575144334</v>
      </c>
      <c r="K31" s="15">
        <f>Données!G23</f>
        <v>406085.7807654629</v>
      </c>
      <c r="L31" s="15">
        <f>Données!H23</f>
        <v>407213.49406866188</v>
      </c>
      <c r="M31" s="15">
        <f>Données!I23</f>
        <v>405081.26231535338</v>
      </c>
      <c r="N31" s="15">
        <f>Données!J23</f>
        <v>412656.50039556739</v>
      </c>
      <c r="O31" s="15">
        <f>Données!K23</f>
        <v>410847.34814359585</v>
      </c>
      <c r="P31" s="15">
        <f>Données!L23</f>
        <v>414890.66199373396</v>
      </c>
      <c r="Q31" s="15">
        <f>Données!M23</f>
        <v>419041.58144669299</v>
      </c>
      <c r="R31" s="15">
        <f>Données!N23</f>
        <v>397608.01172250073</v>
      </c>
      <c r="S31" s="15">
        <f>Données!O23</f>
        <v>422118.5296951718</v>
      </c>
      <c r="U31" s="8">
        <f>S31/F31</f>
        <v>1.1310626792040976</v>
      </c>
      <c r="V31" s="8">
        <f>S31/R31</f>
        <v>1.0616449298053316</v>
      </c>
    </row>
    <row r="32" spans="1:22" x14ac:dyDescent="0.2">
      <c r="A32" s="13" t="s">
        <v>3</v>
      </c>
      <c r="B32" s="15">
        <v>24752926.204999998</v>
      </c>
      <c r="C32" s="15">
        <v>24926024.791999999</v>
      </c>
      <c r="D32" s="15">
        <v>25286523.116</v>
      </c>
      <c r="E32" s="15">
        <v>25669677.467</v>
      </c>
      <c r="F32" s="15">
        <v>25778077.107000001</v>
      </c>
      <c r="G32" s="15">
        <v>25496091.846999999</v>
      </c>
      <c r="H32" s="15">
        <v>25492017.564000003</v>
      </c>
      <c r="I32" s="15">
        <v>25617728.975000001</v>
      </c>
      <c r="J32" s="15">
        <v>25646549.195999999</v>
      </c>
      <c r="K32" s="15">
        <v>25681750.316</v>
      </c>
      <c r="L32" s="15">
        <v>25769574.327999998</v>
      </c>
      <c r="M32" s="15">
        <v>25856022.063999999</v>
      </c>
      <c r="N32" s="15">
        <v>25972690.439999998</v>
      </c>
      <c r="O32" s="15">
        <v>26259872.875</v>
      </c>
      <c r="P32" s="38">
        <v>26518425.969000001</v>
      </c>
      <c r="Q32" s="15">
        <v>26859111.48</v>
      </c>
      <c r="R32" s="15">
        <v>26829300</v>
      </c>
      <c r="S32" s="15">
        <v>27611600</v>
      </c>
      <c r="U32" s="86"/>
    </row>
    <row r="34" spans="1:19" x14ac:dyDescent="0.2">
      <c r="G34" s="10"/>
      <c r="H34" s="10"/>
      <c r="I34" s="10"/>
      <c r="J34" s="10"/>
      <c r="K34" s="10"/>
      <c r="L34" s="10"/>
      <c r="P34" s="31"/>
    </row>
    <row r="35" spans="1:19" x14ac:dyDescent="0.2">
      <c r="A35" s="9" t="s">
        <v>0</v>
      </c>
    </row>
    <row r="36" spans="1:19" ht="15" x14ac:dyDescent="0.25">
      <c r="A36" s="19"/>
      <c r="B36" s="17">
        <v>2004</v>
      </c>
      <c r="C36" s="17">
        <v>2005</v>
      </c>
      <c r="D36" s="17">
        <v>2006</v>
      </c>
      <c r="E36" s="17">
        <v>2007</v>
      </c>
      <c r="F36" s="17">
        <v>2008</v>
      </c>
      <c r="G36" s="17">
        <v>2009</v>
      </c>
      <c r="H36" s="17">
        <v>2010</v>
      </c>
      <c r="I36" s="17">
        <v>2011</v>
      </c>
      <c r="J36" s="17">
        <v>2012</v>
      </c>
      <c r="K36" s="17">
        <v>2013</v>
      </c>
      <c r="L36" s="17">
        <v>2014</v>
      </c>
      <c r="M36" s="17">
        <v>2015</v>
      </c>
      <c r="N36" s="17">
        <v>2016</v>
      </c>
      <c r="O36" s="17">
        <v>2017</v>
      </c>
      <c r="P36" s="17">
        <v>2018</v>
      </c>
      <c r="Q36" s="14">
        <v>2019</v>
      </c>
      <c r="R36" s="80">
        <v>2020</v>
      </c>
      <c r="S36" s="14">
        <v>2021</v>
      </c>
    </row>
    <row r="37" spans="1:19" x14ac:dyDescent="0.2">
      <c r="A37" s="19" t="s">
        <v>13</v>
      </c>
      <c r="B37" s="18">
        <f>B30/$F30*100</f>
        <v>82.943613559694512</v>
      </c>
      <c r="C37" s="18">
        <f t="shared" ref="C37:N38" si="0">C30/$F30*100</f>
        <v>87.006752878563177</v>
      </c>
      <c r="D37" s="18">
        <f t="shared" si="0"/>
        <v>90.246883715592887</v>
      </c>
      <c r="E37" s="18">
        <f t="shared" si="0"/>
        <v>94.899474402600717</v>
      </c>
      <c r="F37" s="18">
        <f t="shared" si="0"/>
        <v>100</v>
      </c>
      <c r="G37" s="18">
        <f t="shared" si="0"/>
        <v>106.60316450804712</v>
      </c>
      <c r="H37" s="18">
        <f t="shared" si="0"/>
        <v>117.35937879063212</v>
      </c>
      <c r="I37" s="18">
        <f t="shared" si="0"/>
        <v>117.92716516589805</v>
      </c>
      <c r="J37" s="18">
        <f t="shared" si="0"/>
        <v>117.08914267264747</v>
      </c>
      <c r="K37" s="18">
        <f t="shared" si="0"/>
        <v>117.89703045160786</v>
      </c>
      <c r="L37" s="18">
        <f t="shared" si="0"/>
        <v>117.79677675107121</v>
      </c>
      <c r="M37" s="18">
        <f t="shared" si="0"/>
        <v>119.46101043911503</v>
      </c>
      <c r="N37" s="18">
        <f t="shared" si="0"/>
        <v>119.84965719129852</v>
      </c>
      <c r="O37" s="18">
        <f t="shared" ref="O37:Q37" si="1">O30/$F30*100</f>
        <v>124.10784338591793</v>
      </c>
      <c r="P37" s="18">
        <f t="shared" si="1"/>
        <v>128.74026104018617</v>
      </c>
      <c r="Q37" s="18">
        <f t="shared" si="1"/>
        <v>133.75049528421309</v>
      </c>
      <c r="R37" s="18">
        <f t="shared" ref="R37:S37" si="2">R30/$F30*100</f>
        <v>137.98294584490409</v>
      </c>
      <c r="S37" s="18">
        <f t="shared" si="2"/>
        <v>154.28731000820298</v>
      </c>
    </row>
    <row r="38" spans="1:19" x14ac:dyDescent="0.2">
      <c r="A38" s="19" t="s">
        <v>2</v>
      </c>
      <c r="B38" s="18"/>
      <c r="C38" s="18"/>
      <c r="D38" s="18"/>
      <c r="E38" s="18"/>
      <c r="F38" s="18">
        <f t="shared" si="0"/>
        <v>100</v>
      </c>
      <c r="G38" s="18">
        <f t="shared" si="0"/>
        <v>102.04554281489749</v>
      </c>
      <c r="H38" s="18">
        <f t="shared" si="0"/>
        <v>101.38111305986853</v>
      </c>
      <c r="I38" s="18">
        <f t="shared" si="0"/>
        <v>102.85888277102922</v>
      </c>
      <c r="J38" s="18">
        <f t="shared" si="0"/>
        <v>105.1378955670607</v>
      </c>
      <c r="K38" s="18">
        <f t="shared" si="0"/>
        <v>108.810307737724</v>
      </c>
      <c r="L38" s="18">
        <f t="shared" si="0"/>
        <v>109.11247746976855</v>
      </c>
      <c r="M38" s="18">
        <f t="shared" si="0"/>
        <v>108.54114795212746</v>
      </c>
      <c r="N38" s="18">
        <f t="shared" si="0"/>
        <v>110.57092595898328</v>
      </c>
      <c r="O38" s="18">
        <f t="shared" ref="O38:Q38" si="3">O31/$F31*100</f>
        <v>110.08616529361264</v>
      </c>
      <c r="P38" s="18">
        <f t="shared" si="3"/>
        <v>111.16956748387014</v>
      </c>
      <c r="Q38" s="18">
        <f t="shared" si="3"/>
        <v>112.28180249544725</v>
      </c>
      <c r="R38" s="18">
        <f t="shared" ref="R38:S38" si="4">R31/$F31*100</f>
        <v>106.53869739777259</v>
      </c>
      <c r="S38" s="18">
        <f t="shared" si="4"/>
        <v>113.10626792040976</v>
      </c>
    </row>
    <row r="39" spans="1:19" x14ac:dyDescent="0.2">
      <c r="A39" s="19" t="s">
        <v>3</v>
      </c>
      <c r="B39" s="18">
        <f>B32/$F32*100</f>
        <v>96.023167679478988</v>
      </c>
      <c r="C39" s="18">
        <f t="shared" ref="C39:N39" si="5">C32/$F32*100</f>
        <v>96.69466302136</v>
      </c>
      <c r="D39" s="18">
        <f t="shared" si="5"/>
        <v>98.093131660054965</v>
      </c>
      <c r="E39" s="18">
        <f t="shared" si="5"/>
        <v>99.579489038107639</v>
      </c>
      <c r="F39" s="18">
        <f t="shared" si="5"/>
        <v>100</v>
      </c>
      <c r="G39" s="18">
        <f t="shared" si="5"/>
        <v>98.906104366010183</v>
      </c>
      <c r="H39" s="18">
        <f t="shared" si="5"/>
        <v>98.890299141349374</v>
      </c>
      <c r="I39" s="18">
        <f t="shared" si="5"/>
        <v>99.377967055748869</v>
      </c>
      <c r="J39" s="18">
        <f t="shared" si="5"/>
        <v>99.489768338988</v>
      </c>
      <c r="K39" s="18">
        <f t="shared" si="5"/>
        <v>99.626322822295208</v>
      </c>
      <c r="L39" s="18">
        <f t="shared" si="5"/>
        <v>99.967015464478948</v>
      </c>
      <c r="M39" s="18">
        <f t="shared" si="5"/>
        <v>100.30236916693384</v>
      </c>
      <c r="N39" s="18">
        <f t="shared" si="5"/>
        <v>100.75495674945883</v>
      </c>
      <c r="O39" s="18">
        <f t="shared" ref="O39:Q39" si="6">O32/$F32*100</f>
        <v>101.86901360407975</v>
      </c>
      <c r="P39" s="18">
        <f t="shared" si="6"/>
        <v>102.87200964962184</v>
      </c>
      <c r="Q39" s="18">
        <f t="shared" si="6"/>
        <v>104.19361913036735</v>
      </c>
      <c r="R39" s="18">
        <f t="shared" ref="R39:S39" si="7">R32/$F32*100</f>
        <v>104.07797249048704</v>
      </c>
      <c r="S39" s="18">
        <f t="shared" si="7"/>
        <v>107.11272173401214</v>
      </c>
    </row>
    <row r="40" spans="1:19" x14ac:dyDescent="0.2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</sheetData>
  <mergeCells count="1">
    <mergeCell ref="A23:F23"/>
  </mergeCells>
  <phoneticPr fontId="0" type="noConversion"/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9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64" sqref="A64"/>
    </sheetView>
  </sheetViews>
  <sheetFormatPr baseColWidth="10" defaultRowHeight="15" x14ac:dyDescent="0.25"/>
  <cols>
    <col min="1" max="1" width="33.5703125" customWidth="1"/>
    <col min="20" max="20" width="13.140625" customWidth="1"/>
  </cols>
  <sheetData>
    <row r="1" spans="1:18" x14ac:dyDescent="0.25">
      <c r="A1" t="s">
        <v>68</v>
      </c>
    </row>
    <row r="3" spans="1:18" x14ac:dyDescent="0.25">
      <c r="A3" s="44" t="s">
        <v>49</v>
      </c>
      <c r="B3" s="45">
        <v>2008</v>
      </c>
      <c r="C3" s="45">
        <v>2009</v>
      </c>
      <c r="D3" s="45">
        <v>2010</v>
      </c>
      <c r="E3" s="45">
        <v>2011</v>
      </c>
      <c r="F3" s="45">
        <v>2012</v>
      </c>
      <c r="G3" s="45">
        <v>2013</v>
      </c>
      <c r="H3" s="45">
        <v>2014</v>
      </c>
      <c r="I3" s="45">
        <v>2015</v>
      </c>
      <c r="J3" s="45">
        <v>2016</v>
      </c>
      <c r="K3" s="45">
        <v>2017</v>
      </c>
      <c r="L3" s="45">
        <v>2018</v>
      </c>
      <c r="M3" s="45">
        <v>2019</v>
      </c>
      <c r="N3" s="45">
        <v>2020</v>
      </c>
      <c r="O3" s="50" t="s">
        <v>59</v>
      </c>
      <c r="P3" s="50" t="s">
        <v>52</v>
      </c>
    </row>
    <row r="4" spans="1:18" x14ac:dyDescent="0.25">
      <c r="A4" s="51" t="s">
        <v>42</v>
      </c>
      <c r="B4" s="52">
        <f>B5+B13+B19</f>
        <v>483280.90609080379</v>
      </c>
      <c r="C4" s="52">
        <f t="shared" ref="C4:O4" si="0">C5+C13+C19</f>
        <v>515192.73935596028</v>
      </c>
      <c r="D4" s="52">
        <f t="shared" si="0"/>
        <v>567175.46920190542</v>
      </c>
      <c r="E4" s="52">
        <f t="shared" si="0"/>
        <v>569919.47234095086</v>
      </c>
      <c r="F4" s="52">
        <f t="shared" si="0"/>
        <v>565869.46964232461</v>
      </c>
      <c r="G4" s="52">
        <f t="shared" si="0"/>
        <v>569773.83702068136</v>
      </c>
      <c r="H4" s="52">
        <f t="shared" si="0"/>
        <v>569289.33002833812</v>
      </c>
      <c r="I4" s="52">
        <f t="shared" si="0"/>
        <v>577332.25367538491</v>
      </c>
      <c r="J4" s="52">
        <f t="shared" si="0"/>
        <v>579210.50922082958</v>
      </c>
      <c r="K4" s="52">
        <f t="shared" si="0"/>
        <v>599789.51004521968</v>
      </c>
      <c r="L4" s="52">
        <f t="shared" si="0"/>
        <v>622177.10005867761</v>
      </c>
      <c r="M4" s="52">
        <f t="shared" si="0"/>
        <v>646390.60551048291</v>
      </c>
      <c r="N4" s="53">
        <f t="shared" si="0"/>
        <v>666845.23093003547</v>
      </c>
      <c r="O4" s="53">
        <f t="shared" si="0"/>
        <v>745641.10979077069</v>
      </c>
      <c r="P4" s="54">
        <f>(O4/N4-1)*100</f>
        <v>11.816216898010978</v>
      </c>
    </row>
    <row r="5" spans="1:18" x14ac:dyDescent="0.25">
      <c r="A5" s="51" t="s">
        <v>50</v>
      </c>
      <c r="B5" s="52">
        <f>SUM(B6:B12)</f>
        <v>225530.77262472798</v>
      </c>
      <c r="C5" s="52">
        <f t="shared" ref="C5:O5" si="1">SUM(C6:C12)</f>
        <v>237707.1030669201</v>
      </c>
      <c r="D5" s="52">
        <f t="shared" si="1"/>
        <v>249465.62506941179</v>
      </c>
      <c r="E5" s="52">
        <f t="shared" si="1"/>
        <v>255730.37978452415</v>
      </c>
      <c r="F5" s="52">
        <f t="shared" si="1"/>
        <v>264786.19571772777</v>
      </c>
      <c r="G5" s="52">
        <f t="shared" si="1"/>
        <v>268264.86401668779</v>
      </c>
      <c r="H5" s="52">
        <f t="shared" si="1"/>
        <v>273148.99334234948</v>
      </c>
      <c r="I5" s="52">
        <f t="shared" si="1"/>
        <v>278378.31268197158</v>
      </c>
      <c r="J5" s="52">
        <f t="shared" si="1"/>
        <v>281654.95533740491</v>
      </c>
      <c r="K5" s="52">
        <f t="shared" si="1"/>
        <v>291437.89329398383</v>
      </c>
      <c r="L5" s="52">
        <f t="shared" si="1"/>
        <v>310348.27761039697</v>
      </c>
      <c r="M5" s="52">
        <f t="shared" si="1"/>
        <v>328633.26198137557</v>
      </c>
      <c r="N5" s="53">
        <f t="shared" si="1"/>
        <v>343499.80182919337</v>
      </c>
      <c r="O5" s="53">
        <f t="shared" si="1"/>
        <v>366317.88211413199</v>
      </c>
      <c r="P5" s="54">
        <f t="shared" ref="P5:P27" si="2">(O5/N5-1)*100</f>
        <v>6.6428219647954867</v>
      </c>
    </row>
    <row r="6" spans="1:18" x14ac:dyDescent="0.25">
      <c r="A6" s="46" t="s">
        <v>14</v>
      </c>
      <c r="B6" s="47">
        <v>8372.3343241243401</v>
      </c>
      <c r="C6" s="47">
        <v>7187.6466357952868</v>
      </c>
      <c r="D6" s="47">
        <v>6842.675122658864</v>
      </c>
      <c r="E6" s="47">
        <v>6361.6686479555619</v>
      </c>
      <c r="F6" s="47">
        <v>6790.779555661934</v>
      </c>
      <c r="G6" s="47">
        <v>7204.3886563272099</v>
      </c>
      <c r="H6" s="47">
        <v>7369.3422070166289</v>
      </c>
      <c r="I6" s="47">
        <v>7993.5401774642905</v>
      </c>
      <c r="J6" s="47">
        <v>7848.4926799433033</v>
      </c>
      <c r="K6" s="47">
        <v>8236.7473547341033</v>
      </c>
      <c r="L6" s="47">
        <v>9049.2129132718419</v>
      </c>
      <c r="M6" s="47">
        <v>9342.1265127894221</v>
      </c>
      <c r="N6" s="48">
        <v>11501.610367289386</v>
      </c>
      <c r="O6" s="48">
        <v>12463.589787398199</v>
      </c>
      <c r="P6" s="55">
        <f t="shared" si="2"/>
        <v>8.3638672271900703</v>
      </c>
      <c r="R6" s="85"/>
    </row>
    <row r="7" spans="1:18" x14ac:dyDescent="0.25">
      <c r="A7" s="46" t="s">
        <v>16</v>
      </c>
      <c r="B7" s="48">
        <v>59768.009866829678</v>
      </c>
      <c r="C7" s="48">
        <v>60562.00615369482</v>
      </c>
      <c r="D7" s="48">
        <v>60121.439939302029</v>
      </c>
      <c r="E7" s="48">
        <v>58061.192764447107</v>
      </c>
      <c r="F7" s="48">
        <v>55643.180804160053</v>
      </c>
      <c r="G7" s="48">
        <v>57256.336971701319</v>
      </c>
      <c r="H7" s="48">
        <v>57462.40181779876</v>
      </c>
      <c r="I7" s="48">
        <v>55284.520866394872</v>
      </c>
      <c r="J7" s="48">
        <v>53487.948620404015</v>
      </c>
      <c r="K7" s="48">
        <v>54444.275747688647</v>
      </c>
      <c r="L7" s="48">
        <v>54146.918765000752</v>
      </c>
      <c r="M7" s="48">
        <v>54721.273021925845</v>
      </c>
      <c r="N7" s="48">
        <v>53488.504760863732</v>
      </c>
      <c r="O7" s="48">
        <v>57740.509819253326</v>
      </c>
      <c r="P7" s="55">
        <f t="shared" si="2"/>
        <v>7.9493810443934665</v>
      </c>
    </row>
    <row r="8" spans="1:18" x14ac:dyDescent="0.25">
      <c r="A8" s="46" t="s">
        <v>5</v>
      </c>
      <c r="B8" s="48">
        <v>85416.659894474025</v>
      </c>
      <c r="C8" s="48">
        <v>88199.101794508984</v>
      </c>
      <c r="D8" s="48">
        <v>92250.450048182989</v>
      </c>
      <c r="E8" s="48">
        <v>95733.003833274241</v>
      </c>
      <c r="F8" s="48">
        <v>100457.28811131019</v>
      </c>
      <c r="G8" s="48">
        <v>100009.36960337487</v>
      </c>
      <c r="H8" s="48">
        <v>103170.45356024921</v>
      </c>
      <c r="I8" s="48">
        <v>103537.17504079727</v>
      </c>
      <c r="J8" s="48">
        <v>99012.09168771471</v>
      </c>
      <c r="K8" s="48">
        <v>95985.377375680881</v>
      </c>
      <c r="L8" s="48">
        <v>99297.092117121632</v>
      </c>
      <c r="M8" s="48">
        <v>101352.94120337133</v>
      </c>
      <c r="N8" s="48">
        <v>100253.0149044844</v>
      </c>
      <c r="O8" s="48">
        <v>101972.56797594904</v>
      </c>
      <c r="P8" s="55">
        <f t="shared" si="2"/>
        <v>1.7152133261058911</v>
      </c>
    </row>
    <row r="9" spans="1:18" x14ac:dyDescent="0.25">
      <c r="A9" s="46" t="s">
        <v>15</v>
      </c>
      <c r="B9" s="48">
        <v>3546.4654943381929</v>
      </c>
      <c r="C9" s="48">
        <v>3755.5608316048401</v>
      </c>
      <c r="D9" s="48">
        <v>3621.3776458227076</v>
      </c>
      <c r="E9" s="48">
        <v>4078.1305100417762</v>
      </c>
      <c r="F9" s="48">
        <v>3706.7927163272075</v>
      </c>
      <c r="G9" s="48">
        <v>3415.8457763763872</v>
      </c>
      <c r="H9" s="48">
        <v>3574.7057651655527</v>
      </c>
      <c r="I9" s="48">
        <v>3443.3397531643595</v>
      </c>
      <c r="J9" s="48">
        <v>3451.8977532139065</v>
      </c>
      <c r="K9" s="48">
        <v>3110.1535906756794</v>
      </c>
      <c r="L9" s="48">
        <v>2796.9651847328246</v>
      </c>
      <c r="M9" s="48">
        <v>3072.0630629539232</v>
      </c>
      <c r="N9" s="48">
        <v>3274.626366280314</v>
      </c>
      <c r="O9" s="48">
        <v>3541.2216626977488</v>
      </c>
      <c r="P9" s="55">
        <f t="shared" si="2"/>
        <v>8.1412432014423608</v>
      </c>
    </row>
    <row r="10" spans="1:18" x14ac:dyDescent="0.25">
      <c r="A10" s="46" t="s">
        <v>46</v>
      </c>
      <c r="B10" s="48">
        <v>38918.80382362473</v>
      </c>
      <c r="C10" s="48">
        <v>47293.837253352744</v>
      </c>
      <c r="D10" s="48">
        <v>56588.221667610553</v>
      </c>
      <c r="E10" s="48">
        <v>61945.649242385021</v>
      </c>
      <c r="F10" s="48">
        <v>67327.5561399164</v>
      </c>
      <c r="G10" s="48">
        <v>69385.417011409299</v>
      </c>
      <c r="H10" s="48">
        <v>71144.540736096737</v>
      </c>
      <c r="I10" s="48">
        <v>77475.88535364985</v>
      </c>
      <c r="J10" s="48">
        <v>86642.794534817833</v>
      </c>
      <c r="K10" s="48">
        <v>98334.315191066416</v>
      </c>
      <c r="L10" s="48">
        <v>111748.75108766624</v>
      </c>
      <c r="M10" s="48">
        <v>126341.6104416076</v>
      </c>
      <c r="N10" s="48">
        <v>139585.59452382289</v>
      </c>
      <c r="O10" s="48">
        <v>151838.79074356207</v>
      </c>
      <c r="P10" s="55">
        <f t="shared" si="2"/>
        <v>8.7782670278686581</v>
      </c>
    </row>
    <row r="11" spans="1:18" x14ac:dyDescent="0.25">
      <c r="A11" s="46" t="s">
        <v>6</v>
      </c>
      <c r="B11" s="48">
        <v>6873.3078437748936</v>
      </c>
      <c r="C11" s="48">
        <v>6613.9079086328356</v>
      </c>
      <c r="D11" s="48">
        <v>5523.0558525855786</v>
      </c>
      <c r="E11" s="48">
        <v>5061.1984501293882</v>
      </c>
      <c r="F11" s="48">
        <v>5656.2240178172069</v>
      </c>
      <c r="G11" s="48">
        <v>5228.9739864960684</v>
      </c>
      <c r="H11" s="48">
        <v>4954.7265608334455</v>
      </c>
      <c r="I11" s="48">
        <v>4666.7517617756494</v>
      </c>
      <c r="J11" s="48">
        <v>4790.4431129494842</v>
      </c>
      <c r="K11" s="48">
        <v>4865.7020386204358</v>
      </c>
      <c r="L11" s="48">
        <v>4590.6691447442508</v>
      </c>
      <c r="M11" s="48">
        <v>4233.5716883612467</v>
      </c>
      <c r="N11" s="48">
        <v>4389.311706438335</v>
      </c>
      <c r="O11" s="48">
        <v>5438.045670459318</v>
      </c>
      <c r="P11" s="55">
        <f t="shared" si="2"/>
        <v>23.892902444879404</v>
      </c>
    </row>
    <row r="12" spans="1:18" x14ac:dyDescent="0.25">
      <c r="A12" s="46" t="s">
        <v>17</v>
      </c>
      <c r="B12" s="48">
        <v>22635.191377562114</v>
      </c>
      <c r="C12" s="48">
        <v>24095.042489330568</v>
      </c>
      <c r="D12" s="48">
        <v>24518.404793249065</v>
      </c>
      <c r="E12" s="48">
        <v>24489.536336291021</v>
      </c>
      <c r="F12" s="48">
        <v>25204.374372534752</v>
      </c>
      <c r="G12" s="48">
        <v>25764.532011002619</v>
      </c>
      <c r="H12" s="48">
        <v>25472.822695189134</v>
      </c>
      <c r="I12" s="48">
        <v>25977.099728725327</v>
      </c>
      <c r="J12" s="48">
        <v>26421.286948361671</v>
      </c>
      <c r="K12" s="48">
        <v>26461.321995517646</v>
      </c>
      <c r="L12" s="48">
        <v>28718.668397859452</v>
      </c>
      <c r="M12" s="48">
        <v>29569.676050366168</v>
      </c>
      <c r="N12" s="48">
        <v>31007.139200014346</v>
      </c>
      <c r="O12" s="48">
        <v>33323.15645481227</v>
      </c>
      <c r="P12" s="55">
        <f t="shared" si="2"/>
        <v>7.4693032461274234</v>
      </c>
    </row>
    <row r="13" spans="1:18" x14ac:dyDescent="0.25">
      <c r="A13" s="51" t="s">
        <v>51</v>
      </c>
      <c r="B13" s="53">
        <f t="shared" ref="B13:O13" si="3">SUM(B14:B18)</f>
        <v>182238.40627383802</v>
      </c>
      <c r="C13" s="53">
        <f t="shared" si="3"/>
        <v>200281.24700888761</v>
      </c>
      <c r="D13" s="53">
        <f t="shared" si="3"/>
        <v>230651.5917996981</v>
      </c>
      <c r="E13" s="53">
        <f t="shared" si="3"/>
        <v>224234.14140379906</v>
      </c>
      <c r="F13" s="53">
        <f t="shared" si="3"/>
        <v>213997.49014985067</v>
      </c>
      <c r="G13" s="53">
        <f t="shared" si="3"/>
        <v>213502.42735821486</v>
      </c>
      <c r="H13" s="53">
        <f t="shared" si="3"/>
        <v>208710.08385228098</v>
      </c>
      <c r="I13" s="53">
        <f t="shared" si="3"/>
        <v>214738.71546714567</v>
      </c>
      <c r="J13" s="53">
        <f t="shared" si="3"/>
        <v>215915.44337083813</v>
      </c>
      <c r="K13" s="53">
        <f t="shared" si="3"/>
        <v>227917.76834597375</v>
      </c>
      <c r="L13" s="53">
        <f t="shared" si="3"/>
        <v>233015.47518766817</v>
      </c>
      <c r="M13" s="53">
        <f t="shared" si="3"/>
        <v>236637.34657189262</v>
      </c>
      <c r="N13" s="53">
        <f t="shared" si="3"/>
        <v>241881.70580648782</v>
      </c>
      <c r="O13" s="53">
        <f t="shared" si="3"/>
        <v>285897.71557007771</v>
      </c>
      <c r="P13" s="54">
        <f t="shared" si="2"/>
        <v>18.197328986427742</v>
      </c>
    </row>
    <row r="14" spans="1:18" x14ac:dyDescent="0.25">
      <c r="A14" s="46" t="s">
        <v>19</v>
      </c>
      <c r="B14" s="48">
        <v>3953.2821434869702</v>
      </c>
      <c r="C14" s="48">
        <v>4415.9516136885595</v>
      </c>
      <c r="D14" s="48">
        <v>4527.8663421767596</v>
      </c>
      <c r="E14" s="48">
        <v>4452.7487581449095</v>
      </c>
      <c r="F14" s="48">
        <v>4433.5071657180106</v>
      </c>
      <c r="G14" s="48">
        <v>4209.1429287111696</v>
      </c>
      <c r="H14" s="48">
        <v>3951.6526331283299</v>
      </c>
      <c r="I14" s="48">
        <v>4143.4249171030206</v>
      </c>
      <c r="J14" s="48">
        <v>4093.5377902547698</v>
      </c>
      <c r="K14" s="48">
        <v>3981.1864978701551</v>
      </c>
      <c r="L14" s="48">
        <v>4621.4311867785182</v>
      </c>
      <c r="M14" s="48">
        <v>4819.5595419399433</v>
      </c>
      <c r="N14" s="48">
        <v>3955.0358888454807</v>
      </c>
      <c r="O14" s="48">
        <v>4508.051030591464</v>
      </c>
      <c r="P14" s="55">
        <f t="shared" si="2"/>
        <v>13.982556853799233</v>
      </c>
    </row>
    <row r="15" spans="1:18" x14ac:dyDescent="0.25">
      <c r="A15" s="46" t="s">
        <v>47</v>
      </c>
      <c r="B15" s="48">
        <v>11711.000537077211</v>
      </c>
      <c r="C15" s="48">
        <v>12282.391676531386</v>
      </c>
      <c r="D15" s="48">
        <v>11317.03118396078</v>
      </c>
      <c r="E15" s="48">
        <v>10607.414461598273</v>
      </c>
      <c r="F15" s="48">
        <v>10483.673459059341</v>
      </c>
      <c r="G15" s="48">
        <v>11347.34043409048</v>
      </c>
      <c r="H15" s="48">
        <v>10049.758262889061</v>
      </c>
      <c r="I15" s="48">
        <v>10138.459783831393</v>
      </c>
      <c r="J15" s="48">
        <v>9891.1794138998048</v>
      </c>
      <c r="K15" s="48">
        <v>10641.757331641951</v>
      </c>
      <c r="L15" s="48">
        <v>11412.264705353802</v>
      </c>
      <c r="M15" s="48">
        <v>10288.054219962512</v>
      </c>
      <c r="N15" s="48">
        <v>10589.879738757172</v>
      </c>
      <c r="O15" s="48">
        <v>10484.2923950966</v>
      </c>
      <c r="P15" s="55">
        <f t="shared" si="2"/>
        <v>-0.99705894934897232</v>
      </c>
    </row>
    <row r="16" spans="1:18" x14ac:dyDescent="0.25">
      <c r="A16" s="46" t="s">
        <v>21</v>
      </c>
      <c r="B16" s="48">
        <v>24949.682831585844</v>
      </c>
      <c r="C16" s="48">
        <v>25128.76067128847</v>
      </c>
      <c r="D16" s="48">
        <v>25090.548451976058</v>
      </c>
      <c r="E16" s="48">
        <v>25749.633980176732</v>
      </c>
      <c r="F16" s="48">
        <v>26912.866556444933</v>
      </c>
      <c r="G16" s="48">
        <v>26653.236503386248</v>
      </c>
      <c r="H16" s="48">
        <v>26314.417684028536</v>
      </c>
      <c r="I16" s="48">
        <v>26108.384223876776</v>
      </c>
      <c r="J16" s="48">
        <v>26927.857351343289</v>
      </c>
      <c r="K16" s="48">
        <v>27059.083514477155</v>
      </c>
      <c r="L16" s="48">
        <v>27999.97424606638</v>
      </c>
      <c r="M16" s="48">
        <v>29582.816808783991</v>
      </c>
      <c r="N16" s="48">
        <v>28535.898320685119</v>
      </c>
      <c r="O16" s="48">
        <v>34216.392504932453</v>
      </c>
      <c r="P16" s="55">
        <f t="shared" si="2"/>
        <v>19.906484528400693</v>
      </c>
    </row>
    <row r="17" spans="1:20" x14ac:dyDescent="0.25">
      <c r="A17" s="46" t="s">
        <v>18</v>
      </c>
      <c r="B17" s="48">
        <v>56744.306320930897</v>
      </c>
      <c r="C17" s="48">
        <v>60681.21498611931</v>
      </c>
      <c r="D17" s="48">
        <v>83468.438196250921</v>
      </c>
      <c r="E17" s="48">
        <v>82021.734659780806</v>
      </c>
      <c r="F17" s="48">
        <v>69723.033783426101</v>
      </c>
      <c r="G17" s="48">
        <v>66463.756029416894</v>
      </c>
      <c r="H17" s="48">
        <v>65486.123852518424</v>
      </c>
      <c r="I17" s="48">
        <v>66177.755378000191</v>
      </c>
      <c r="J17" s="48">
        <v>66582.578747585576</v>
      </c>
      <c r="K17" s="48">
        <v>70879.508256916219</v>
      </c>
      <c r="L17" s="48">
        <v>74593.073875338814</v>
      </c>
      <c r="M17" s="48">
        <v>84962.243640556626</v>
      </c>
      <c r="N17" s="48">
        <v>94942.808703682589</v>
      </c>
      <c r="O17" s="48">
        <v>109781.21716617503</v>
      </c>
      <c r="P17" s="55">
        <f t="shared" si="2"/>
        <v>15.628786071416179</v>
      </c>
    </row>
    <row r="18" spans="1:20" x14ac:dyDescent="0.25">
      <c r="A18" s="46" t="s">
        <v>20</v>
      </c>
      <c r="B18" s="48">
        <v>84880.134440757087</v>
      </c>
      <c r="C18" s="48">
        <v>97772.928061259881</v>
      </c>
      <c r="D18" s="48">
        <v>106247.70762533358</v>
      </c>
      <c r="E18" s="48">
        <v>101402.60954409836</v>
      </c>
      <c r="F18" s="48">
        <v>102444.4091852023</v>
      </c>
      <c r="G18" s="48">
        <v>104828.95146261006</v>
      </c>
      <c r="H18" s="48">
        <v>102908.13141971665</v>
      </c>
      <c r="I18" s="48">
        <v>108170.69116433428</v>
      </c>
      <c r="J18" s="48">
        <v>108420.29006775467</v>
      </c>
      <c r="K18" s="48">
        <v>115356.23274506828</v>
      </c>
      <c r="L18" s="48">
        <v>114388.73117413065</v>
      </c>
      <c r="M18" s="48">
        <v>106984.67236064952</v>
      </c>
      <c r="N18" s="48">
        <v>103858.08315451746</v>
      </c>
      <c r="O18" s="48">
        <v>126907.76247328216</v>
      </c>
      <c r="P18" s="55">
        <f t="shared" si="2"/>
        <v>22.193438024917089</v>
      </c>
    </row>
    <row r="19" spans="1:20" x14ac:dyDescent="0.25">
      <c r="A19" s="51" t="s">
        <v>7</v>
      </c>
      <c r="B19" s="53">
        <f>SUM(B20:B22)</f>
        <v>75511.727192237813</v>
      </c>
      <c r="C19" s="53">
        <f t="shared" ref="C19:O19" si="4">SUM(C20:C22)</f>
        <v>77204.389280152536</v>
      </c>
      <c r="D19" s="53">
        <f t="shared" si="4"/>
        <v>87058.252332795586</v>
      </c>
      <c r="E19" s="53">
        <f t="shared" si="4"/>
        <v>89954.951152627618</v>
      </c>
      <c r="F19" s="53">
        <f t="shared" si="4"/>
        <v>87085.783774746174</v>
      </c>
      <c r="G19" s="53">
        <f t="shared" si="4"/>
        <v>88006.545645778708</v>
      </c>
      <c r="H19" s="53">
        <f t="shared" si="4"/>
        <v>87430.25283370768</v>
      </c>
      <c r="I19" s="53">
        <f t="shared" si="4"/>
        <v>84215.225526267604</v>
      </c>
      <c r="J19" s="53">
        <f t="shared" si="4"/>
        <v>81640.110512586558</v>
      </c>
      <c r="K19" s="53">
        <f t="shared" si="4"/>
        <v>80433.848405262048</v>
      </c>
      <c r="L19" s="53">
        <f t="shared" si="4"/>
        <v>78813.347260612558</v>
      </c>
      <c r="M19" s="53">
        <f t="shared" si="4"/>
        <v>81119.996957214666</v>
      </c>
      <c r="N19" s="53">
        <f t="shared" si="4"/>
        <v>81463.723294354277</v>
      </c>
      <c r="O19" s="53">
        <f t="shared" si="4"/>
        <v>93425.512106561</v>
      </c>
      <c r="P19" s="54">
        <f t="shared" si="2"/>
        <v>14.683577337835384</v>
      </c>
    </row>
    <row r="20" spans="1:20" x14ac:dyDescent="0.25">
      <c r="A20" s="46" t="s">
        <v>48</v>
      </c>
      <c r="B20" s="48">
        <v>10704.822140139939</v>
      </c>
      <c r="C20" s="48">
        <v>11244.030235239261</v>
      </c>
      <c r="D20" s="48">
        <v>11153.752159603711</v>
      </c>
      <c r="E20" s="48">
        <v>13305.2092795482</v>
      </c>
      <c r="F20" s="48">
        <v>13204.09839139844</v>
      </c>
      <c r="G20" s="48">
        <v>12693.630409906029</v>
      </c>
      <c r="H20" s="48">
        <v>12682.798160567771</v>
      </c>
      <c r="I20" s="48">
        <v>12467.4255376861</v>
      </c>
      <c r="J20" s="48">
        <v>10929.74702358785</v>
      </c>
      <c r="K20" s="48">
        <v>12097.102776598509</v>
      </c>
      <c r="L20" s="48">
        <v>11840.69934411161</v>
      </c>
      <c r="M20" s="48">
        <v>12536.304518383731</v>
      </c>
      <c r="N20" s="48">
        <v>12337.621763668551</v>
      </c>
      <c r="O20" s="48">
        <v>13652.6011466661</v>
      </c>
      <c r="P20" s="55">
        <f t="shared" si="2"/>
        <v>10.658288997559161</v>
      </c>
    </row>
    <row r="21" spans="1:20" x14ac:dyDescent="0.25">
      <c r="A21" s="46" t="s">
        <v>22</v>
      </c>
      <c r="B21" s="48">
        <v>20594.459464975625</v>
      </c>
      <c r="C21" s="48">
        <v>23668.429963128641</v>
      </c>
      <c r="D21" s="48">
        <v>23531.126823737675</v>
      </c>
      <c r="E21" s="48">
        <v>27369.706452950082</v>
      </c>
      <c r="F21" s="48">
        <v>27832.566819695679</v>
      </c>
      <c r="G21" s="48">
        <v>28620.501378936573</v>
      </c>
      <c r="H21" s="48">
        <v>28362.175115611899</v>
      </c>
      <c r="I21" s="48">
        <v>27204.917870129728</v>
      </c>
      <c r="J21" s="48">
        <v>25268.759068991225</v>
      </c>
      <c r="K21" s="48">
        <v>24033.038825435171</v>
      </c>
      <c r="L21" s="48">
        <v>22214.328633849022</v>
      </c>
      <c r="M21" s="48">
        <v>23382.729812681544</v>
      </c>
      <c r="N21" s="48">
        <v>23323.474065428047</v>
      </c>
      <c r="O21" s="48">
        <v>27048.438626253672</v>
      </c>
      <c r="P21" s="55">
        <f t="shared" si="2"/>
        <v>15.970882169509526</v>
      </c>
    </row>
    <row r="22" spans="1:20" x14ac:dyDescent="0.25">
      <c r="A22" s="46" t="s">
        <v>23</v>
      </c>
      <c r="B22" s="48">
        <v>44212.445587122245</v>
      </c>
      <c r="C22" s="48">
        <v>42291.929081784641</v>
      </c>
      <c r="D22" s="48">
        <v>52373.373349454196</v>
      </c>
      <c r="E22" s="48">
        <v>49280.035420129345</v>
      </c>
      <c r="F22" s="48">
        <v>46049.11856365206</v>
      </c>
      <c r="G22" s="48">
        <v>46692.413856936117</v>
      </c>
      <c r="H22" s="48">
        <v>46385.279557528011</v>
      </c>
      <c r="I22" s="48">
        <v>44542.882118451773</v>
      </c>
      <c r="J22" s="48">
        <v>45441.604420007483</v>
      </c>
      <c r="K22" s="48">
        <v>44303.706803228379</v>
      </c>
      <c r="L22" s="48">
        <v>44758.31928265193</v>
      </c>
      <c r="M22" s="48">
        <v>45200.96262614939</v>
      </c>
      <c r="N22" s="48">
        <v>45802.62746525769</v>
      </c>
      <c r="O22" s="48">
        <v>52724.472333641228</v>
      </c>
      <c r="P22" s="55">
        <f t="shared" si="2"/>
        <v>15.112331434771754</v>
      </c>
    </row>
    <row r="23" spans="1:20" x14ac:dyDescent="0.25">
      <c r="A23" s="51" t="s">
        <v>2</v>
      </c>
      <c r="B23" s="53">
        <f>SUM(B24:B26)</f>
        <v>373205.24976759619</v>
      </c>
      <c r="C23" s="53">
        <f t="shared" ref="C23:O23" si="5">SUM(C24:C26)</f>
        <v>380839.32293903746</v>
      </c>
      <c r="D23" s="53">
        <f t="shared" si="5"/>
        <v>378359.63621225144</v>
      </c>
      <c r="E23" s="53">
        <f t="shared" si="5"/>
        <v>383874.75035377854</v>
      </c>
      <c r="F23" s="53">
        <f t="shared" si="5"/>
        <v>392380.14575144334</v>
      </c>
      <c r="G23" s="53">
        <f t="shared" si="5"/>
        <v>406085.7807654629</v>
      </c>
      <c r="H23" s="53">
        <f t="shared" si="5"/>
        <v>407213.49406866188</v>
      </c>
      <c r="I23" s="53">
        <f t="shared" si="5"/>
        <v>405081.26231535338</v>
      </c>
      <c r="J23" s="53">
        <f t="shared" si="5"/>
        <v>412656.50039556739</v>
      </c>
      <c r="K23" s="53">
        <f t="shared" si="5"/>
        <v>410847.34814359585</v>
      </c>
      <c r="L23" s="53">
        <f t="shared" si="5"/>
        <v>414890.66199373396</v>
      </c>
      <c r="M23" s="53">
        <f t="shared" si="5"/>
        <v>419041.58144669299</v>
      </c>
      <c r="N23" s="53">
        <f t="shared" si="5"/>
        <v>397608.01172250073</v>
      </c>
      <c r="O23" s="53">
        <f t="shared" si="5"/>
        <v>422118.5296951718</v>
      </c>
      <c r="P23" s="54">
        <f t="shared" si="2"/>
        <v>6.164492980533165</v>
      </c>
    </row>
    <row r="24" spans="1:20" x14ac:dyDescent="0.25">
      <c r="A24" s="46" t="s">
        <v>8</v>
      </c>
      <c r="B24" s="48">
        <v>22883.708172071299</v>
      </c>
      <c r="C24" s="48">
        <v>23196.948155649901</v>
      </c>
      <c r="D24" s="48">
        <v>23721.150950761199</v>
      </c>
      <c r="E24" s="48">
        <v>23128.509728040899</v>
      </c>
      <c r="F24" s="48">
        <v>24519.223353243</v>
      </c>
      <c r="G24" s="48">
        <v>25481.947958620902</v>
      </c>
      <c r="H24" s="48">
        <v>27337.565271126201</v>
      </c>
      <c r="I24" s="48">
        <v>25445.816711854899</v>
      </c>
      <c r="J24" s="48">
        <v>27300.456581221701</v>
      </c>
      <c r="K24" s="48">
        <v>27891.255945294</v>
      </c>
      <c r="L24" s="48">
        <v>29990.191687097398</v>
      </c>
      <c r="M24" s="48">
        <v>31734.806115336702</v>
      </c>
      <c r="N24" s="48">
        <v>35471.475025304302</v>
      </c>
      <c r="O24" s="48">
        <v>41807.756959756698</v>
      </c>
      <c r="P24" s="55">
        <f t="shared" si="2"/>
        <v>17.863034818631807</v>
      </c>
    </row>
    <row r="25" spans="1:20" x14ac:dyDescent="0.25">
      <c r="A25" s="46" t="s">
        <v>26</v>
      </c>
      <c r="B25" s="48">
        <v>260459.91933859701</v>
      </c>
      <c r="C25" s="48">
        <v>265397.48293537454</v>
      </c>
      <c r="D25" s="48">
        <v>262742.81582832627</v>
      </c>
      <c r="E25" s="48">
        <v>267558.46889937948</v>
      </c>
      <c r="F25" s="48">
        <v>275071.36053472827</v>
      </c>
      <c r="G25" s="48">
        <v>285304.15595888312</v>
      </c>
      <c r="H25" s="48">
        <v>282749.89699547581</v>
      </c>
      <c r="I25" s="48">
        <v>280568.99147438933</v>
      </c>
      <c r="J25" s="48">
        <v>285811.34754255292</v>
      </c>
      <c r="K25" s="48">
        <v>284999.23154586647</v>
      </c>
      <c r="L25" s="48">
        <v>285440.29679763399</v>
      </c>
      <c r="M25" s="48">
        <v>284804.43382941792</v>
      </c>
      <c r="N25" s="48">
        <v>261110.88331502347</v>
      </c>
      <c r="O25" s="48">
        <v>275849.28662214288</v>
      </c>
      <c r="P25" s="55">
        <f t="shared" si="2"/>
        <v>5.6444998078988284</v>
      </c>
      <c r="Q25" s="91"/>
      <c r="R25" s="91"/>
    </row>
    <row r="26" spans="1:20" x14ac:dyDescent="0.25">
      <c r="A26" s="46" t="s">
        <v>25</v>
      </c>
      <c r="B26" s="48">
        <v>89861.622256927876</v>
      </c>
      <c r="C26" s="48">
        <v>92244.891848013067</v>
      </c>
      <c r="D26" s="48">
        <v>91895.66943316393</v>
      </c>
      <c r="E26" s="48">
        <v>93187.771726358143</v>
      </c>
      <c r="F26" s="48">
        <v>92789.561863472074</v>
      </c>
      <c r="G26" s="48">
        <v>95299.676847958894</v>
      </c>
      <c r="H26" s="48">
        <v>97126.031802059835</v>
      </c>
      <c r="I26" s="48">
        <v>99066.454129109145</v>
      </c>
      <c r="J26" s="48">
        <v>99544.696271792767</v>
      </c>
      <c r="K26" s="48">
        <v>97956.860652435425</v>
      </c>
      <c r="L26" s="48">
        <v>99460.173509002518</v>
      </c>
      <c r="M26" s="48">
        <v>102502.34150193834</v>
      </c>
      <c r="N26" s="48">
        <v>101025.65338217298</v>
      </c>
      <c r="O26" s="48">
        <v>104461.4861132722</v>
      </c>
      <c r="P26" s="55">
        <f t="shared" si="2"/>
        <v>3.4009507645565096</v>
      </c>
    </row>
    <row r="27" spans="1:20" x14ac:dyDescent="0.25">
      <c r="A27" s="49" t="s">
        <v>24</v>
      </c>
      <c r="B27" s="45">
        <f>B4+B23</f>
        <v>856486.15585840004</v>
      </c>
      <c r="C27" s="45">
        <f t="shared" ref="C27:O27" si="6">C4+C23</f>
        <v>896032.06229499774</v>
      </c>
      <c r="D27" s="45">
        <f t="shared" si="6"/>
        <v>945535.1054141568</v>
      </c>
      <c r="E27" s="45">
        <f t="shared" si="6"/>
        <v>953794.22269472945</v>
      </c>
      <c r="F27" s="45">
        <f t="shared" si="6"/>
        <v>958249.61539376795</v>
      </c>
      <c r="G27" s="45">
        <f t="shared" si="6"/>
        <v>975859.61778614426</v>
      </c>
      <c r="H27" s="45">
        <f t="shared" si="6"/>
        <v>976502.82409700006</v>
      </c>
      <c r="I27" s="45">
        <f t="shared" si="6"/>
        <v>982413.51599073829</v>
      </c>
      <c r="J27" s="45">
        <f t="shared" si="6"/>
        <v>991867.00961639697</v>
      </c>
      <c r="K27" s="45">
        <f t="shared" si="6"/>
        <v>1010636.8581888155</v>
      </c>
      <c r="L27" s="45">
        <f t="shared" si="6"/>
        <v>1037067.7620524116</v>
      </c>
      <c r="M27" s="45">
        <f t="shared" si="6"/>
        <v>1065432.1869571758</v>
      </c>
      <c r="N27" s="45">
        <f t="shared" si="6"/>
        <v>1064453.2426525361</v>
      </c>
      <c r="O27" s="45">
        <f t="shared" si="6"/>
        <v>1167759.6394859424</v>
      </c>
      <c r="P27" s="56">
        <f t="shared" si="2"/>
        <v>9.7051136389959769</v>
      </c>
    </row>
    <row r="30" spans="1:20" x14ac:dyDescent="0.25">
      <c r="A30" t="s">
        <v>69</v>
      </c>
    </row>
    <row r="32" spans="1:20" x14ac:dyDescent="0.25">
      <c r="A32" s="83" t="s">
        <v>49</v>
      </c>
      <c r="B32" s="65">
        <v>2004</v>
      </c>
      <c r="C32" s="65">
        <v>2005</v>
      </c>
      <c r="D32" s="65">
        <v>2006</v>
      </c>
      <c r="E32" s="65">
        <v>2007</v>
      </c>
      <c r="F32" s="65">
        <v>2008</v>
      </c>
      <c r="G32" s="65">
        <v>2009</v>
      </c>
      <c r="H32" s="65">
        <v>2010</v>
      </c>
      <c r="I32" s="65">
        <v>2011</v>
      </c>
      <c r="J32" s="65">
        <v>2012</v>
      </c>
      <c r="K32" s="65">
        <v>2013</v>
      </c>
      <c r="L32" s="65">
        <v>2014</v>
      </c>
      <c r="M32" s="65">
        <v>2015</v>
      </c>
      <c r="N32" s="65">
        <v>2016</v>
      </c>
      <c r="O32" s="65">
        <v>2017</v>
      </c>
      <c r="P32" s="65">
        <v>2018</v>
      </c>
      <c r="Q32" s="65">
        <v>2019</v>
      </c>
      <c r="R32" s="70">
        <v>2020</v>
      </c>
      <c r="S32" s="65">
        <v>2021</v>
      </c>
      <c r="T32" s="65" t="s">
        <v>65</v>
      </c>
    </row>
    <row r="33" spans="1:20" x14ac:dyDescent="0.25">
      <c r="A33" s="66" t="s">
        <v>43</v>
      </c>
      <c r="B33" s="67">
        <v>31321.424173542924</v>
      </c>
      <c r="C33" s="67">
        <v>32388.428293126213</v>
      </c>
      <c r="D33" s="67">
        <v>34411.789914980654</v>
      </c>
      <c r="E33" s="67">
        <v>35812.092257661308</v>
      </c>
      <c r="F33" s="67">
        <v>38918.80382362473</v>
      </c>
      <c r="G33" s="67">
        <v>47293.837253352744</v>
      </c>
      <c r="H33" s="67">
        <v>56588.221667610553</v>
      </c>
      <c r="I33" s="67">
        <v>61945.649242385021</v>
      </c>
      <c r="J33" s="67">
        <v>67327.5561399164</v>
      </c>
      <c r="K33" s="67">
        <v>69385.417011409299</v>
      </c>
      <c r="L33" s="67">
        <v>71144.540736096737</v>
      </c>
      <c r="M33" s="67">
        <v>77475.88535364985</v>
      </c>
      <c r="N33" s="67">
        <v>86642.794534817833</v>
      </c>
      <c r="O33" s="67">
        <v>98334.315191066416</v>
      </c>
      <c r="P33" s="67">
        <v>111748.75108766624</v>
      </c>
      <c r="Q33" s="67">
        <v>126341.6104416076</v>
      </c>
      <c r="R33" s="67">
        <v>139585.59452382289</v>
      </c>
      <c r="S33" s="67">
        <v>151838.79074356207</v>
      </c>
      <c r="T33" s="87">
        <f>S33/B33-1</f>
        <v>3.8477613885712021</v>
      </c>
    </row>
    <row r="34" spans="1:20" x14ac:dyDescent="0.25">
      <c r="A34" s="66" t="s">
        <v>10</v>
      </c>
      <c r="B34" s="67">
        <v>70573.214470210369</v>
      </c>
      <c r="C34" s="67">
        <v>74783.630159413151</v>
      </c>
      <c r="D34" s="67">
        <v>79585.214367971406</v>
      </c>
      <c r="E34" s="67">
        <v>84295.710359999008</v>
      </c>
      <c r="F34" s="67">
        <v>84880.134440757087</v>
      </c>
      <c r="G34" s="67">
        <v>97772.928061259881</v>
      </c>
      <c r="H34" s="67">
        <v>106247.70762533358</v>
      </c>
      <c r="I34" s="67">
        <v>101402.60954409836</v>
      </c>
      <c r="J34" s="67">
        <v>102444.4091852023</v>
      </c>
      <c r="K34" s="67">
        <v>104828.95146261006</v>
      </c>
      <c r="L34" s="67">
        <v>102908.13141971665</v>
      </c>
      <c r="M34" s="67">
        <v>108170.69116433428</v>
      </c>
      <c r="N34" s="67">
        <v>108420.29006775467</v>
      </c>
      <c r="O34" s="67">
        <v>115356.23274506828</v>
      </c>
      <c r="P34" s="67">
        <v>114388.73117413065</v>
      </c>
      <c r="Q34" s="67">
        <v>106984.67236064952</v>
      </c>
      <c r="R34" s="67">
        <v>103858.08315451746</v>
      </c>
      <c r="S34" s="67">
        <v>126907.76247328216</v>
      </c>
      <c r="T34" s="87">
        <f t="shared" ref="T34:T48" si="7">S34/B34-1</f>
        <v>0.79824262542059987</v>
      </c>
    </row>
    <row r="35" spans="1:20" x14ac:dyDescent="0.25">
      <c r="A35" s="66" t="s">
        <v>53</v>
      </c>
      <c r="B35" s="67">
        <v>32978.281283071781</v>
      </c>
      <c r="C35" s="67">
        <v>38618.600230812131</v>
      </c>
      <c r="D35" s="67">
        <v>43773.541124021445</v>
      </c>
      <c r="E35" s="67">
        <v>46678.947990327353</v>
      </c>
      <c r="F35" s="67">
        <v>56744.306320930897</v>
      </c>
      <c r="G35" s="67">
        <v>60681.21498611931</v>
      </c>
      <c r="H35" s="67">
        <v>83468.438196250921</v>
      </c>
      <c r="I35" s="67">
        <v>82021.734659780806</v>
      </c>
      <c r="J35" s="67">
        <v>69723.033783426101</v>
      </c>
      <c r="K35" s="67">
        <v>66463.756029416894</v>
      </c>
      <c r="L35" s="67">
        <v>65486.123852518424</v>
      </c>
      <c r="M35" s="67">
        <v>66177.755378000191</v>
      </c>
      <c r="N35" s="67">
        <v>66582.578747585576</v>
      </c>
      <c r="O35" s="67">
        <v>70879.508256916219</v>
      </c>
      <c r="P35" s="67">
        <v>74593.073875338814</v>
      </c>
      <c r="Q35" s="67">
        <v>84962.243640556626</v>
      </c>
      <c r="R35" s="67">
        <v>94942.808703682589</v>
      </c>
      <c r="S35" s="67">
        <v>109781.21716617503</v>
      </c>
      <c r="T35" s="87">
        <f t="shared" si="7"/>
        <v>2.3288944388538311</v>
      </c>
    </row>
    <row r="36" spans="1:20" x14ac:dyDescent="0.25">
      <c r="A36" s="66" t="s">
        <v>44</v>
      </c>
      <c r="B36" s="67">
        <v>73569.135727711531</v>
      </c>
      <c r="C36" s="67">
        <v>77055.172359218966</v>
      </c>
      <c r="D36" s="67">
        <v>78973.501932564337</v>
      </c>
      <c r="E36" s="67">
        <v>82321.170421640898</v>
      </c>
      <c r="F36" s="67">
        <v>85416.659894474025</v>
      </c>
      <c r="G36" s="67">
        <v>88199.101794508984</v>
      </c>
      <c r="H36" s="67">
        <v>92250.450048182989</v>
      </c>
      <c r="I36" s="67">
        <v>95733.003833274241</v>
      </c>
      <c r="J36" s="67">
        <v>100457.28811131019</v>
      </c>
      <c r="K36" s="67">
        <v>100009.36960337487</v>
      </c>
      <c r="L36" s="67">
        <v>103170.45356024921</v>
      </c>
      <c r="M36" s="67">
        <v>103537.17504079727</v>
      </c>
      <c r="N36" s="67">
        <v>99012.09168771471</v>
      </c>
      <c r="O36" s="67">
        <v>95985.377375680881</v>
      </c>
      <c r="P36" s="67">
        <v>99297.092117121632</v>
      </c>
      <c r="Q36" s="67">
        <v>101352.94120337133</v>
      </c>
      <c r="R36" s="67">
        <v>100253.0149044844</v>
      </c>
      <c r="S36" s="67">
        <v>101972.56797594904</v>
      </c>
      <c r="T36" s="87">
        <f t="shared" si="7"/>
        <v>0.38607810146583921</v>
      </c>
    </row>
    <row r="37" spans="1:20" x14ac:dyDescent="0.25">
      <c r="A37" t="s">
        <v>29</v>
      </c>
      <c r="B37" s="67">
        <v>65242.935662403528</v>
      </c>
      <c r="C37" s="67">
        <v>67599.263519919856</v>
      </c>
      <c r="D37" s="67">
        <v>66347.459718909144</v>
      </c>
      <c r="E37" s="67">
        <v>66228.292066621565</v>
      </c>
      <c r="F37" s="67">
        <v>59768.009866829678</v>
      </c>
      <c r="G37" s="67">
        <v>60562.00615369482</v>
      </c>
      <c r="H37" s="67">
        <v>60121.439939302029</v>
      </c>
      <c r="I37" s="67">
        <v>58061.192764447107</v>
      </c>
      <c r="J37" s="67">
        <v>55643.180804160053</v>
      </c>
      <c r="K37" s="67">
        <v>57256.336971701319</v>
      </c>
      <c r="L37" s="67">
        <v>57462.40181779876</v>
      </c>
      <c r="M37" s="67">
        <v>55284.520866394872</v>
      </c>
      <c r="N37" s="67">
        <v>53487.948620404015</v>
      </c>
      <c r="O37" s="67">
        <v>54444.275747688647</v>
      </c>
      <c r="P37" s="67">
        <v>54146.918765000752</v>
      </c>
      <c r="Q37" s="67">
        <v>54721.273021925845</v>
      </c>
      <c r="R37" s="67">
        <v>53488.504760863732</v>
      </c>
      <c r="S37" s="67">
        <v>57740.509819253326</v>
      </c>
      <c r="T37" s="87">
        <f t="shared" si="7"/>
        <v>-0.11499215611589197</v>
      </c>
    </row>
    <row r="38" spans="1:20" x14ac:dyDescent="0.25">
      <c r="A38" t="s">
        <v>37</v>
      </c>
      <c r="B38" s="67">
        <v>32371.867317698823</v>
      </c>
      <c r="C38" s="67">
        <v>30919.454418132136</v>
      </c>
      <c r="D38" s="67">
        <v>34947.436000894726</v>
      </c>
      <c r="E38" s="67">
        <v>42094.788278243745</v>
      </c>
      <c r="F38" s="67">
        <v>44212.445587122245</v>
      </c>
      <c r="G38" s="67">
        <v>42291.929081784641</v>
      </c>
      <c r="H38" s="67">
        <v>52373.373349454196</v>
      </c>
      <c r="I38" s="67">
        <v>49280.035420129345</v>
      </c>
      <c r="J38" s="67">
        <v>46049.11856365206</v>
      </c>
      <c r="K38" s="67">
        <v>46692.413856936117</v>
      </c>
      <c r="L38" s="67">
        <v>46385.279557528011</v>
      </c>
      <c r="M38" s="67">
        <v>44542.882118451773</v>
      </c>
      <c r="N38" s="67">
        <v>45441.604420007483</v>
      </c>
      <c r="O38" s="67">
        <v>44303.706803228379</v>
      </c>
      <c r="P38" s="67">
        <v>44758.31928265193</v>
      </c>
      <c r="Q38" s="67">
        <v>45200.96262614939</v>
      </c>
      <c r="R38" s="67">
        <v>45802.62746525769</v>
      </c>
      <c r="S38" s="67">
        <v>52724.472333641228</v>
      </c>
      <c r="T38" s="87">
        <f t="shared" si="7"/>
        <v>0.62871272812906076</v>
      </c>
    </row>
    <row r="39" spans="1:20" x14ac:dyDescent="0.25">
      <c r="A39" s="66" t="s">
        <v>35</v>
      </c>
      <c r="B39" s="67">
        <v>17505.178437534534</v>
      </c>
      <c r="C39" s="67">
        <v>17893.00553348404</v>
      </c>
      <c r="D39" s="67">
        <v>18753.904209648375</v>
      </c>
      <c r="E39" s="67">
        <v>19274.24306181644</v>
      </c>
      <c r="F39" s="67">
        <v>24949.682831585844</v>
      </c>
      <c r="G39" s="67">
        <v>25128.76067128847</v>
      </c>
      <c r="H39" s="67">
        <v>25090.548451976058</v>
      </c>
      <c r="I39" s="67">
        <v>25749.633980176732</v>
      </c>
      <c r="J39" s="67">
        <v>26912.866556444933</v>
      </c>
      <c r="K39" s="67">
        <v>26653.236503386248</v>
      </c>
      <c r="L39" s="67">
        <v>26314.417684028536</v>
      </c>
      <c r="M39" s="67">
        <v>26108.384223876776</v>
      </c>
      <c r="N39" s="67">
        <v>26927.857351343289</v>
      </c>
      <c r="O39" s="67">
        <v>27059.083514477155</v>
      </c>
      <c r="P39" s="67">
        <v>27999.97424606638</v>
      </c>
      <c r="Q39" s="67">
        <v>29582.816808783991</v>
      </c>
      <c r="R39" s="67">
        <v>28535.898320685119</v>
      </c>
      <c r="S39" s="67">
        <v>34216.392504932453</v>
      </c>
      <c r="T39" s="87">
        <f t="shared" si="7"/>
        <v>0.95464402873870746</v>
      </c>
    </row>
    <row r="40" spans="1:20" x14ac:dyDescent="0.25">
      <c r="A40" s="66" t="s">
        <v>33</v>
      </c>
      <c r="B40" s="67">
        <v>19109.922245152247</v>
      </c>
      <c r="C40" s="67">
        <v>19389.227740998977</v>
      </c>
      <c r="D40" s="67">
        <v>19622.901241008745</v>
      </c>
      <c r="E40" s="67">
        <v>20780.296831740299</v>
      </c>
      <c r="F40" s="67">
        <v>22635.191377562114</v>
      </c>
      <c r="G40" s="67">
        <v>24095.042489330568</v>
      </c>
      <c r="H40" s="67">
        <v>24518.404793249065</v>
      </c>
      <c r="I40" s="67">
        <v>24489.536336291021</v>
      </c>
      <c r="J40" s="67">
        <v>25204.374372534752</v>
      </c>
      <c r="K40" s="67">
        <v>25764.532011002619</v>
      </c>
      <c r="L40" s="67">
        <v>25472.822695189134</v>
      </c>
      <c r="M40" s="67">
        <v>25977.099728725327</v>
      </c>
      <c r="N40" s="67">
        <v>26421.286948361671</v>
      </c>
      <c r="O40" s="67">
        <v>26461.321995517646</v>
      </c>
      <c r="P40" s="67">
        <v>28718.668397859452</v>
      </c>
      <c r="Q40" s="67">
        <v>29569.676050366168</v>
      </c>
      <c r="R40" s="67">
        <v>31007.139200014346</v>
      </c>
      <c r="S40" s="67">
        <v>33323.15645481227</v>
      </c>
      <c r="T40" s="87">
        <f t="shared" si="7"/>
        <v>0.74376201155217125</v>
      </c>
    </row>
    <row r="41" spans="1:20" x14ac:dyDescent="0.25">
      <c r="A41" s="66" t="s">
        <v>38</v>
      </c>
      <c r="B41" s="67">
        <v>17399.737990954985</v>
      </c>
      <c r="C41" s="67">
        <v>20424.047040989884</v>
      </c>
      <c r="D41" s="67">
        <v>17489.127555605191</v>
      </c>
      <c r="E41" s="67">
        <v>17420.770704664566</v>
      </c>
      <c r="F41" s="67">
        <v>20594.459464975625</v>
      </c>
      <c r="G41" s="67">
        <v>23668.429963128641</v>
      </c>
      <c r="H41" s="67">
        <v>23531.126823737675</v>
      </c>
      <c r="I41" s="67">
        <v>27369.706452950082</v>
      </c>
      <c r="J41" s="67">
        <v>27832.566819695679</v>
      </c>
      <c r="K41" s="67">
        <v>28620.501378936573</v>
      </c>
      <c r="L41" s="67">
        <v>28362.175115611899</v>
      </c>
      <c r="M41" s="67">
        <v>27204.917870129728</v>
      </c>
      <c r="N41" s="67">
        <v>25268.759068991225</v>
      </c>
      <c r="O41" s="67">
        <v>24033.038825435171</v>
      </c>
      <c r="P41" s="67">
        <v>22214.328633849022</v>
      </c>
      <c r="Q41" s="67">
        <v>23382.729812681544</v>
      </c>
      <c r="R41" s="67">
        <v>23323.474065428047</v>
      </c>
      <c r="S41" s="67">
        <v>27048.438626253672</v>
      </c>
      <c r="T41" s="87">
        <f t="shared" si="7"/>
        <v>0.55453137514567352</v>
      </c>
    </row>
    <row r="42" spans="1:20" x14ac:dyDescent="0.25">
      <c r="A42" s="66" t="s">
        <v>39</v>
      </c>
      <c r="B42" s="67">
        <v>9402.9960970931697</v>
      </c>
      <c r="C42" s="67">
        <v>9250.5064423438798</v>
      </c>
      <c r="D42" s="67">
        <v>10494.47386542096</v>
      </c>
      <c r="E42" s="67">
        <v>10864.391982690111</v>
      </c>
      <c r="F42" s="67">
        <v>10704.822140139939</v>
      </c>
      <c r="G42" s="67">
        <v>11244.030235239261</v>
      </c>
      <c r="H42" s="67">
        <v>11153.752159603711</v>
      </c>
      <c r="I42" s="67">
        <v>13305.2092795482</v>
      </c>
      <c r="J42" s="67">
        <v>13204.09839139844</v>
      </c>
      <c r="K42" s="67">
        <v>12693.630409906029</v>
      </c>
      <c r="L42" s="67">
        <v>12682.798160567771</v>
      </c>
      <c r="M42" s="67">
        <v>12467.4255376861</v>
      </c>
      <c r="N42" s="67">
        <v>10929.74702358785</v>
      </c>
      <c r="O42" s="67">
        <v>12097.102776598509</v>
      </c>
      <c r="P42" s="67">
        <v>11840.69934411161</v>
      </c>
      <c r="Q42" s="67">
        <v>12536.304518383731</v>
      </c>
      <c r="R42" s="67">
        <v>12337.621763668551</v>
      </c>
      <c r="S42" s="67">
        <v>13652.6011466661</v>
      </c>
      <c r="T42" s="87">
        <f t="shared" si="7"/>
        <v>0.45194159453991989</v>
      </c>
    </row>
    <row r="43" spans="1:20" x14ac:dyDescent="0.25">
      <c r="A43" s="71" t="s">
        <v>54</v>
      </c>
      <c r="B43" s="67">
        <v>7797.5827913001876</v>
      </c>
      <c r="C43" s="67">
        <v>7534.3142420777249</v>
      </c>
      <c r="D43" s="67">
        <v>7566.1988195401564</v>
      </c>
      <c r="E43" s="67">
        <v>7629.329167228273</v>
      </c>
      <c r="F43" s="67">
        <v>8372.3343241243401</v>
      </c>
      <c r="G43" s="67">
        <v>7187.6466357952868</v>
      </c>
      <c r="H43" s="67">
        <v>6842.675122658864</v>
      </c>
      <c r="I43" s="67">
        <v>6361.6686479555619</v>
      </c>
      <c r="J43" s="67">
        <v>6790.779555661934</v>
      </c>
      <c r="K43" s="67">
        <v>7204.3886563272099</v>
      </c>
      <c r="L43" s="67">
        <v>7369.3422070166289</v>
      </c>
      <c r="M43" s="67">
        <v>7993.5401774642905</v>
      </c>
      <c r="N43" s="67">
        <v>7848.4926799433033</v>
      </c>
      <c r="O43" s="67">
        <v>8236.7473547341033</v>
      </c>
      <c r="P43" s="67">
        <v>9049.2129132718419</v>
      </c>
      <c r="Q43" s="67">
        <v>9342.1265127894221</v>
      </c>
      <c r="R43" s="67">
        <v>11501.610367289386</v>
      </c>
      <c r="S43" s="67">
        <v>12463.589787398199</v>
      </c>
      <c r="T43" s="87">
        <f t="shared" si="7"/>
        <v>0.59839146578910385</v>
      </c>
    </row>
    <row r="44" spans="1:20" x14ac:dyDescent="0.25">
      <c r="A44" s="71" t="s">
        <v>41</v>
      </c>
      <c r="B44" s="67">
        <v>12243.118019775231</v>
      </c>
      <c r="C44" s="67">
        <v>11900.68144073608</v>
      </c>
      <c r="D44" s="67">
        <v>12084.567238758773</v>
      </c>
      <c r="E44" s="67">
        <v>11982.837874200517</v>
      </c>
      <c r="F44" s="67">
        <v>11711.000537077211</v>
      </c>
      <c r="G44" s="67">
        <v>12282.391676531386</v>
      </c>
      <c r="H44" s="67">
        <v>11317.03118396078</v>
      </c>
      <c r="I44" s="67">
        <v>10607.414461598273</v>
      </c>
      <c r="J44" s="67">
        <v>10483.673459059341</v>
      </c>
      <c r="K44" s="67">
        <v>11347.34043409048</v>
      </c>
      <c r="L44" s="67">
        <v>10049.758262889061</v>
      </c>
      <c r="M44" s="67">
        <v>10138.459783831393</v>
      </c>
      <c r="N44" s="67">
        <v>9891.1794138998048</v>
      </c>
      <c r="O44" s="67">
        <v>10641.757331641951</v>
      </c>
      <c r="P44" s="67">
        <v>11412.264705353802</v>
      </c>
      <c r="Q44" s="67">
        <v>10288.054219962512</v>
      </c>
      <c r="R44" s="67">
        <v>10589.879738757172</v>
      </c>
      <c r="S44" s="67">
        <v>10484.2923950966</v>
      </c>
      <c r="T44" s="87">
        <f t="shared" si="7"/>
        <v>-0.14365830843399163</v>
      </c>
    </row>
    <row r="45" spans="1:20" x14ac:dyDescent="0.25">
      <c r="A45" s="66" t="s">
        <v>32</v>
      </c>
      <c r="B45" s="67">
        <v>3659.3728648005317</v>
      </c>
      <c r="C45" s="67">
        <v>5075.9308788935332</v>
      </c>
      <c r="D45" s="67">
        <v>4434.1258563493748</v>
      </c>
      <c r="E45" s="67">
        <v>5490.7097788674546</v>
      </c>
      <c r="F45" s="67">
        <v>6873.3078437748936</v>
      </c>
      <c r="G45" s="67">
        <v>6613.9079086328356</v>
      </c>
      <c r="H45" s="67">
        <v>5523.0558525855786</v>
      </c>
      <c r="I45" s="67">
        <v>5061.1984501293882</v>
      </c>
      <c r="J45" s="67">
        <v>5656.2240178172069</v>
      </c>
      <c r="K45" s="67">
        <v>5228.9739864960684</v>
      </c>
      <c r="L45" s="67">
        <v>4954.7265608334455</v>
      </c>
      <c r="M45" s="67">
        <v>4666.7517617756494</v>
      </c>
      <c r="N45" s="67">
        <v>4790.4431129494842</v>
      </c>
      <c r="O45" s="67">
        <v>4865.7020386204358</v>
      </c>
      <c r="P45" s="67">
        <v>4590.6691447442508</v>
      </c>
      <c r="Q45" s="67">
        <v>4233.5716883612467</v>
      </c>
      <c r="R45" s="67">
        <v>4389.311706438335</v>
      </c>
      <c r="S45" s="67">
        <v>5438.045670459318</v>
      </c>
      <c r="T45" s="87">
        <f t="shared" si="7"/>
        <v>0.486059461927977</v>
      </c>
    </row>
    <row r="46" spans="1:20" x14ac:dyDescent="0.25">
      <c r="A46" s="71" t="s">
        <v>34</v>
      </c>
      <c r="B46" s="67">
        <v>3596.45263811112</v>
      </c>
      <c r="C46" s="67">
        <v>3630.0835037479501</v>
      </c>
      <c r="D46" s="67">
        <v>3795.41123131728</v>
      </c>
      <c r="E46" s="67">
        <v>4029.7662612749</v>
      </c>
      <c r="F46" s="67">
        <v>3953.2821434869702</v>
      </c>
      <c r="G46" s="67">
        <v>4415.9516136885595</v>
      </c>
      <c r="H46" s="67">
        <v>4527.8663421767596</v>
      </c>
      <c r="I46" s="67">
        <v>4452.7487581449095</v>
      </c>
      <c r="J46" s="67">
        <v>4433.5071657180106</v>
      </c>
      <c r="K46" s="67">
        <v>4209.1429287111696</v>
      </c>
      <c r="L46" s="67">
        <v>3951.6526331283299</v>
      </c>
      <c r="M46" s="67">
        <v>4143.4249171030206</v>
      </c>
      <c r="N46" s="67">
        <v>4093.5377902547698</v>
      </c>
      <c r="O46" s="67">
        <v>3981.1864978701551</v>
      </c>
      <c r="P46" s="67">
        <v>4621.4311867785182</v>
      </c>
      <c r="Q46" s="67">
        <v>4819.5595419399433</v>
      </c>
      <c r="R46" s="67">
        <v>3955.0358888454807</v>
      </c>
      <c r="S46" s="67">
        <v>4508.051030591464</v>
      </c>
      <c r="T46" s="87">
        <f t="shared" si="7"/>
        <v>0.2534715410458237</v>
      </c>
    </row>
    <row r="47" spans="1:20" x14ac:dyDescent="0.25">
      <c r="A47" s="66" t="s">
        <v>31</v>
      </c>
      <c r="B47" s="67">
        <v>4079.4274363853792</v>
      </c>
      <c r="C47" s="67">
        <v>4024.6778678120199</v>
      </c>
      <c r="D47" s="67">
        <v>3866.3042624406339</v>
      </c>
      <c r="E47" s="67">
        <v>3727.6927313226661</v>
      </c>
      <c r="F47" s="67">
        <v>3546.4654943381929</v>
      </c>
      <c r="G47" s="67">
        <v>3755.5608316048401</v>
      </c>
      <c r="H47" s="67">
        <v>3621.3776458227076</v>
      </c>
      <c r="I47" s="67">
        <v>4078.1305100417762</v>
      </c>
      <c r="J47" s="67">
        <v>3706.7927163272075</v>
      </c>
      <c r="K47" s="67">
        <v>3415.8457763763872</v>
      </c>
      <c r="L47" s="67">
        <v>3574.7057651655527</v>
      </c>
      <c r="M47" s="67">
        <v>3443.3397531643595</v>
      </c>
      <c r="N47" s="67">
        <v>3451.8977532139065</v>
      </c>
      <c r="O47" s="67">
        <v>3110.1535906756794</v>
      </c>
      <c r="P47" s="67">
        <v>2796.9651847328246</v>
      </c>
      <c r="Q47" s="67">
        <v>3072.0630629539232</v>
      </c>
      <c r="R47" s="67">
        <v>3274.626366280314</v>
      </c>
      <c r="S47" s="67">
        <v>3541.2216626977488</v>
      </c>
      <c r="T47" s="87">
        <f t="shared" si="7"/>
        <v>-0.13193169435672414</v>
      </c>
    </row>
    <row r="48" spans="1:20" x14ac:dyDescent="0.25">
      <c r="A48" s="68" t="s">
        <v>24</v>
      </c>
      <c r="B48" s="69">
        <f>SUM(B33:B47)</f>
        <v>400850.64715574635</v>
      </c>
      <c r="C48" s="69">
        <f t="shared" ref="C48:S48" si="8">SUM(C33:C47)</f>
        <v>420487.02367170656</v>
      </c>
      <c r="D48" s="69">
        <f t="shared" si="8"/>
        <v>436145.95733943128</v>
      </c>
      <c r="E48" s="69">
        <f t="shared" si="8"/>
        <v>458631.03976829909</v>
      </c>
      <c r="F48" s="69">
        <f t="shared" si="8"/>
        <v>483280.90609080374</v>
      </c>
      <c r="G48" s="69">
        <f t="shared" si="8"/>
        <v>515192.73935596022</v>
      </c>
      <c r="H48" s="69">
        <f t="shared" si="8"/>
        <v>567175.46920190542</v>
      </c>
      <c r="I48" s="69">
        <f t="shared" si="8"/>
        <v>569919.47234095074</v>
      </c>
      <c r="J48" s="69">
        <f t="shared" si="8"/>
        <v>565869.46964232461</v>
      </c>
      <c r="K48" s="69">
        <f t="shared" si="8"/>
        <v>569773.83702068124</v>
      </c>
      <c r="L48" s="69">
        <f t="shared" si="8"/>
        <v>569289.33002833812</v>
      </c>
      <c r="M48" s="69">
        <f t="shared" si="8"/>
        <v>577332.2536753848</v>
      </c>
      <c r="N48" s="69">
        <f t="shared" si="8"/>
        <v>579210.50922082958</v>
      </c>
      <c r="O48" s="69">
        <f t="shared" si="8"/>
        <v>599789.51004521979</v>
      </c>
      <c r="P48" s="69">
        <f t="shared" si="8"/>
        <v>622177.10005867772</v>
      </c>
      <c r="Q48" s="69">
        <f t="shared" si="8"/>
        <v>646390.6055104828</v>
      </c>
      <c r="R48" s="69">
        <f t="shared" si="8"/>
        <v>666845.23093003547</v>
      </c>
      <c r="S48" s="69">
        <f t="shared" si="8"/>
        <v>745641.10979077069</v>
      </c>
      <c r="T48" s="88">
        <f t="shared" si="7"/>
        <v>0.86014695269048569</v>
      </c>
    </row>
    <row r="49" spans="1:20" x14ac:dyDescent="0.25">
      <c r="A49" s="89" t="s">
        <v>67</v>
      </c>
      <c r="B49" s="89"/>
      <c r="C49" s="90">
        <f t="shared" ref="C49:P49" si="9">C48/B48-1</f>
        <v>4.898676515877165E-2</v>
      </c>
      <c r="D49" s="90">
        <f t="shared" si="9"/>
        <v>3.7239992642318365E-2</v>
      </c>
      <c r="E49" s="90">
        <f t="shared" si="9"/>
        <v>5.1554031512824006E-2</v>
      </c>
      <c r="F49" s="90">
        <f t="shared" si="9"/>
        <v>5.3746615874402659E-2</v>
      </c>
      <c r="G49" s="90">
        <f t="shared" si="9"/>
        <v>6.6031645080471213E-2</v>
      </c>
      <c r="H49" s="90">
        <f t="shared" si="9"/>
        <v>0.10089957772100688</v>
      </c>
      <c r="I49" s="90">
        <f t="shared" si="9"/>
        <v>4.8380144911883693E-3</v>
      </c>
      <c r="J49" s="90">
        <f t="shared" si="9"/>
        <v>-7.1062718422143512E-3</v>
      </c>
      <c r="K49" s="90">
        <f t="shared" si="9"/>
        <v>6.8997667974992627E-3</v>
      </c>
      <c r="L49" s="90">
        <f t="shared" si="9"/>
        <v>-8.5034966659158773E-4</v>
      </c>
      <c r="M49" s="90">
        <f t="shared" si="9"/>
        <v>1.4128007012965238E-2</v>
      </c>
      <c r="N49" s="90">
        <f t="shared" si="9"/>
        <v>3.2533355506947359E-3</v>
      </c>
      <c r="O49" s="90">
        <f t="shared" si="9"/>
        <v>3.5529398201137097E-2</v>
      </c>
      <c r="P49" s="90">
        <f t="shared" si="9"/>
        <v>3.7325744512887615E-2</v>
      </c>
      <c r="Q49" s="90">
        <f>Q48/P48-1</f>
        <v>3.8917384534920219E-2</v>
      </c>
      <c r="R49" s="90">
        <f>R48/Q48-1</f>
        <v>3.1644372992393199E-2</v>
      </c>
      <c r="S49" s="90">
        <f>S48/R48-1</f>
        <v>0.11816216898010978</v>
      </c>
      <c r="T49" s="89"/>
    </row>
  </sheetData>
  <sortState ref="A33:S47">
    <sortCondition descending="1" ref="S33:S47"/>
  </sortState>
  <phoneticPr fontId="3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3"/>
  <sheetViews>
    <sheetView showGridLines="0" zoomScaleNormal="100" workbookViewId="0">
      <selection activeCell="A54" sqref="A54"/>
    </sheetView>
  </sheetViews>
  <sheetFormatPr baseColWidth="10" defaultColWidth="11.42578125" defaultRowHeight="14.25" x14ac:dyDescent="0.2"/>
  <cols>
    <col min="1" max="1" width="11.42578125" style="40"/>
    <col min="2" max="2" width="40.85546875" style="40" customWidth="1"/>
    <col min="3" max="3" width="11.42578125" style="40"/>
    <col min="4" max="4" width="15.7109375" style="40" customWidth="1"/>
    <col min="5" max="5" width="11.42578125" style="40"/>
    <col min="6" max="6" width="14.85546875" style="40" customWidth="1"/>
    <col min="7" max="7" width="11.42578125" style="40"/>
    <col min="8" max="8" width="18.28515625" style="40" customWidth="1"/>
    <col min="9" max="9" width="15" style="40" customWidth="1"/>
    <col min="10" max="16384" width="11.42578125" style="40"/>
  </cols>
  <sheetData>
    <row r="2" spans="2:2" ht="15" x14ac:dyDescent="0.25">
      <c r="B2" s="99" t="s">
        <v>111</v>
      </c>
    </row>
    <row r="34" spans="2:9" x14ac:dyDescent="0.2">
      <c r="B34" s="40" t="s">
        <v>110</v>
      </c>
    </row>
    <row r="35" spans="2:9" x14ac:dyDescent="0.2">
      <c r="B35" s="40" t="s">
        <v>79</v>
      </c>
    </row>
    <row r="36" spans="2:9" x14ac:dyDescent="0.2">
      <c r="B36" s="40" t="s">
        <v>78</v>
      </c>
    </row>
    <row r="40" spans="2:9" ht="15" thickBot="1" x14ac:dyDescent="0.25"/>
    <row r="41" spans="2:9" ht="60.75" thickBot="1" x14ac:dyDescent="0.25">
      <c r="B41" s="98"/>
      <c r="C41" s="97" t="s">
        <v>77</v>
      </c>
      <c r="D41" s="97" t="s">
        <v>76</v>
      </c>
      <c r="E41" s="97" t="s">
        <v>75</v>
      </c>
      <c r="F41" s="97" t="s">
        <v>74</v>
      </c>
      <c r="G41" s="97" t="s">
        <v>73</v>
      </c>
      <c r="H41" s="97" t="s">
        <v>72</v>
      </c>
      <c r="I41" s="96" t="s">
        <v>71</v>
      </c>
    </row>
    <row r="42" spans="2:9" x14ac:dyDescent="0.2">
      <c r="B42" s="95" t="s">
        <v>70</v>
      </c>
      <c r="C42" s="94">
        <v>1.6258724962262838</v>
      </c>
      <c r="D42" s="92">
        <v>2.7508707855030261</v>
      </c>
      <c r="E42" s="92">
        <v>0.66886452696841137</v>
      </c>
      <c r="F42" s="92">
        <v>0.2183780976622734</v>
      </c>
      <c r="G42" s="92">
        <v>-0.31929546917589341</v>
      </c>
      <c r="H42" s="92">
        <v>-0.10483869249544618</v>
      </c>
      <c r="I42" s="92">
        <v>0.17104321344247483</v>
      </c>
    </row>
    <row r="43" spans="2:9" x14ac:dyDescent="0.2">
      <c r="B43" s="93" t="s">
        <v>106</v>
      </c>
      <c r="C43" s="92">
        <v>0.83555230324882068</v>
      </c>
      <c r="D43" s="92">
        <v>0.46348299340789356</v>
      </c>
      <c r="E43" s="92">
        <v>-0.4010008739068559</v>
      </c>
      <c r="F43" s="92">
        <v>0.72760454403737651</v>
      </c>
      <c r="G43" s="92">
        <v>-0.28484524368201097</v>
      </c>
      <c r="H43" s="92">
        <v>-0.36800271534359108</v>
      </c>
      <c r="I43" s="92">
        <v>0.34870608497918476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9"/>
  <sheetViews>
    <sheetView showGridLines="0" workbookViewId="0">
      <pane ySplit="2" topLeftCell="A3" activePane="bottomLeft" state="frozen"/>
      <selection activeCell="B1" sqref="B1"/>
      <selection pane="bottomLeft" activeCell="A51" sqref="A51"/>
    </sheetView>
  </sheetViews>
  <sheetFormatPr baseColWidth="10" defaultRowHeight="15" x14ac:dyDescent="0.25"/>
  <cols>
    <col min="2" max="2" width="104.5703125" customWidth="1"/>
    <col min="3" max="3" width="15.42578125" customWidth="1"/>
    <col min="4" max="4" width="16.42578125" customWidth="1"/>
  </cols>
  <sheetData>
    <row r="2" spans="2:5" ht="69" customHeight="1" x14ac:dyDescent="0.25">
      <c r="B2" s="109" t="s">
        <v>105</v>
      </c>
      <c r="C2" s="108" t="s">
        <v>104</v>
      </c>
      <c r="D2" s="108" t="s">
        <v>103</v>
      </c>
      <c r="E2" s="108" t="s">
        <v>77</v>
      </c>
    </row>
    <row r="3" spans="2:5" ht="18.75" x14ac:dyDescent="0.3">
      <c r="B3" s="107" t="s">
        <v>102</v>
      </c>
      <c r="C3" s="106">
        <v>44650</v>
      </c>
      <c r="D3" s="105">
        <v>0.72699999999999998</v>
      </c>
      <c r="E3" s="104">
        <v>1.297956991965272</v>
      </c>
    </row>
    <row r="4" spans="2:5" ht="18.75" x14ac:dyDescent="0.3">
      <c r="B4" s="107" t="s">
        <v>101</v>
      </c>
      <c r="C4" s="106">
        <v>37520</v>
      </c>
      <c r="D4" s="105">
        <v>0.69499999999999995</v>
      </c>
      <c r="E4" s="104">
        <v>1.0303167357295051</v>
      </c>
    </row>
    <row r="5" spans="2:5" ht="18.75" x14ac:dyDescent="0.3">
      <c r="B5" s="107" t="s">
        <v>100</v>
      </c>
      <c r="C5" s="106">
        <v>37320</v>
      </c>
      <c r="D5" s="105">
        <v>0.73299999999999998</v>
      </c>
      <c r="E5" s="104">
        <v>1.2144533846400991</v>
      </c>
    </row>
    <row r="6" spans="2:5" ht="18.75" x14ac:dyDescent="0.3">
      <c r="B6" s="107" t="s">
        <v>99</v>
      </c>
      <c r="C6" s="106">
        <v>32130</v>
      </c>
      <c r="D6" s="105">
        <v>0.77700000000000002</v>
      </c>
      <c r="E6" s="104">
        <v>1.312975397165707</v>
      </c>
    </row>
    <row r="7" spans="2:5" ht="18.75" x14ac:dyDescent="0.3">
      <c r="B7" s="107" t="s">
        <v>98</v>
      </c>
      <c r="C7" s="106">
        <v>21830</v>
      </c>
      <c r="D7" s="105">
        <v>0.80600000000000005</v>
      </c>
      <c r="E7" s="104">
        <v>1.5823319773864231</v>
      </c>
    </row>
    <row r="8" spans="2:5" ht="18.75" x14ac:dyDescent="0.3">
      <c r="B8" s="107" t="s">
        <v>97</v>
      </c>
      <c r="C8" s="106">
        <v>19210</v>
      </c>
      <c r="D8" s="105">
        <v>0.80100000000000005</v>
      </c>
      <c r="E8" s="104">
        <v>1.6155328545314389</v>
      </c>
    </row>
    <row r="9" spans="2:5" ht="18.75" x14ac:dyDescent="0.3">
      <c r="B9" s="107" t="s">
        <v>96</v>
      </c>
      <c r="C9" s="106">
        <v>18450</v>
      </c>
      <c r="D9" s="105">
        <v>0.68799999999999994</v>
      </c>
      <c r="E9" s="104">
        <v>0.76810197249887069</v>
      </c>
    </row>
    <row r="10" spans="2:5" ht="18.75" x14ac:dyDescent="0.3">
      <c r="B10" s="107" t="s">
        <v>95</v>
      </c>
      <c r="C10" s="106">
        <v>17090</v>
      </c>
      <c r="D10" s="105">
        <v>0.80800000000000005</v>
      </c>
      <c r="E10" s="104">
        <v>1.3641320366601191</v>
      </c>
    </row>
    <row r="11" spans="2:5" ht="18.75" x14ac:dyDescent="0.3">
      <c r="B11" s="107" t="s">
        <v>94</v>
      </c>
      <c r="C11" s="106">
        <v>17040</v>
      </c>
      <c r="D11" s="105">
        <v>0.753</v>
      </c>
      <c r="E11" s="104">
        <v>1.3502191800841259</v>
      </c>
    </row>
    <row r="12" spans="2:5" ht="18.75" x14ac:dyDescent="0.3">
      <c r="B12" s="107" t="s">
        <v>93</v>
      </c>
      <c r="C12" s="106">
        <v>13360</v>
      </c>
      <c r="D12" s="105">
        <v>0.9</v>
      </c>
      <c r="E12" s="104">
        <v>2.053378037128609</v>
      </c>
    </row>
    <row r="13" spans="2:5" ht="18.75" x14ac:dyDescent="0.3">
      <c r="B13" s="107" t="s">
        <v>92</v>
      </c>
      <c r="C13" s="106">
        <v>12940</v>
      </c>
      <c r="D13" s="105">
        <v>0.748</v>
      </c>
      <c r="E13" s="104">
        <v>2.0559453699233008</v>
      </c>
    </row>
    <row r="14" spans="2:5" ht="18.75" x14ac:dyDescent="0.3">
      <c r="B14" s="107" t="s">
        <v>91</v>
      </c>
      <c r="C14" s="106">
        <v>12720</v>
      </c>
      <c r="D14" s="105">
        <v>0.68100000000000005</v>
      </c>
      <c r="E14" s="104">
        <v>1.705697690788754</v>
      </c>
    </row>
    <row r="15" spans="2:5" ht="18.75" x14ac:dyDescent="0.3">
      <c r="B15" s="107" t="s">
        <v>90</v>
      </c>
      <c r="C15" s="106">
        <v>9990</v>
      </c>
      <c r="D15" s="105">
        <v>0.69299999999999995</v>
      </c>
      <c r="E15" s="104">
        <v>3.0332958551012772</v>
      </c>
    </row>
    <row r="16" spans="2:5" ht="18.75" x14ac:dyDescent="0.3">
      <c r="B16" s="107" t="s">
        <v>89</v>
      </c>
      <c r="C16" s="106">
        <v>5020</v>
      </c>
      <c r="D16" s="105">
        <v>0.749</v>
      </c>
      <c r="E16" s="104">
        <v>2.0493210488226379</v>
      </c>
    </row>
    <row r="17" spans="2:5" ht="18.75" x14ac:dyDescent="0.3">
      <c r="B17" s="107" t="s">
        <v>88</v>
      </c>
      <c r="C17" s="106">
        <v>3720</v>
      </c>
      <c r="D17" s="105">
        <v>0.48899999999999999</v>
      </c>
      <c r="E17" s="104">
        <v>0.31159881537627943</v>
      </c>
    </row>
    <row r="18" spans="2:5" ht="18.75" x14ac:dyDescent="0.3">
      <c r="B18" s="107" t="s">
        <v>87</v>
      </c>
      <c r="C18" s="106">
        <v>3630</v>
      </c>
      <c r="D18" s="105">
        <v>0.55600000000000005</v>
      </c>
      <c r="E18" s="104">
        <v>1.5088301601414851</v>
      </c>
    </row>
    <row r="19" spans="2:5" ht="18.75" x14ac:dyDescent="0.3">
      <c r="B19" s="107" t="s">
        <v>86</v>
      </c>
      <c r="C19" s="106">
        <v>3410</v>
      </c>
      <c r="D19" s="105">
        <v>0.501</v>
      </c>
      <c r="E19" s="104">
        <v>0.41780648014274208</v>
      </c>
    </row>
    <row r="20" spans="2:5" ht="18.75" x14ac:dyDescent="0.3">
      <c r="B20" s="107" t="s">
        <v>85</v>
      </c>
      <c r="C20" s="106">
        <v>3160</v>
      </c>
      <c r="D20" s="105">
        <v>0.85799999999999998</v>
      </c>
      <c r="E20" s="104">
        <v>1.821276104263535</v>
      </c>
    </row>
    <row r="21" spans="2:5" ht="18.75" x14ac:dyDescent="0.3">
      <c r="B21" s="107" t="s">
        <v>84</v>
      </c>
      <c r="C21" s="106">
        <v>1230</v>
      </c>
      <c r="D21" s="105">
        <v>0.439</v>
      </c>
      <c r="E21" s="104">
        <v>-1.879973028174009E-2</v>
      </c>
    </row>
    <row r="22" spans="2:5" ht="18.75" x14ac:dyDescent="0.3">
      <c r="B22" s="107" t="s">
        <v>83</v>
      </c>
      <c r="C22" s="106">
        <v>1140</v>
      </c>
      <c r="D22" s="105">
        <v>0.49099999999999999</v>
      </c>
      <c r="E22" s="104">
        <v>0.25092159382685641</v>
      </c>
    </row>
    <row r="23" spans="2:5" ht="18.75" x14ac:dyDescent="0.3">
      <c r="B23" s="107" t="s">
        <v>82</v>
      </c>
      <c r="C23" s="106">
        <v>380</v>
      </c>
      <c r="D23" s="105">
        <v>0.55300000000000005</v>
      </c>
      <c r="E23" s="104">
        <v>1.0954689210369619</v>
      </c>
    </row>
    <row r="24" spans="2:5" ht="18.75" x14ac:dyDescent="0.3">
      <c r="B24" s="103" t="s">
        <v>81</v>
      </c>
      <c r="C24" s="102">
        <v>539520</v>
      </c>
      <c r="D24" s="101">
        <v>0.66500000000000004</v>
      </c>
      <c r="E24" s="100" t="s">
        <v>4</v>
      </c>
    </row>
    <row r="25" spans="2:5" ht="18.75" x14ac:dyDescent="0.3">
      <c r="B25" s="103" t="s">
        <v>80</v>
      </c>
      <c r="C25" s="102">
        <v>3046350</v>
      </c>
      <c r="D25" s="101">
        <v>0.57899999999999996</v>
      </c>
      <c r="E25" s="100" t="s">
        <v>4</v>
      </c>
    </row>
    <row r="27" spans="2:5" x14ac:dyDescent="0.25">
      <c r="B27" s="110" t="s">
        <v>107</v>
      </c>
    </row>
    <row r="28" spans="2:5" x14ac:dyDescent="0.25">
      <c r="B28" s="110" t="s">
        <v>108</v>
      </c>
    </row>
    <row r="29" spans="2:5" x14ac:dyDescent="0.25">
      <c r="B29" s="110" t="s">
        <v>109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2</vt:i4>
      </vt:variant>
    </vt:vector>
  </HeadingPairs>
  <TitlesOfParts>
    <vt:vector size="8" baseType="lpstr">
      <vt:lpstr>Tableau 1</vt:lpstr>
      <vt:lpstr>graphique 1</vt:lpstr>
      <vt:lpstr>graphique 2</vt:lpstr>
      <vt:lpstr>Données</vt:lpstr>
      <vt:lpstr>graphique 3 </vt:lpstr>
      <vt:lpstr>Tableau 2 </vt:lpstr>
      <vt:lpstr>'graphique 2'!Zone_d_impression</vt:lpstr>
      <vt:lpstr>'Tableau 1'!Zone_d_impression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Fiche 16 : économie verte - Bilan environnemental</dc:title>
  <dc:subject>Emplois et métiers de l’économie verte – Synthèse des connaissances en 2023</dc:subject>
  <dc:creator>SDES</dc:creator>
  <cp:keywords>économie verte, emploi, marché du travail, transition écologique, environnement</cp:keywords>
  <cp:lastModifiedBy>RUFFIN Vladimir</cp:lastModifiedBy>
  <cp:lastPrinted>2021-09-30T13:42:05Z</cp:lastPrinted>
  <dcterms:created xsi:type="dcterms:W3CDTF">2017-02-08T14:10:49Z</dcterms:created>
  <dcterms:modified xsi:type="dcterms:W3CDTF">2024-01-26T11:12:47Z</dcterms:modified>
</cp:coreProperties>
</file>