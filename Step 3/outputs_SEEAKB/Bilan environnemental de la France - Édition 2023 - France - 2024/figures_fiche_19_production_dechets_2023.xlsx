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WEB sdes\Articles à créer\Bilan environnemental 2023 articles\morgane_Fiche 19_Production de déchets\"/>
    </mc:Choice>
  </mc:AlternateContent>
  <xr:revisionPtr revIDLastSave="0" documentId="13_ncr:1_{B0333046-D9CE-4059-84F4-8E4A8180B676}" xr6:coauthVersionLast="47" xr6:coauthVersionMax="47" xr10:uidLastSave="{00000000-0000-0000-0000-000000000000}"/>
  <bookViews>
    <workbookView xWindow="-108" yWindow="-108" windowWidth="23256" windowHeight="12576" tabRatio="758" xr2:uid="{00000000-000D-0000-FFFF-FFFF00000000}"/>
  </bookViews>
  <sheets>
    <sheet name="Tableau 1" sheetId="11" r:id="rId1"/>
    <sheet name="Tableau 2" sheetId="13" r:id="rId2"/>
    <sheet name="Graph 1" sheetId="18" r:id="rId3"/>
    <sheet name="Graph 2" sheetId="15" r:id="rId4"/>
    <sheet name="Graph 3" sheetId="16" r:id="rId5"/>
  </sheets>
  <definedNames>
    <definedName name="_016">#REF!</definedName>
    <definedName name="_018">#REF!</definedName>
    <definedName name="estimation_2020_table1_juin2021" localSheetId="3">'Graph 2'!$A$2:$E$10</definedName>
    <definedName name="estimation_2020_table1_juin202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8" l="1"/>
  <c r="N8" i="18"/>
  <c r="M8" i="18"/>
  <c r="L8" i="18"/>
  <c r="K8" i="18"/>
  <c r="J8" i="18"/>
  <c r="O7" i="18"/>
  <c r="N7" i="18"/>
  <c r="M7" i="18"/>
  <c r="L7" i="18"/>
  <c r="J7" i="18"/>
  <c r="O6" i="18"/>
  <c r="N6" i="18"/>
  <c r="M6" i="18"/>
  <c r="L6" i="18"/>
  <c r="K6" i="18"/>
  <c r="J6" i="18"/>
  <c r="O5" i="18"/>
  <c r="N5" i="18"/>
  <c r="M5" i="18"/>
  <c r="L5" i="18"/>
  <c r="K5" i="18"/>
  <c r="J5" i="18"/>
  <c r="M10" i="16"/>
  <c r="N10" i="16"/>
  <c r="O10" i="16"/>
  <c r="P10" i="16"/>
  <c r="Q10" i="16"/>
  <c r="R10" i="16"/>
  <c r="S10" i="16"/>
  <c r="T10" i="16"/>
  <c r="U10" i="16"/>
  <c r="V10" i="16"/>
  <c r="W10" i="16"/>
  <c r="C10" i="16"/>
  <c r="D10" i="16"/>
  <c r="E10" i="16"/>
  <c r="F10" i="16"/>
  <c r="G10" i="16"/>
  <c r="H10" i="16"/>
  <c r="I10" i="16"/>
  <c r="J10" i="16"/>
  <c r="K10" i="16"/>
  <c r="L10" i="16"/>
  <c r="X8" i="16" l="1"/>
  <c r="B10" i="16"/>
  <c r="X7" i="16" l="1"/>
  <c r="X6" i="16"/>
  <c r="N4" i="15" l="1"/>
  <c r="M4" i="15"/>
  <c r="L4" i="15"/>
  <c r="K4" i="15"/>
  <c r="J4" i="15"/>
  <c r="I4" i="15"/>
  <c r="N10" i="15"/>
  <c r="M10" i="15"/>
  <c r="L10" i="15"/>
  <c r="K10" i="15"/>
  <c r="J10" i="15"/>
  <c r="N9" i="15"/>
  <c r="M9" i="15"/>
  <c r="L9" i="15"/>
  <c r="K9" i="15"/>
  <c r="J9" i="15"/>
  <c r="N8" i="15"/>
  <c r="M8" i="15"/>
  <c r="L8" i="15"/>
  <c r="K8" i="15"/>
  <c r="J8" i="15"/>
  <c r="N7" i="15"/>
  <c r="M7" i="15"/>
  <c r="L7" i="15"/>
  <c r="K7" i="15"/>
  <c r="J7" i="15"/>
  <c r="N6" i="15"/>
  <c r="M6" i="15"/>
  <c r="L6" i="15"/>
  <c r="K6" i="15"/>
  <c r="J6" i="15"/>
  <c r="N5" i="15"/>
  <c r="M5" i="15"/>
  <c r="L5" i="15"/>
  <c r="K5" i="15"/>
  <c r="J5" i="15"/>
  <c r="I10" i="15"/>
  <c r="I9" i="15"/>
  <c r="I8" i="15"/>
  <c r="I7" i="15"/>
  <c r="I6" i="15"/>
  <c r="I5" i="15"/>
  <c r="G4" i="15" l="1"/>
  <c r="F4" i="15"/>
  <c r="E4" i="15" l="1"/>
  <c r="D4" i="15"/>
  <c r="C4" i="15"/>
  <c r="B4" i="15"/>
  <c r="G7" i="18" l="1"/>
  <c r="G6" i="18"/>
  <c r="G5" i="18"/>
  <c r="C8" i="18"/>
  <c r="F8" i="18"/>
  <c r="E8" i="18"/>
  <c r="D8" i="18"/>
  <c r="B8" i="18"/>
  <c r="G8" i="18" l="1"/>
</calcChain>
</file>

<file path=xl/sharedStrings.xml><?xml version="1.0" encoding="utf-8"?>
<sst xmlns="http://schemas.openxmlformats.org/spreadsheetml/2006/main" count="242" uniqueCount="63">
  <si>
    <t>Bulgarie</t>
  </si>
  <si>
    <t>France</t>
  </si>
  <si>
    <t>Italie</t>
  </si>
  <si>
    <t>Pays-Bas</t>
  </si>
  <si>
    <t>Pologne</t>
  </si>
  <si>
    <t>Roumanie</t>
  </si>
  <si>
    <t>Finlande</t>
  </si>
  <si>
    <t>Suède</t>
  </si>
  <si>
    <t>dont dangereux (milliers de tonnes)</t>
  </si>
  <si>
    <t>hors déchets minéraux principaux (tonnes/habitant)</t>
  </si>
  <si>
    <t>Allemagne</t>
  </si>
  <si>
    <t>Production totale (milliers de tonnes)</t>
  </si>
  <si>
    <t>Stockage</t>
  </si>
  <si>
    <t>Total hors déchets secondaires</t>
  </si>
  <si>
    <t>Total</t>
  </si>
  <si>
    <t>Déchets dangereux</t>
  </si>
  <si>
    <t>Déchets non minéraux non dangereux</t>
  </si>
  <si>
    <t>Déchets minéraux non dangereux</t>
  </si>
  <si>
    <t xml:space="preserve">Ensemble
</t>
  </si>
  <si>
    <t>Ménages</t>
  </si>
  <si>
    <t>Tertiaire</t>
  </si>
  <si>
    <t>Traitement déchets eau
assainissement dépollution</t>
  </si>
  <si>
    <t>Construction</t>
  </si>
  <si>
    <t xml:space="preserve">Industrie
</t>
  </si>
  <si>
    <t>Agriculture pêche</t>
  </si>
  <si>
    <t>Secteurs</t>
  </si>
  <si>
    <t xml:space="preserve">Total
</t>
  </si>
  <si>
    <t>Recyclage</t>
  </si>
  <si>
    <t>Compostage, méthanisation</t>
  </si>
  <si>
    <t>Incinération avec récupération d'énergie</t>
  </si>
  <si>
    <t>Incinération sans récupération d'énergie</t>
  </si>
  <si>
    <t>En milliards d'euros</t>
  </si>
  <si>
    <t>2012</t>
  </si>
  <si>
    <t>Administrations publiques</t>
  </si>
  <si>
    <t>Entreprises</t>
  </si>
  <si>
    <t>total</t>
  </si>
  <si>
    <t>Champ : France.</t>
  </si>
  <si>
    <t>En milliards d'euros courants</t>
  </si>
  <si>
    <t>Déchets minéraux</t>
  </si>
  <si>
    <t>En millions de tonnes</t>
  </si>
  <si>
    <t xml:space="preserve">Graphique 3 : évolution du financement de la dépense de gestion des déchets </t>
  </si>
  <si>
    <t>Total (tonnes/habitant)</t>
  </si>
  <si>
    <t>Catégorie de déchets</t>
  </si>
  <si>
    <t>Tableau 1 : les 10 principaux pays européens producteurs de déchets, en 2020</t>
  </si>
  <si>
    <t>Union européenne à 27</t>
  </si>
  <si>
    <t>Espagne</t>
  </si>
  <si>
    <t>Tableau 2 : production de déchets en France, en 2020</t>
  </si>
  <si>
    <t>Remblayage</t>
  </si>
  <si>
    <t>Stockage et épandage</t>
  </si>
  <si>
    <t xml:space="preserve"> </t>
  </si>
  <si>
    <t>Tous déchets</t>
  </si>
  <si>
    <t>Source : Eurostat, mai 2023</t>
  </si>
  <si>
    <r>
      <t>Source</t>
    </r>
    <r>
      <rPr>
        <i/>
        <sz val="8"/>
        <rFont val="Arial"/>
        <family val="2"/>
      </rPr>
      <t xml:space="preserve"> : SDES, 2023</t>
    </r>
  </si>
  <si>
    <t>Traitement des déchets en France en  2020</t>
  </si>
  <si>
    <r>
      <t>Source</t>
    </r>
    <r>
      <rPr>
        <i/>
        <sz val="10"/>
        <rFont val="Arial"/>
        <family val="2"/>
      </rPr>
      <t xml:space="preserve"> : SDES, 2023</t>
    </r>
  </si>
  <si>
    <t>Préparation à la réutilisation</t>
  </si>
  <si>
    <t>Déchets générés</t>
  </si>
  <si>
    <t>Déchets traités</t>
  </si>
  <si>
    <t>Graphique 2 : traitement des déchets municipaux</t>
  </si>
  <si>
    <r>
      <rPr>
        <b/>
        <i/>
        <sz val="10"/>
        <color theme="1"/>
        <rFont val="Calibri"/>
        <family val="2"/>
        <scheme val="minor"/>
      </rPr>
      <t xml:space="preserve">Source </t>
    </r>
    <r>
      <rPr>
        <i/>
        <sz val="10"/>
        <color theme="1"/>
        <rFont val="Calibri"/>
        <family val="2"/>
        <scheme val="minor"/>
      </rPr>
      <t>: Ademe, enquêtes collecte et traitement, filières REP. Traitements : SDES, 2023</t>
    </r>
  </si>
  <si>
    <t>Tonnes</t>
  </si>
  <si>
    <t>Europe</t>
  </si>
  <si>
    <r>
      <rPr>
        <b/>
        <i/>
        <sz val="11"/>
        <color indexed="8"/>
        <rFont val="Arial"/>
        <family val="2"/>
      </rPr>
      <t>Source</t>
    </r>
    <r>
      <rPr>
        <i/>
        <sz val="11"/>
        <color indexed="8"/>
        <rFont val="Arial"/>
        <family val="2"/>
      </rPr>
      <t xml:space="preserve"> : SDES, compte satellite,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</si>
</sst>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_-* #,##0_-;\-* #,##0_-;_-* &quot;-&quot;??_-;_-@_-"/>
    <numFmt numFmtId="167" formatCode="#,##0_ ;\-#,##0\ "/>
  </numFmts>
  <fonts count="38" x14ac:knownFonts="1">
    <font>
      <sz val="11"/>
      <name val="Arial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sz val="10"/>
      <color theme="1"/>
      <name val="Times New Roman"/>
      <family val="1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i/>
      <sz val="11"/>
      <color indexed="8"/>
      <name val="Arial"/>
      <family val="2"/>
    </font>
    <font>
      <b/>
      <i/>
      <sz val="11"/>
      <color indexed="8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7"/>
      <name val="Arial"/>
      <family val="2"/>
    </font>
    <font>
      <sz val="11"/>
      <name val="Calibri"/>
      <family val="2"/>
      <scheme val="minor"/>
    </font>
    <font>
      <b/>
      <sz val="12"/>
      <color rgb="FFFF0000"/>
      <name val="Arial"/>
      <family val="2"/>
      <charset val="1"/>
    </font>
    <font>
      <i/>
      <sz val="11"/>
      <color rgb="FF808080"/>
      <name val="Calibri"/>
      <family val="2"/>
      <charset val="1"/>
    </font>
    <font>
      <b/>
      <i/>
      <sz val="10"/>
      <color theme="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i/>
      <sz val="9"/>
      <name val="Arial"/>
      <family val="2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D5F87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</borders>
  <cellStyleXfs count="9">
    <xf numFmtId="0" fontId="0" fillId="0" borderId="0"/>
    <xf numFmtId="0" fontId="4" fillId="0" borderId="0"/>
    <xf numFmtId="0" fontId="5" fillId="0" borderId="0"/>
    <xf numFmtId="0" fontId="3" fillId="0" borderId="0"/>
    <xf numFmtId="43" fontId="26" fillId="0" borderId="0" applyFont="0" applyFill="0" applyBorder="0" applyAlignment="0" applyProtection="0"/>
    <xf numFmtId="0" fontId="2" fillId="0" borderId="0"/>
    <xf numFmtId="9" fontId="26" fillId="0" borderId="0" applyFont="0" applyFill="0" applyBorder="0" applyAlignment="0" applyProtection="0"/>
    <xf numFmtId="0" fontId="30" fillId="0" borderId="10">
      <alignment horizontal="center"/>
      <protection hidden="1"/>
    </xf>
    <xf numFmtId="0" fontId="31" fillId="0" borderId="0" applyBorder="0" applyProtection="0"/>
  </cellStyleXfs>
  <cellXfs count="94">
    <xf numFmtId="0" fontId="0" fillId="0" borderId="0" xfId="0"/>
    <xf numFmtId="3" fontId="0" fillId="0" borderId="0" xfId="0" applyNumberFormat="1"/>
    <xf numFmtId="3" fontId="5" fillId="0" borderId="1" xfId="0" applyNumberFormat="1" applyFont="1" applyFill="1" applyBorder="1" applyAlignment="1">
      <alignment horizontal="right" indent="2"/>
    </xf>
    <xf numFmtId="3" fontId="7" fillId="0" borderId="1" xfId="0" applyNumberFormat="1" applyFont="1" applyFill="1" applyBorder="1" applyAlignment="1">
      <alignment horizontal="right" indent="2"/>
    </xf>
    <xf numFmtId="0" fontId="5" fillId="2" borderId="1" xfId="0" applyNumberFormat="1" applyFont="1" applyFill="1" applyBorder="1" applyAlignment="1"/>
    <xf numFmtId="0" fontId="7" fillId="2" borderId="1" xfId="0" applyNumberFormat="1" applyFont="1" applyFill="1" applyBorder="1" applyAlignment="1"/>
    <xf numFmtId="0" fontId="7" fillId="0" borderId="0" xfId="0" applyNumberFormat="1" applyFont="1" applyFill="1" applyBorder="1" applyAlignment="1"/>
    <xf numFmtId="0" fontId="4" fillId="0" borderId="0" xfId="1"/>
    <xf numFmtId="3" fontId="4" fillId="0" borderId="0" xfId="1" applyNumberFormat="1"/>
    <xf numFmtId="0" fontId="11" fillId="0" borderId="0" xfId="1" applyFont="1" applyFill="1" applyBorder="1" applyAlignment="1">
      <alignment horizontal="left" vertical="top" wrapText="1"/>
    </xf>
    <xf numFmtId="0" fontId="7" fillId="0" borderId="0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15" fillId="0" borderId="0" xfId="1" applyFont="1" applyFill="1" applyBorder="1" applyAlignment="1">
      <alignment horizontal="left" vertical="top" wrapText="1"/>
    </xf>
    <xf numFmtId="0" fontId="3" fillId="0" borderId="0" xfId="3"/>
    <xf numFmtId="0" fontId="16" fillId="3" borderId="9" xfId="2" applyFont="1" applyFill="1" applyBorder="1" applyAlignment="1" applyProtection="1">
      <alignment horizontal="left" vertical="top" indent="2"/>
    </xf>
    <xf numFmtId="0" fontId="17" fillId="0" borderId="0" xfId="3" applyFont="1"/>
    <xf numFmtId="0" fontId="8" fillId="0" borderId="0" xfId="3" applyFont="1"/>
    <xf numFmtId="0" fontId="19" fillId="0" borderId="0" xfId="3" applyFont="1"/>
    <xf numFmtId="0" fontId="20" fillId="0" borderId="0" xfId="3" applyFont="1"/>
    <xf numFmtId="0" fontId="21" fillId="0" borderId="0" xfId="3" applyFont="1"/>
    <xf numFmtId="0" fontId="20" fillId="0" borderId="2" xfId="3" applyFont="1" applyBorder="1"/>
    <xf numFmtId="0" fontId="21" fillId="0" borderId="2" xfId="3" applyFont="1" applyBorder="1" applyAlignment="1">
      <alignment horizontal="center"/>
    </xf>
    <xf numFmtId="165" fontId="20" fillId="0" borderId="2" xfId="3" applyNumberFormat="1" applyFont="1" applyBorder="1"/>
    <xf numFmtId="0" fontId="20" fillId="0" borderId="2" xfId="3" applyFont="1" applyFill="1" applyBorder="1"/>
    <xf numFmtId="165" fontId="21" fillId="0" borderId="2" xfId="3" applyNumberFormat="1" applyFont="1" applyBorder="1"/>
    <xf numFmtId="165" fontId="20" fillId="0" borderId="0" xfId="3" applyNumberFormat="1" applyFont="1"/>
    <xf numFmtId="0" fontId="22" fillId="0" borderId="0" xfId="3" applyFont="1"/>
    <xf numFmtId="0" fontId="23" fillId="0" borderId="0" xfId="3" applyFont="1"/>
    <xf numFmtId="0" fontId="25" fillId="0" borderId="0" xfId="3" applyFont="1"/>
    <xf numFmtId="0" fontId="27" fillId="0" borderId="0" xfId="0" applyFont="1"/>
    <xf numFmtId="0" fontId="28" fillId="0" borderId="0" xfId="0" applyFont="1"/>
    <xf numFmtId="0" fontId="2" fillId="0" borderId="0" xfId="5"/>
    <xf numFmtId="0" fontId="7" fillId="0" borderId="0" xfId="5" applyFont="1" applyBorder="1" applyAlignment="1">
      <alignment horizontal="center" vertical="center"/>
    </xf>
    <xf numFmtId="0" fontId="7" fillId="0" borderId="0" xfId="5" applyFont="1"/>
    <xf numFmtId="3" fontId="2" fillId="0" borderId="0" xfId="5" applyNumberFormat="1"/>
    <xf numFmtId="0" fontId="7" fillId="0" borderId="2" xfId="5" applyFont="1" applyBorder="1" applyAlignment="1">
      <alignment horizontal="left" vertical="center" wrapText="1"/>
    </xf>
    <xf numFmtId="0" fontId="7" fillId="0" borderId="3" xfId="5" applyFont="1" applyBorder="1" applyAlignment="1">
      <alignment vertical="top" wrapText="1"/>
    </xf>
    <xf numFmtId="0" fontId="7" fillId="0" borderId="2" xfId="5" applyFont="1" applyBorder="1" applyAlignment="1">
      <alignment vertical="top" wrapText="1"/>
    </xf>
    <xf numFmtId="166" fontId="2" fillId="0" borderId="2" xfId="4" applyNumberFormat="1" applyFont="1" applyBorder="1" applyAlignment="1">
      <alignment horizontal="right" vertical="center" indent="4"/>
    </xf>
    <xf numFmtId="166" fontId="2" fillId="0" borderId="2" xfId="4" applyNumberFormat="1" applyFont="1" applyBorder="1" applyAlignment="1">
      <alignment horizontal="right" vertical="center" indent="3"/>
    </xf>
    <xf numFmtId="166" fontId="9" fillId="0" borderId="2" xfId="4" applyNumberFormat="1" applyFont="1" applyBorder="1" applyAlignment="1">
      <alignment horizontal="right" vertical="center" indent="3"/>
    </xf>
    <xf numFmtId="0" fontId="7" fillId="0" borderId="2" xfId="5" applyFont="1" applyBorder="1" applyAlignment="1">
      <alignment vertical="center" wrapText="1"/>
    </xf>
    <xf numFmtId="0" fontId="5" fillId="0" borderId="0" xfId="0" applyNumberFormat="1" applyFont="1" applyFill="1" applyBorder="1" applyAlignment="1"/>
    <xf numFmtId="9" fontId="20" fillId="0" borderId="0" xfId="6" applyFont="1"/>
    <xf numFmtId="164" fontId="5" fillId="0" borderId="1" xfId="0" applyNumberFormat="1" applyFont="1" applyFill="1" applyBorder="1" applyAlignment="1">
      <alignment horizontal="right" indent="4"/>
    </xf>
    <xf numFmtId="164" fontId="7" fillId="0" borderId="1" xfId="0" applyNumberFormat="1" applyFont="1" applyFill="1" applyBorder="1" applyAlignment="1">
      <alignment horizontal="right" indent="4"/>
    </xf>
    <xf numFmtId="0" fontId="6" fillId="4" borderId="1" xfId="0" applyNumberFormat="1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top" wrapText="1"/>
    </xf>
    <xf numFmtId="0" fontId="7" fillId="0" borderId="0" xfId="1" applyFont="1" applyBorder="1" applyAlignment="1">
      <alignment horizontal="left" vertical="center"/>
    </xf>
    <xf numFmtId="0" fontId="5" fillId="2" borderId="1" xfId="0" applyNumberFormat="1" applyFont="1" applyFill="1" applyBorder="1" applyAlignment="1"/>
    <xf numFmtId="3" fontId="29" fillId="0" borderId="0" xfId="0" applyNumberFormat="1" applyFont="1"/>
    <xf numFmtId="9" fontId="4" fillId="0" borderId="0" xfId="6" applyFont="1"/>
    <xf numFmtId="165" fontId="20" fillId="0" borderId="2" xfId="3" applyNumberFormat="1" applyFont="1" applyBorder="1" applyAlignment="1">
      <alignment horizontal="right"/>
    </xf>
    <xf numFmtId="3" fontId="3" fillId="0" borderId="0" xfId="3" applyNumberFormat="1"/>
    <xf numFmtId="0" fontId="1" fillId="0" borderId="0" xfId="3" applyFont="1"/>
    <xf numFmtId="2" fontId="3" fillId="0" borderId="0" xfId="3" applyNumberFormat="1"/>
    <xf numFmtId="165" fontId="20" fillId="0" borderId="2" xfId="3" applyNumberFormat="1" applyFont="1" applyFill="1" applyBorder="1"/>
    <xf numFmtId="167" fontId="2" fillId="0" borderId="2" xfId="4" applyNumberFormat="1" applyFont="1" applyBorder="1" applyAlignment="1">
      <alignment horizontal="right" vertical="center" indent="3"/>
    </xf>
    <xf numFmtId="0" fontId="20" fillId="0" borderId="0" xfId="1" applyFont="1"/>
    <xf numFmtId="0" fontId="20" fillId="0" borderId="0" xfId="1" applyFont="1" applyAlignment="1">
      <alignment horizontal="center"/>
    </xf>
    <xf numFmtId="3" fontId="20" fillId="0" borderId="0" xfId="1" applyNumberFormat="1" applyFont="1" applyAlignment="1">
      <alignment horizontal="center" vertical="center"/>
    </xf>
    <xf numFmtId="165" fontId="20" fillId="0" borderId="0" xfId="1" applyNumberFormat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3" fontId="21" fillId="0" borderId="0" xfId="1" applyNumberFormat="1" applyFont="1" applyBorder="1" applyAlignment="1">
      <alignment horizontal="center" vertical="center"/>
    </xf>
    <xf numFmtId="0" fontId="32" fillId="4" borderId="1" xfId="0" applyNumberFormat="1" applyFont="1" applyFill="1" applyBorder="1" applyAlignment="1">
      <alignment horizontal="center" vertical="top" wrapText="1"/>
    </xf>
    <xf numFmtId="3" fontId="13" fillId="0" borderId="1" xfId="0" applyNumberFormat="1" applyFont="1" applyFill="1" applyBorder="1" applyAlignment="1">
      <alignment horizontal="right" indent="2"/>
    </xf>
    <xf numFmtId="3" fontId="15" fillId="0" borderId="1" xfId="0" applyNumberFormat="1" applyFont="1" applyFill="1" applyBorder="1" applyAlignment="1">
      <alignment horizontal="right" indent="2"/>
    </xf>
    <xf numFmtId="164" fontId="13" fillId="0" borderId="1" xfId="0" applyNumberFormat="1" applyFont="1" applyFill="1" applyBorder="1" applyAlignment="1">
      <alignment horizontal="right" indent="4"/>
    </xf>
    <xf numFmtId="164" fontId="15" fillId="0" borderId="1" xfId="0" applyNumberFormat="1" applyFont="1" applyFill="1" applyBorder="1" applyAlignment="1">
      <alignment horizontal="right" indent="4"/>
    </xf>
    <xf numFmtId="0" fontId="7" fillId="0" borderId="8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5" applyFont="1" applyBorder="1" applyAlignment="1">
      <alignment horizontal="center" vertical="center"/>
    </xf>
    <xf numFmtId="0" fontId="7" fillId="0" borderId="7" xfId="5" applyFont="1" applyBorder="1" applyAlignment="1">
      <alignment horizontal="center" vertical="center"/>
    </xf>
    <xf numFmtId="0" fontId="33" fillId="0" borderId="0" xfId="1" applyFont="1"/>
    <xf numFmtId="0" fontId="34" fillId="4" borderId="3" xfId="1" applyFont="1" applyFill="1" applyBorder="1" applyAlignment="1">
      <alignment horizontal="center" vertical="center"/>
    </xf>
    <xf numFmtId="0" fontId="34" fillId="4" borderId="5" xfId="1" applyFont="1" applyFill="1" applyBorder="1" applyAlignment="1">
      <alignment horizontal="center" vertical="center"/>
    </xf>
    <xf numFmtId="0" fontId="34" fillId="4" borderId="4" xfId="1" applyFont="1" applyFill="1" applyBorder="1" applyAlignment="1">
      <alignment horizontal="center" vertical="center"/>
    </xf>
    <xf numFmtId="0" fontId="34" fillId="4" borderId="2" xfId="1" applyFont="1" applyFill="1" applyBorder="1" applyAlignment="1">
      <alignment horizontal="left" vertical="top" wrapText="1"/>
    </xf>
    <xf numFmtId="0" fontId="34" fillId="4" borderId="3" xfId="1" applyFont="1" applyFill="1" applyBorder="1" applyAlignment="1">
      <alignment horizontal="center" vertical="top" wrapText="1"/>
    </xf>
    <xf numFmtId="0" fontId="34" fillId="4" borderId="2" xfId="1" applyFont="1" applyFill="1" applyBorder="1" applyAlignment="1">
      <alignment horizontal="center" vertical="top" wrapText="1"/>
    </xf>
    <xf numFmtId="0" fontId="33" fillId="0" borderId="2" xfId="1" applyFont="1" applyBorder="1" applyAlignment="1">
      <alignment horizontal="left" vertical="center" wrapText="1"/>
    </xf>
    <xf numFmtId="3" fontId="35" fillId="0" borderId="2" xfId="1" applyNumberFormat="1" applyFont="1" applyBorder="1" applyAlignment="1">
      <alignment horizontal="right" vertical="center" indent="2"/>
    </xf>
    <xf numFmtId="3" fontId="35" fillId="0" borderId="2" xfId="1" applyNumberFormat="1" applyFont="1" applyBorder="1" applyAlignment="1">
      <alignment horizontal="right" vertical="center" indent="1"/>
    </xf>
    <xf numFmtId="3" fontId="35" fillId="0" borderId="2" xfId="1" applyNumberFormat="1" applyFont="1" applyBorder="1" applyAlignment="1">
      <alignment horizontal="right" vertical="center" indent="5"/>
    </xf>
    <xf numFmtId="0" fontId="34" fillId="4" borderId="2" xfId="1" applyFont="1" applyFill="1" applyBorder="1" applyAlignment="1">
      <alignment horizontal="left" vertical="center" wrapText="1"/>
    </xf>
    <xf numFmtId="3" fontId="34" fillId="4" borderId="2" xfId="1" applyNumberFormat="1" applyFont="1" applyFill="1" applyBorder="1" applyAlignment="1">
      <alignment horizontal="right" vertical="center" indent="2"/>
    </xf>
    <xf numFmtId="3" fontId="34" fillId="4" borderId="2" xfId="1" applyNumberFormat="1" applyFont="1" applyFill="1" applyBorder="1" applyAlignment="1">
      <alignment horizontal="right" vertical="center" indent="1"/>
    </xf>
    <xf numFmtId="3" fontId="34" fillId="4" borderId="2" xfId="1" applyNumberFormat="1" applyFont="1" applyFill="1" applyBorder="1" applyAlignment="1">
      <alignment horizontal="right" vertical="center" indent="5"/>
    </xf>
    <xf numFmtId="0" fontId="36" fillId="2" borderId="2" xfId="1" applyFont="1" applyFill="1" applyBorder="1" applyAlignment="1">
      <alignment horizontal="left" vertical="center" wrapText="1"/>
    </xf>
    <xf numFmtId="3" fontId="37" fillId="2" borderId="2" xfId="1" applyNumberFormat="1" applyFont="1" applyFill="1" applyBorder="1" applyAlignment="1">
      <alignment horizontal="right" vertical="center" indent="2"/>
    </xf>
    <xf numFmtId="3" fontId="37" fillId="2" borderId="2" xfId="1" applyNumberFormat="1" applyFont="1" applyFill="1" applyBorder="1" applyAlignment="1">
      <alignment horizontal="right" vertical="center" indent="1"/>
    </xf>
    <xf numFmtId="3" fontId="37" fillId="2" borderId="2" xfId="1" applyNumberFormat="1" applyFont="1" applyFill="1" applyBorder="1" applyAlignment="1">
      <alignment horizontal="right" vertical="center" indent="5"/>
    </xf>
  </cellXfs>
  <cellStyles count="9">
    <cellStyle name="Milliers" xfId="4" builtinId="3"/>
    <cellStyle name="Normal" xfId="0" builtinId="0"/>
    <cellStyle name="Normal 12" xfId="2" xr:uid="{00000000-0005-0000-0000-000002000000}"/>
    <cellStyle name="Normal 2" xfId="1" xr:uid="{00000000-0005-0000-0000-000003000000}"/>
    <cellStyle name="Normal 3" xfId="3" xr:uid="{00000000-0005-0000-0000-000004000000}"/>
    <cellStyle name="Normal 4" xfId="5" xr:uid="{00000000-0005-0000-0000-000005000000}"/>
    <cellStyle name="Pourcentage" xfId="6" builtinId="5"/>
    <cellStyle name="Texte explicatif 2" xfId="7" xr:uid="{00000000-0005-0000-0000-000007000000}"/>
    <cellStyle name="Texte explicatif 2 2" xfId="8" xr:uid="{00000000-0005-0000-0000-000008000000}"/>
  </cellStyles>
  <dxfs count="0"/>
  <tableStyles count="0" defaultTableStyle="TableStyleMedium2" defaultPivotStyle="PivotStyleLight16"/>
  <colors>
    <mruColors>
      <color rgb="FF417DC4"/>
      <color rgb="FF3399FF"/>
      <color rgb="FF00A95F"/>
      <color rgb="FF009644"/>
      <color rgb="FFE5794A"/>
      <color rgb="FF465F9D"/>
      <color rgb="FF99CCFF"/>
      <color rgb="FF169B62"/>
      <color rgb="FF3D5F87"/>
      <color rgb="FF7D4E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 1'!$J$4</c:f>
              <c:strCache>
                <c:ptCount val="1"/>
                <c:pt idx="0">
                  <c:v>Recyclage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'Graph 1'!$I$5:$I$8</c:f>
              <c:strCache>
                <c:ptCount val="4"/>
                <c:pt idx="0">
                  <c:v>Déchets minéraux</c:v>
                </c:pt>
                <c:pt idx="1">
                  <c:v>Déchets non minéraux non dangereux</c:v>
                </c:pt>
                <c:pt idx="2">
                  <c:v>Déchets dangereux</c:v>
                </c:pt>
                <c:pt idx="3">
                  <c:v>Tous déchets</c:v>
                </c:pt>
              </c:strCache>
            </c:strRef>
          </c:cat>
          <c:val>
            <c:numRef>
              <c:f>'Graph 1'!$J$5:$J$8</c:f>
              <c:numCache>
                <c:formatCode>_-* #\ ##0_-;\-* #\ ##0_-;_-* "-"??_-;_-@_-</c:formatCode>
                <c:ptCount val="4"/>
                <c:pt idx="0">
                  <c:v>54.253516117739245</c:v>
                </c:pt>
                <c:pt idx="1">
                  <c:v>43.06037692977695</c:v>
                </c:pt>
                <c:pt idx="2">
                  <c:v>29.909322754321337</c:v>
                </c:pt>
                <c:pt idx="3">
                  <c:v>50.277575366031392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8-4B19-9E99-3053C23624CC}"/>
            </c:ext>
          </c:extLst>
        </c:ser>
        <c:ser>
          <c:idx val="1"/>
          <c:order val="1"/>
          <c:tx>
            <c:strRef>
              <c:f>'Graph 1'!$K$4</c:f>
              <c:strCache>
                <c:ptCount val="1"/>
                <c:pt idx="0">
                  <c:v>Remblayage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'Graph 1'!$I$5:$I$8</c:f>
              <c:strCache>
                <c:ptCount val="4"/>
                <c:pt idx="0">
                  <c:v>Déchets minéraux</c:v>
                </c:pt>
                <c:pt idx="1">
                  <c:v>Déchets non minéraux non dangereux</c:v>
                </c:pt>
                <c:pt idx="2">
                  <c:v>Déchets dangereux</c:v>
                </c:pt>
                <c:pt idx="3">
                  <c:v>Tous déchets</c:v>
                </c:pt>
              </c:strCache>
            </c:strRef>
          </c:cat>
          <c:val>
            <c:numRef>
              <c:f>'Graph 1'!$K$5:$K$8</c:f>
              <c:numCache>
                <c:formatCode>_-* #\ ##0_-;\-* #\ ##0_-;_-* "-"??_-;_-@_-</c:formatCode>
                <c:ptCount val="4"/>
                <c:pt idx="0">
                  <c:v>26.780842090054847</c:v>
                </c:pt>
                <c:pt idx="1">
                  <c:v>0.41530440929574974</c:v>
                </c:pt>
                <c:pt idx="2" formatCode="#\ ##0_ ;\-#\ ##0\ ">
                  <c:v>0</c:v>
                </c:pt>
                <c:pt idx="3">
                  <c:v>18.225696192071634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8-4B19-9E99-3053C23624CC}"/>
            </c:ext>
          </c:extLst>
        </c:ser>
        <c:ser>
          <c:idx val="2"/>
          <c:order val="2"/>
          <c:tx>
            <c:strRef>
              <c:f>'Graph 1'!$L$4</c:f>
              <c:strCache>
                <c:ptCount val="1"/>
                <c:pt idx="0">
                  <c:v>Incinération avec récupération d'énergie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 1'!$I$5:$I$8</c:f>
              <c:strCache>
                <c:ptCount val="4"/>
                <c:pt idx="0">
                  <c:v>Déchets minéraux</c:v>
                </c:pt>
                <c:pt idx="1">
                  <c:v>Déchets non minéraux non dangereux</c:v>
                </c:pt>
                <c:pt idx="2">
                  <c:v>Déchets dangereux</c:v>
                </c:pt>
                <c:pt idx="3">
                  <c:v>Tous déchets</c:v>
                </c:pt>
              </c:strCache>
            </c:strRef>
          </c:cat>
          <c:val>
            <c:numRef>
              <c:f>'Graph 1'!$L$5:$L$8</c:f>
              <c:numCache>
                <c:formatCode>_-* #\ ##0_-;\-* #\ ##0_-;_-* "-"??_-;_-@_-</c:formatCode>
                <c:ptCount val="4"/>
                <c:pt idx="0">
                  <c:v>4.667781747861989E-2</c:v>
                </c:pt>
                <c:pt idx="1">
                  <c:v>26.951867607518398</c:v>
                </c:pt>
                <c:pt idx="2">
                  <c:v>15.202606970813262</c:v>
                </c:pt>
                <c:pt idx="3">
                  <c:v>8.454216967029005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18-4B19-9E99-3053C23624CC}"/>
            </c:ext>
          </c:extLst>
        </c:ser>
        <c:ser>
          <c:idx val="3"/>
          <c:order val="3"/>
          <c:tx>
            <c:strRef>
              <c:f>'Graph 1'!$M$4</c:f>
              <c:strCache>
                <c:ptCount val="1"/>
                <c:pt idx="0">
                  <c:v>Incinération sans récupération d'énergie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'Graph 1'!$I$5:$I$8</c:f>
              <c:strCache>
                <c:ptCount val="4"/>
                <c:pt idx="0">
                  <c:v>Déchets minéraux</c:v>
                </c:pt>
                <c:pt idx="1">
                  <c:v>Déchets non minéraux non dangereux</c:v>
                </c:pt>
                <c:pt idx="2">
                  <c:v>Déchets dangereux</c:v>
                </c:pt>
                <c:pt idx="3">
                  <c:v>Tous déchets</c:v>
                </c:pt>
              </c:strCache>
            </c:strRef>
          </c:cat>
          <c:val>
            <c:numRef>
              <c:f>'Graph 1'!$M$5:$M$8</c:f>
              <c:numCache>
                <c:formatCode>_-* #\ ##0_-;\-* #\ ##0_-;_-* "-"??_-;_-@_-</c:formatCode>
                <c:ptCount val="4"/>
                <c:pt idx="0">
                  <c:v>5.0011947298521315E-3</c:v>
                </c:pt>
                <c:pt idx="1">
                  <c:v>3.1343490829220264</c:v>
                </c:pt>
                <c:pt idx="2">
                  <c:v>23.859450269198074</c:v>
                </c:pt>
                <c:pt idx="3">
                  <c:v>1.5685449642044218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18-4B19-9E99-3053C23624CC}"/>
            </c:ext>
          </c:extLst>
        </c:ser>
        <c:ser>
          <c:idx val="4"/>
          <c:order val="4"/>
          <c:tx>
            <c:strRef>
              <c:f>'Graph 1'!$N$4</c:f>
              <c:strCache>
                <c:ptCount val="1"/>
                <c:pt idx="0">
                  <c:v>Stockage et épandage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'Graph 1'!$I$5:$I$8</c:f>
              <c:strCache>
                <c:ptCount val="4"/>
                <c:pt idx="0">
                  <c:v>Déchets minéraux</c:v>
                </c:pt>
                <c:pt idx="1">
                  <c:v>Déchets non minéraux non dangereux</c:v>
                </c:pt>
                <c:pt idx="2">
                  <c:v>Déchets dangereux</c:v>
                </c:pt>
                <c:pt idx="3">
                  <c:v>Tous déchets</c:v>
                </c:pt>
              </c:strCache>
            </c:strRef>
          </c:cat>
          <c:val>
            <c:numRef>
              <c:f>'Graph 1'!$N$5:$N$8</c:f>
              <c:numCache>
                <c:formatCode>_-* #\ ##0_-;\-* #\ ##0_-;_-* "-"??_-;_-@_-</c:formatCode>
                <c:ptCount val="4"/>
                <c:pt idx="0">
                  <c:v>18.913962779997444</c:v>
                </c:pt>
                <c:pt idx="1">
                  <c:v>26.438101970486876</c:v>
                </c:pt>
                <c:pt idx="2">
                  <c:v>31.028620005667328</c:v>
                </c:pt>
                <c:pt idx="3">
                  <c:v>21.473966510663551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18-4B19-9E99-3053C2362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0737920"/>
        <c:axId val="1598185136"/>
      </c:barChart>
      <c:catAx>
        <c:axId val="198073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598185136"/>
        <c:crosses val="autoZero"/>
        <c:auto val="1"/>
        <c:lblAlgn val="ctr"/>
        <c:lblOffset val="100"/>
        <c:noMultiLvlLbl val="0"/>
      </c:catAx>
      <c:valAx>
        <c:axId val="15981851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98073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 2'!$A$5</c:f>
              <c:strCache>
                <c:ptCount val="1"/>
                <c:pt idx="0">
                  <c:v>Préparation à la réutilisation</c:v>
                </c:pt>
              </c:strCache>
            </c:strRef>
          </c:tx>
          <c:spPr>
            <a:solidFill>
              <a:srgbClr val="00A95F"/>
            </a:solidFill>
          </c:spPr>
          <c:invertIfNegative val="0"/>
          <c:cat>
            <c:numRef>
              <c:f>'Graph 2'!$B$2:$G$2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'Graph 2'!$B$5:$G$5</c:f>
              <c:numCache>
                <c:formatCode>#,##0</c:formatCode>
                <c:ptCount val="6"/>
                <c:pt idx="0">
                  <c:v>152240</c:v>
                </c:pt>
                <c:pt idx="1">
                  <c:v>161420</c:v>
                </c:pt>
                <c:pt idx="2">
                  <c:v>173600</c:v>
                </c:pt>
                <c:pt idx="3">
                  <c:v>193840</c:v>
                </c:pt>
                <c:pt idx="4">
                  <c:v>150060</c:v>
                </c:pt>
                <c:pt idx="5">
                  <c:v>174800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0-46EA-9DC7-8F407D5F5650}"/>
            </c:ext>
          </c:extLst>
        </c:ser>
        <c:ser>
          <c:idx val="1"/>
          <c:order val="1"/>
          <c:tx>
            <c:strRef>
              <c:f>'Graph 2'!$A$6</c:f>
              <c:strCache>
                <c:ptCount val="1"/>
                <c:pt idx="0">
                  <c:v>Recyclage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numRef>
              <c:f>'Graph 2'!$B$2:$G$2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'Graph 2'!$B$6:$G$6</c:f>
              <c:numCache>
                <c:formatCode>#,##0</c:formatCode>
                <c:ptCount val="6"/>
                <c:pt idx="0">
                  <c:v>7992480</c:v>
                </c:pt>
                <c:pt idx="1">
                  <c:v>8181820</c:v>
                </c:pt>
                <c:pt idx="2">
                  <c:v>7960410</c:v>
                </c:pt>
                <c:pt idx="3">
                  <c:v>8168220</c:v>
                </c:pt>
                <c:pt idx="4">
                  <c:v>8494980</c:v>
                </c:pt>
                <c:pt idx="5">
                  <c:v>9514950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0-46EA-9DC7-8F407D5F5650}"/>
            </c:ext>
          </c:extLst>
        </c:ser>
        <c:ser>
          <c:idx val="2"/>
          <c:order val="2"/>
          <c:tx>
            <c:strRef>
              <c:f>'Graph 2'!$A$7</c:f>
              <c:strCache>
                <c:ptCount val="1"/>
                <c:pt idx="0">
                  <c:v>Compostage, méthanisation</c:v>
                </c:pt>
              </c:strCache>
            </c:strRef>
          </c:tx>
          <c:spPr>
            <a:solidFill>
              <a:srgbClr val="417DC4"/>
            </a:solidFill>
          </c:spPr>
          <c:invertIfNegative val="0"/>
          <c:cat>
            <c:numRef>
              <c:f>'Graph 2'!$B$2:$G$2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'Graph 2'!$B$7:$G$7</c:f>
              <c:numCache>
                <c:formatCode>#,##0</c:formatCode>
                <c:ptCount val="6"/>
                <c:pt idx="0">
                  <c:v>6515870</c:v>
                </c:pt>
                <c:pt idx="1">
                  <c:v>6661520</c:v>
                </c:pt>
                <c:pt idx="2">
                  <c:v>7092490</c:v>
                </c:pt>
                <c:pt idx="3">
                  <c:v>6992120</c:v>
                </c:pt>
                <c:pt idx="4">
                  <c:v>6532870</c:v>
                </c:pt>
                <c:pt idx="5">
                  <c:v>7056480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0-46EA-9DC7-8F407D5F5650}"/>
            </c:ext>
          </c:extLst>
        </c:ser>
        <c:ser>
          <c:idx val="3"/>
          <c:order val="3"/>
          <c:tx>
            <c:strRef>
              <c:f>'Graph 2'!$A$8</c:f>
              <c:strCache>
                <c:ptCount val="1"/>
                <c:pt idx="0">
                  <c:v>Incinération avec récupération d'énergie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numRef>
              <c:f>'Graph 2'!$B$2:$G$2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'Graph 2'!$B$8:$G$8</c:f>
              <c:numCache>
                <c:formatCode>#,##0</c:formatCode>
                <c:ptCount val="6"/>
                <c:pt idx="0">
                  <c:v>11602270</c:v>
                </c:pt>
                <c:pt idx="1">
                  <c:v>11535960</c:v>
                </c:pt>
                <c:pt idx="2">
                  <c:v>11584860</c:v>
                </c:pt>
                <c:pt idx="3">
                  <c:v>11451940</c:v>
                </c:pt>
                <c:pt idx="4">
                  <c:v>11647980</c:v>
                </c:pt>
                <c:pt idx="5">
                  <c:v>12245380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F0-46EA-9DC7-8F407D5F5650}"/>
            </c:ext>
          </c:extLst>
        </c:ser>
        <c:ser>
          <c:idx val="4"/>
          <c:order val="4"/>
          <c:tx>
            <c:strRef>
              <c:f>'Graph 2'!$A$9</c:f>
              <c:strCache>
                <c:ptCount val="1"/>
                <c:pt idx="0">
                  <c:v>Incinération sans récupération d'énergie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'Graph 2'!$B$2:$G$2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'Graph 2'!$B$9:$G$9</c:f>
              <c:numCache>
                <c:formatCode>#,##0</c:formatCode>
                <c:ptCount val="6"/>
                <c:pt idx="0">
                  <c:v>98760</c:v>
                </c:pt>
                <c:pt idx="1">
                  <c:v>97680</c:v>
                </c:pt>
                <c:pt idx="2">
                  <c:v>53290</c:v>
                </c:pt>
                <c:pt idx="3">
                  <c:v>52990</c:v>
                </c:pt>
                <c:pt idx="4">
                  <c:v>52150</c:v>
                </c:pt>
                <c:pt idx="5">
                  <c:v>47580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F0-46EA-9DC7-8F407D5F5650}"/>
            </c:ext>
          </c:extLst>
        </c:ser>
        <c:ser>
          <c:idx val="5"/>
          <c:order val="5"/>
          <c:tx>
            <c:strRef>
              <c:f>'Graph 2'!$A$10</c:f>
              <c:strCache>
                <c:ptCount val="1"/>
                <c:pt idx="0">
                  <c:v>Stockage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numRef>
              <c:f>'Graph 2'!$B$2:$G$2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'Graph 2'!$B$10:$G$10</c:f>
              <c:numCache>
                <c:formatCode>#,##0</c:formatCode>
                <c:ptCount val="6"/>
                <c:pt idx="0">
                  <c:v>10568570</c:v>
                </c:pt>
                <c:pt idx="1">
                  <c:v>10700100</c:v>
                </c:pt>
                <c:pt idx="2">
                  <c:v>9738030</c:v>
                </c:pt>
                <c:pt idx="3">
                  <c:v>9706500</c:v>
                </c:pt>
                <c:pt idx="4">
                  <c:v>9298410</c:v>
                </c:pt>
                <c:pt idx="5">
                  <c:v>8881620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F0-46EA-9DC7-8F407D5F5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595648"/>
        <c:axId val="130859584"/>
      </c:barChart>
      <c:catAx>
        <c:axId val="18959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960000"/>
          <a:lstStyle/>
          <a:p>
            <a:pPr>
              <a:defRPr sz="900" baseline="0">
                <a:latin typeface="Arial" panose="020B0604020202020204" pitchFamily="34" charset="0"/>
              </a:defRPr>
            </a:pPr>
            <a:endParaRPr lang="fr-FR"/>
          </a:p>
        </c:txPr>
        <c:crossAx val="130859584"/>
        <c:crosses val="autoZero"/>
        <c:auto val="1"/>
        <c:lblAlgn val="ctr"/>
        <c:lblOffset val="100"/>
        <c:noMultiLvlLbl val="0"/>
      </c:catAx>
      <c:valAx>
        <c:axId val="130859584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Arial" panose="020B0604020202020204" pitchFamily="34" charset="0"/>
              </a:defRPr>
            </a:pPr>
            <a:endParaRPr lang="fr-FR"/>
          </a:p>
        </c:txPr>
        <c:crossAx val="189595648"/>
        <c:crosses val="autoZero"/>
        <c:crossBetween val="between"/>
        <c:dispUnits>
          <c:builtInUnit val="millions"/>
        </c:dispUnits>
      </c:valAx>
    </c:plotArea>
    <c:legend>
      <c:legendPos val="b"/>
      <c:overlay val="0"/>
      <c:txPr>
        <a:bodyPr/>
        <a:lstStyle/>
        <a:p>
          <a:pPr>
            <a:defRPr sz="900" baseline="0">
              <a:latin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24834114836766E-2"/>
          <c:y val="5.2695354941097464E-2"/>
          <c:w val="0.88373960565119236"/>
          <c:h val="0.76597454194105208"/>
        </c:manualLayout>
      </c:layout>
      <c:lineChart>
        <c:grouping val="standard"/>
        <c:varyColors val="0"/>
        <c:ser>
          <c:idx val="1"/>
          <c:order val="0"/>
          <c:tx>
            <c:strRef>
              <c:f>'Graph 3'!$A$6</c:f>
              <c:strCache>
                <c:ptCount val="1"/>
                <c:pt idx="0">
                  <c:v>Administrations publiques</c:v>
                </c:pt>
              </c:strCache>
            </c:strRef>
          </c:tx>
          <c:spPr>
            <a:ln w="22225">
              <a:solidFill>
                <a:srgbClr val="00A95F"/>
              </a:solidFill>
            </a:ln>
          </c:spPr>
          <c:marker>
            <c:symbol val="none"/>
          </c:marker>
          <c:cat>
            <c:strRef>
              <c:f>'Graph 3'!$B$5:$W$5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'Graph 3'!$B$6:$W$6</c:f>
              <c:numCache>
                <c:formatCode>0.0</c:formatCode>
                <c:ptCount val="22"/>
                <c:pt idx="0">
                  <c:v>2.7069760231138513</c:v>
                </c:pt>
                <c:pt idx="1">
                  <c:v>2.7350537239010215</c:v>
                </c:pt>
                <c:pt idx="2">
                  <c:v>2.8608843046226426</c:v>
                </c:pt>
                <c:pt idx="3">
                  <c:v>2.9633591343801848</c:v>
                </c:pt>
                <c:pt idx="4">
                  <c:v>3.2771899680655285</c:v>
                </c:pt>
                <c:pt idx="5">
                  <c:v>3.6872701870239539</c:v>
                </c:pt>
                <c:pt idx="6">
                  <c:v>3.8782945811098202</c:v>
                </c:pt>
                <c:pt idx="7">
                  <c:v>3.8100608099570601</c:v>
                </c:pt>
                <c:pt idx="8">
                  <c:v>3.8827099459319241</c:v>
                </c:pt>
                <c:pt idx="9">
                  <c:v>3.645587276519811</c:v>
                </c:pt>
                <c:pt idx="10">
                  <c:v>3.960622854320059</c:v>
                </c:pt>
                <c:pt idx="11">
                  <c:v>4.2457789750132235</c:v>
                </c:pt>
                <c:pt idx="12">
                  <c:v>4.3976005156608506</c:v>
                </c:pt>
                <c:pt idx="13">
                  <c:v>4.4280405651085442</c:v>
                </c:pt>
                <c:pt idx="14">
                  <c:v>4.5932503471684107</c:v>
                </c:pt>
                <c:pt idx="15">
                  <c:v>4.2912022922300919</c:v>
                </c:pt>
                <c:pt idx="16">
                  <c:v>4.1247055126667105</c:v>
                </c:pt>
                <c:pt idx="17">
                  <c:v>4.1981662436453364</c:v>
                </c:pt>
                <c:pt idx="18">
                  <c:v>4.7236507760372675</c:v>
                </c:pt>
                <c:pt idx="19">
                  <c:v>5.260604120834917</c:v>
                </c:pt>
                <c:pt idx="20">
                  <c:v>5.0986501793576897</c:v>
                </c:pt>
                <c:pt idx="21">
                  <c:v>5.3212244043912404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4-41B7-ACC8-C135A73643CA}"/>
            </c:ext>
          </c:extLst>
        </c:ser>
        <c:ser>
          <c:idx val="0"/>
          <c:order val="1"/>
          <c:tx>
            <c:strRef>
              <c:f>'Graph 3'!$A$7</c:f>
              <c:strCache>
                <c:ptCount val="1"/>
                <c:pt idx="0">
                  <c:v>Ménages</c:v>
                </c:pt>
              </c:strCache>
            </c:strRef>
          </c:tx>
          <c:spPr>
            <a:ln w="22225">
              <a:solidFill>
                <a:srgbClr val="E5794A"/>
              </a:solidFill>
            </a:ln>
          </c:spPr>
          <c:marker>
            <c:symbol val="none"/>
          </c:marker>
          <c:cat>
            <c:strRef>
              <c:f>'Graph 3'!$B$5:$W$5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'Graph 3'!$B$7:$W$7</c:f>
              <c:numCache>
                <c:formatCode>0.0</c:formatCode>
                <c:ptCount val="22"/>
                <c:pt idx="0">
                  <c:v>2.7317644429145322</c:v>
                </c:pt>
                <c:pt idx="1">
                  <c:v>2.906668574634153</c:v>
                </c:pt>
                <c:pt idx="2">
                  <c:v>3.1439208110728303</c:v>
                </c:pt>
                <c:pt idx="3">
                  <c:v>3.4100240030939304</c:v>
                </c:pt>
                <c:pt idx="4">
                  <c:v>3.5268177171495729</c:v>
                </c:pt>
                <c:pt idx="5">
                  <c:v>3.8822324219096522</c:v>
                </c:pt>
                <c:pt idx="6">
                  <c:v>4.1241412612662973</c:v>
                </c:pt>
                <c:pt idx="7">
                  <c:v>4.3318048666457774</c:v>
                </c:pt>
                <c:pt idx="8">
                  <c:v>4.5275006886198206</c:v>
                </c:pt>
                <c:pt idx="9">
                  <c:v>4.7921138393345641</c:v>
                </c:pt>
                <c:pt idx="10">
                  <c:v>4.9883660913489667</c:v>
                </c:pt>
                <c:pt idx="11">
                  <c:v>5.2377081820461147</c:v>
                </c:pt>
                <c:pt idx="12">
                  <c:v>5.3887907984145027</c:v>
                </c:pt>
                <c:pt idx="13">
                  <c:v>5.5130160747279344</c:v>
                </c:pt>
                <c:pt idx="14">
                  <c:v>5.6510064782252849</c:v>
                </c:pt>
                <c:pt idx="15">
                  <c:v>5.8205127551579103</c:v>
                </c:pt>
                <c:pt idx="16">
                  <c:v>5.9604240652597253</c:v>
                </c:pt>
                <c:pt idx="17">
                  <c:v>6.0898424073386108</c:v>
                </c:pt>
                <c:pt idx="18">
                  <c:v>6.1797989303046768</c:v>
                </c:pt>
                <c:pt idx="19">
                  <c:v>6.2054174673150602</c:v>
                </c:pt>
                <c:pt idx="20">
                  <c:v>6.2815662281806128</c:v>
                </c:pt>
                <c:pt idx="21">
                  <c:v>6.6963496795680371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4-41B7-ACC8-C135A73643CA}"/>
            </c:ext>
          </c:extLst>
        </c:ser>
        <c:ser>
          <c:idx val="2"/>
          <c:order val="2"/>
          <c:tx>
            <c:strRef>
              <c:f>'Graph 3'!$A$8</c:f>
              <c:strCache>
                <c:ptCount val="1"/>
                <c:pt idx="0">
                  <c:v>Entreprises</c:v>
                </c:pt>
              </c:strCache>
            </c:strRef>
          </c:tx>
          <c:spPr>
            <a:ln w="22225">
              <a:solidFill>
                <a:srgbClr val="465F9D"/>
              </a:solidFill>
            </a:ln>
          </c:spPr>
          <c:marker>
            <c:symbol val="none"/>
          </c:marker>
          <c:cat>
            <c:strRef>
              <c:f>'Graph 3'!$B$5:$W$5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'Graph 3'!$B$8:$W$8</c:f>
              <c:numCache>
                <c:formatCode>0.0</c:formatCode>
                <c:ptCount val="22"/>
                <c:pt idx="0">
                  <c:v>3.6025251743307822</c:v>
                </c:pt>
                <c:pt idx="1">
                  <c:v>3.7820213195379249</c:v>
                </c:pt>
                <c:pt idx="2">
                  <c:v>4.0629710723591295</c:v>
                </c:pt>
                <c:pt idx="3">
                  <c:v>4.0075036673439302</c:v>
                </c:pt>
                <c:pt idx="4">
                  <c:v>3.9437985022973092</c:v>
                </c:pt>
                <c:pt idx="5">
                  <c:v>4.4258273705596558</c:v>
                </c:pt>
                <c:pt idx="6">
                  <c:v>5.0683780490565589</c:v>
                </c:pt>
                <c:pt idx="7">
                  <c:v>5.8546793185164132</c:v>
                </c:pt>
                <c:pt idx="8">
                  <c:v>5.3291722013801692</c:v>
                </c:pt>
                <c:pt idx="9">
                  <c:v>4.8135420094825703</c:v>
                </c:pt>
                <c:pt idx="10">
                  <c:v>4.8563451349234104</c:v>
                </c:pt>
                <c:pt idx="11">
                  <c:v>5.0368770242286578</c:v>
                </c:pt>
                <c:pt idx="12">
                  <c:v>5.222797863323791</c:v>
                </c:pt>
                <c:pt idx="13">
                  <c:v>5.4952346284861973</c:v>
                </c:pt>
                <c:pt idx="14">
                  <c:v>5.6250964528711371</c:v>
                </c:pt>
                <c:pt idx="15">
                  <c:v>5.6531572518339877</c:v>
                </c:pt>
                <c:pt idx="16">
                  <c:v>6.1107662212735265</c:v>
                </c:pt>
                <c:pt idx="17">
                  <c:v>6.2666650703488891</c:v>
                </c:pt>
                <c:pt idx="18">
                  <c:v>6.7341943124932744</c:v>
                </c:pt>
                <c:pt idx="19">
                  <c:v>7.1034665152746062</c:v>
                </c:pt>
                <c:pt idx="20">
                  <c:v>7.0167389512205709</c:v>
                </c:pt>
                <c:pt idx="21">
                  <c:v>7.6160957290385198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94-41B7-ACC8-C135A7364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310256"/>
        <c:axId val="1"/>
      </c:lineChart>
      <c:catAx>
        <c:axId val="193431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0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0"/>
        <c:tickLbl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34310256"/>
        <c:crosses val="autoZero"/>
        <c:crossBetween val="midCat"/>
        <c:majorUnit val="2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24834114836766E-2"/>
          <c:y val="5.2695354941097464E-2"/>
          <c:w val="0.91937881238371677"/>
          <c:h val="0.7659745419410520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'Graph 3'!$A$6</c:f>
              <c:strCache>
                <c:ptCount val="1"/>
                <c:pt idx="0">
                  <c:v>Administrations publiques</c:v>
                </c:pt>
              </c:strCache>
            </c:strRef>
          </c:tx>
          <c:spPr>
            <a:solidFill>
              <a:srgbClr val="00B050"/>
            </a:solidFill>
            <a:ln w="22225">
              <a:noFill/>
            </a:ln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72-4A21-AC38-8FF739B8A8AF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72-4A21-AC38-8FF739B8A8AF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72-4A21-AC38-8FF739B8A8A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 3'!$B$5:$W$5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'Graph 3'!$B$6:$W$6</c:f>
              <c:numCache>
                <c:formatCode>0.0</c:formatCode>
                <c:ptCount val="22"/>
                <c:pt idx="0">
                  <c:v>2.7069760231138513</c:v>
                </c:pt>
                <c:pt idx="1">
                  <c:v>2.7350537239010215</c:v>
                </c:pt>
                <c:pt idx="2">
                  <c:v>2.8608843046226426</c:v>
                </c:pt>
                <c:pt idx="3">
                  <c:v>2.9633591343801848</c:v>
                </c:pt>
                <c:pt idx="4">
                  <c:v>3.2771899680655285</c:v>
                </c:pt>
                <c:pt idx="5">
                  <c:v>3.6872701870239539</c:v>
                </c:pt>
                <c:pt idx="6">
                  <c:v>3.8782945811098202</c:v>
                </c:pt>
                <c:pt idx="7">
                  <c:v>3.8100608099570601</c:v>
                </c:pt>
                <c:pt idx="8">
                  <c:v>3.8827099459319241</c:v>
                </c:pt>
                <c:pt idx="9">
                  <c:v>3.645587276519811</c:v>
                </c:pt>
                <c:pt idx="10">
                  <c:v>3.960622854320059</c:v>
                </c:pt>
                <c:pt idx="11">
                  <c:v>4.2457789750132235</c:v>
                </c:pt>
                <c:pt idx="12">
                  <c:v>4.3976005156608506</c:v>
                </c:pt>
                <c:pt idx="13">
                  <c:v>4.4280405651085442</c:v>
                </c:pt>
                <c:pt idx="14">
                  <c:v>4.5932503471684107</c:v>
                </c:pt>
                <c:pt idx="15">
                  <c:v>4.2912022922300919</c:v>
                </c:pt>
                <c:pt idx="16">
                  <c:v>4.1247055126667105</c:v>
                </c:pt>
                <c:pt idx="17">
                  <c:v>4.1981662436453364</c:v>
                </c:pt>
                <c:pt idx="18">
                  <c:v>4.7236507760372675</c:v>
                </c:pt>
                <c:pt idx="19">
                  <c:v>5.260604120834917</c:v>
                </c:pt>
                <c:pt idx="20">
                  <c:v>5.0986501793576897</c:v>
                </c:pt>
                <c:pt idx="21">
                  <c:v>5.3212244043912404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2-4A21-AC38-8FF739B8A8AF}"/>
            </c:ext>
          </c:extLst>
        </c:ser>
        <c:ser>
          <c:idx val="0"/>
          <c:order val="1"/>
          <c:tx>
            <c:strRef>
              <c:f>'Graph 3'!$A$7</c:f>
              <c:strCache>
                <c:ptCount val="1"/>
                <c:pt idx="0">
                  <c:v>Ménages</c:v>
                </c:pt>
              </c:strCache>
            </c:strRef>
          </c:tx>
          <c:spPr>
            <a:solidFill>
              <a:schemeClr val="accent6"/>
            </a:solidFill>
            <a:ln w="22225">
              <a:noFill/>
            </a:ln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72-4A21-AC38-8FF739B8A8AF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72-4A21-AC38-8FF739B8A8AF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72-4A21-AC38-8FF739B8A8A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 3'!$B$5:$W$5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'Graph 3'!$B$7:$W$7</c:f>
              <c:numCache>
                <c:formatCode>0.0</c:formatCode>
                <c:ptCount val="22"/>
                <c:pt idx="0">
                  <c:v>2.7317644429145322</c:v>
                </c:pt>
                <c:pt idx="1">
                  <c:v>2.906668574634153</c:v>
                </c:pt>
                <c:pt idx="2">
                  <c:v>3.1439208110728303</c:v>
                </c:pt>
                <c:pt idx="3">
                  <c:v>3.4100240030939304</c:v>
                </c:pt>
                <c:pt idx="4">
                  <c:v>3.5268177171495729</c:v>
                </c:pt>
                <c:pt idx="5">
                  <c:v>3.8822324219096522</c:v>
                </c:pt>
                <c:pt idx="6">
                  <c:v>4.1241412612662973</c:v>
                </c:pt>
                <c:pt idx="7">
                  <c:v>4.3318048666457774</c:v>
                </c:pt>
                <c:pt idx="8">
                  <c:v>4.5275006886198206</c:v>
                </c:pt>
                <c:pt idx="9">
                  <c:v>4.7921138393345641</c:v>
                </c:pt>
                <c:pt idx="10">
                  <c:v>4.9883660913489667</c:v>
                </c:pt>
                <c:pt idx="11">
                  <c:v>5.2377081820461147</c:v>
                </c:pt>
                <c:pt idx="12">
                  <c:v>5.3887907984145027</c:v>
                </c:pt>
                <c:pt idx="13">
                  <c:v>5.5130160747279344</c:v>
                </c:pt>
                <c:pt idx="14">
                  <c:v>5.6510064782252849</c:v>
                </c:pt>
                <c:pt idx="15">
                  <c:v>5.8205127551579103</c:v>
                </c:pt>
                <c:pt idx="16">
                  <c:v>5.9604240652597253</c:v>
                </c:pt>
                <c:pt idx="17">
                  <c:v>6.0898424073386108</c:v>
                </c:pt>
                <c:pt idx="18">
                  <c:v>6.1797989303046768</c:v>
                </c:pt>
                <c:pt idx="19">
                  <c:v>6.2054174673150602</c:v>
                </c:pt>
                <c:pt idx="20">
                  <c:v>6.2815662281806128</c:v>
                </c:pt>
                <c:pt idx="21">
                  <c:v>6.6963496795680371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2-4A21-AC38-8FF739B8A8AF}"/>
            </c:ext>
          </c:extLst>
        </c:ser>
        <c:ser>
          <c:idx val="2"/>
          <c:order val="2"/>
          <c:tx>
            <c:strRef>
              <c:f>'Graph 3'!$A$8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22225">
              <a:noFill/>
            </a:ln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72-4A21-AC38-8FF739B8A8AF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72-4A21-AC38-8FF739B8A8AF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72-4A21-AC38-8FF739B8A8A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 3'!$B$5:$W$5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'Graph 3'!$B$8:$W$8</c:f>
              <c:numCache>
                <c:formatCode>0.0</c:formatCode>
                <c:ptCount val="22"/>
                <c:pt idx="0">
                  <c:v>3.6025251743307822</c:v>
                </c:pt>
                <c:pt idx="1">
                  <c:v>3.7820213195379249</c:v>
                </c:pt>
                <c:pt idx="2">
                  <c:v>4.0629710723591295</c:v>
                </c:pt>
                <c:pt idx="3">
                  <c:v>4.0075036673439302</c:v>
                </c:pt>
                <c:pt idx="4">
                  <c:v>3.9437985022973092</c:v>
                </c:pt>
                <c:pt idx="5">
                  <c:v>4.4258273705596558</c:v>
                </c:pt>
                <c:pt idx="6">
                  <c:v>5.0683780490565589</c:v>
                </c:pt>
                <c:pt idx="7">
                  <c:v>5.8546793185164132</c:v>
                </c:pt>
                <c:pt idx="8">
                  <c:v>5.3291722013801692</c:v>
                </c:pt>
                <c:pt idx="9">
                  <c:v>4.8135420094825703</c:v>
                </c:pt>
                <c:pt idx="10">
                  <c:v>4.8563451349234104</c:v>
                </c:pt>
                <c:pt idx="11">
                  <c:v>5.0368770242286578</c:v>
                </c:pt>
                <c:pt idx="12">
                  <c:v>5.222797863323791</c:v>
                </c:pt>
                <c:pt idx="13">
                  <c:v>5.4952346284861973</c:v>
                </c:pt>
                <c:pt idx="14">
                  <c:v>5.6250964528711371</c:v>
                </c:pt>
                <c:pt idx="15">
                  <c:v>5.6531572518339877</c:v>
                </c:pt>
                <c:pt idx="16">
                  <c:v>6.1107662212735265</c:v>
                </c:pt>
                <c:pt idx="17">
                  <c:v>6.2666650703488891</c:v>
                </c:pt>
                <c:pt idx="18">
                  <c:v>6.7341943124932744</c:v>
                </c:pt>
                <c:pt idx="19">
                  <c:v>7.1034665152746062</c:v>
                </c:pt>
                <c:pt idx="20">
                  <c:v>7.0167389512205709</c:v>
                </c:pt>
                <c:pt idx="21">
                  <c:v>7.6160957290385198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72-4A21-AC38-8FF739B8A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4310256"/>
        <c:axId val="1"/>
      </c:barChart>
      <c:catAx>
        <c:axId val="193431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0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0"/>
        <c:noMultiLvlLbl val="1"/>
      </c:catAx>
      <c:valAx>
        <c:axId val="1"/>
        <c:scaling>
          <c:orientation val="minMax"/>
          <c:max val="20"/>
        </c:scaling>
        <c:delete val="0"/>
        <c:axPos val="l"/>
        <c:majorGridlines>
          <c:spPr>
            <a:ln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34310256"/>
        <c:crosses val="autoZero"/>
        <c:crossBetween val="between"/>
        <c:majorUnit val="2"/>
      </c:valAx>
    </c:plotArea>
    <c:legend>
      <c:legendPos val="b"/>
      <c:layout>
        <c:manualLayout>
          <c:xMode val="edge"/>
          <c:yMode val="edge"/>
          <c:x val="6.3457022705850408E-2"/>
          <c:y val="0.91442215826917739"/>
          <c:w val="0.85328626969702359"/>
          <c:h val="6.3314390895943207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838200</xdr:colOff>
      <xdr:row>9</xdr:row>
      <xdr:rowOff>259080</xdr:rowOff>
    </xdr:from>
    <xdr:to>
      <xdr:col>13</xdr:col>
      <xdr:colOff>278130</xdr:colOff>
      <xdr:row>32</xdr:row>
      <xdr:rowOff>53340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2DC58CA-B8D9-4EC8-9BF9-95130D4CD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45726</xdr:colOff>
      <xdr:row>12</xdr:row>
      <xdr:rowOff>91440</xdr:rowOff>
    </xdr:from>
    <xdr:to>
      <xdr:col>11</xdr:col>
      <xdr:colOff>586740</xdr:colOff>
      <xdr:row>36</xdr:row>
      <xdr:rowOff>106680</xdr:rowOff>
    </xdr:to>
    <xdr:graphicFrame macro="">
      <xdr:nvGraphicFramePr>
        <xdr:cNvPr id="3" name="Graphique 1">
          <a:extLst>
            <a:ext uri="{FF2B5EF4-FFF2-40B4-BE49-F238E27FC236}">
              <a16:creationId xmlns:a16="http://schemas.microsoft.com/office/drawing/2014/main" id="{B6D3156E-018F-40F3-AE8F-03C52F790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91032</xdr:colOff>
      <xdr:row>15</xdr:row>
      <xdr:rowOff>9030</xdr:rowOff>
    </xdr:from>
    <xdr:to>
      <xdr:col>11</xdr:col>
      <xdr:colOff>261159</xdr:colOff>
      <xdr:row>34</xdr:row>
      <xdr:rowOff>13263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423334</xdr:colOff>
      <xdr:row>14</xdr:row>
      <xdr:rowOff>169333</xdr:rowOff>
    </xdr:from>
    <xdr:to>
      <xdr:col>21</xdr:col>
      <xdr:colOff>593461</xdr:colOff>
      <xdr:row>33</xdr:row>
      <xdr:rowOff>173567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F256910-D024-4266-8E75-475C82C37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0.21325</cdr:x>
      <cdr:y>0</cdr:y>
    </cdr:from>
    <cdr:to>
      <cdr:x>0.21449</cdr:x>
      <cdr:y>0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1843688" y="0"/>
          <a:ext cx="5204813" cy="4143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0.78515</cdr:x>
      <cdr:y>0.04453</cdr:y>
    </cdr:from>
    <cdr:to>
      <cdr:x>0.91583</cdr:x>
      <cdr:y>0.12183</cdr:y>
    </cdr:to>
    <cdr:sp macro="" textlink="">
      <cdr:nvSpPr>
        <cdr:cNvPr id="3" name="ZoneTexte 2"/>
        <cdr:cNvSpPr txBox="1"/>
      </cdr:nvSpPr>
      <cdr:spPr>
        <a:xfrm xmlns:a="http://schemas.openxmlformats.org/drawingml/2006/main">
          <a:off x="5075936" y="154357"/>
          <a:ext cx="844826" cy="267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900" b="1">
              <a:solidFill>
                <a:srgbClr val="465F9D"/>
              </a:solidFill>
              <a:latin typeface="Arial" panose="020B0604020202020204" pitchFamily="34" charset="0"/>
              <a:cs typeface="Arial" panose="020B0604020202020204" pitchFamily="34" charset="0"/>
            </a:rPr>
            <a:t>Entreprises</a:t>
          </a:r>
        </a:p>
      </cdr:txBody>
    </cdr:sp>
  </cdr:relSizeAnchor>
  <cdr:relSizeAnchor xmlns:cdr="http://schemas.openxmlformats.org/drawingml/2006/chartDrawing">
    <cdr:from>
      <cdr:x>0.85818</cdr:x>
      <cdr:y>0.08109</cdr:y>
    </cdr:from>
    <cdr:to>
      <cdr:x>0.92224</cdr:x>
      <cdr:y>0.13984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5548044" y="281087"/>
          <a:ext cx="414132" cy="203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900" b="1">
              <a:solidFill>
                <a:srgbClr val="465F9D"/>
              </a:solidFill>
              <a:latin typeface="Arial" panose="020B0604020202020204" pitchFamily="34" charset="0"/>
              <a:cs typeface="Arial" panose="020B0604020202020204" pitchFamily="34" charset="0"/>
            </a:rPr>
            <a:t>7,6</a:t>
          </a:r>
        </a:p>
      </cdr:txBody>
    </cdr:sp>
  </cdr:relSizeAnchor>
  <cdr:relSizeAnchor xmlns:cdr="http://schemas.openxmlformats.org/drawingml/2006/chartDrawing">
    <cdr:from>
      <cdr:x>0.84945</cdr:x>
      <cdr:y>0.21353</cdr:y>
    </cdr:from>
    <cdr:to>
      <cdr:x>0.95958</cdr:x>
      <cdr:y>0.27769</cdr:y>
    </cdr:to>
    <cdr:sp macro="" textlink="">
      <cdr:nvSpPr>
        <cdr:cNvPr id="5" name="ZoneTexte 1"/>
        <cdr:cNvSpPr txBox="1"/>
      </cdr:nvSpPr>
      <cdr:spPr>
        <a:xfrm xmlns:a="http://schemas.openxmlformats.org/drawingml/2006/main">
          <a:off x="5504812" y="725485"/>
          <a:ext cx="713691" cy="2179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rgbClr val="E5794A"/>
              </a:solidFill>
              <a:latin typeface="Arial" panose="020B0604020202020204" pitchFamily="34" charset="0"/>
              <a:cs typeface="Arial" panose="020B0604020202020204" pitchFamily="34" charset="0"/>
            </a:rPr>
            <a:t>Ménages</a:t>
          </a:r>
        </a:p>
      </cdr:txBody>
    </cdr:sp>
  </cdr:relSizeAnchor>
  <cdr:relSizeAnchor xmlns:cdr="http://schemas.openxmlformats.org/drawingml/2006/chartDrawing">
    <cdr:from>
      <cdr:x>0.8856</cdr:x>
      <cdr:y>0.25187</cdr:y>
    </cdr:from>
    <cdr:to>
      <cdr:x>0.95683</cdr:x>
      <cdr:y>0.31624</cdr:y>
    </cdr:to>
    <cdr:sp macro="" textlink="">
      <cdr:nvSpPr>
        <cdr:cNvPr id="6" name="ZoneTexte 1"/>
        <cdr:cNvSpPr txBox="1"/>
      </cdr:nvSpPr>
      <cdr:spPr>
        <a:xfrm xmlns:a="http://schemas.openxmlformats.org/drawingml/2006/main">
          <a:off x="5725311" y="873067"/>
          <a:ext cx="460496" cy="2231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rgbClr val="E5794A"/>
              </a:solidFill>
              <a:latin typeface="Arial" panose="020B0604020202020204" pitchFamily="34" charset="0"/>
              <a:cs typeface="Arial" panose="020B0604020202020204" pitchFamily="34" charset="0"/>
            </a:rPr>
            <a:t>6,7</a:t>
          </a:r>
        </a:p>
      </cdr:txBody>
    </cdr:sp>
  </cdr:relSizeAnchor>
  <cdr:relSizeAnchor xmlns:cdr="http://schemas.openxmlformats.org/drawingml/2006/chartDrawing">
    <cdr:from>
      <cdr:x>0.88124</cdr:x>
      <cdr:y>0.42329</cdr:y>
    </cdr:from>
    <cdr:to>
      <cdr:x>0.93633</cdr:x>
      <cdr:y>0.48204</cdr:y>
    </cdr:to>
    <cdr:sp macro="" textlink="">
      <cdr:nvSpPr>
        <cdr:cNvPr id="7" name="ZoneTexte 1"/>
        <cdr:cNvSpPr txBox="1"/>
      </cdr:nvSpPr>
      <cdr:spPr>
        <a:xfrm xmlns:a="http://schemas.openxmlformats.org/drawingml/2006/main">
          <a:off x="5697132" y="1467277"/>
          <a:ext cx="356152" cy="203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rgbClr val="00A95F"/>
              </a:solidFill>
              <a:latin typeface="Arial" panose="020B0604020202020204" pitchFamily="34" charset="0"/>
              <a:cs typeface="Arial" panose="020B0604020202020204" pitchFamily="34" charset="0"/>
            </a:rPr>
            <a:t>5,3</a:t>
          </a:r>
        </a:p>
      </cdr:txBody>
    </cdr:sp>
  </cdr:relSizeAnchor>
  <cdr:relSizeAnchor xmlns:cdr="http://schemas.openxmlformats.org/drawingml/2006/chartDrawing">
    <cdr:from>
      <cdr:x>0.81846</cdr:x>
      <cdr:y>0.33746</cdr:y>
    </cdr:from>
    <cdr:to>
      <cdr:x>0.96836</cdr:x>
      <cdr:y>0.48095</cdr:y>
    </cdr:to>
    <cdr:sp macro="" textlink="">
      <cdr:nvSpPr>
        <cdr:cNvPr id="8" name="ZoneTexte 1"/>
        <cdr:cNvSpPr txBox="1"/>
      </cdr:nvSpPr>
      <cdr:spPr>
        <a:xfrm xmlns:a="http://schemas.openxmlformats.org/drawingml/2006/main">
          <a:off x="5291284" y="1169759"/>
          <a:ext cx="969066" cy="4973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800" b="1">
              <a:solidFill>
                <a:srgbClr val="00A95F"/>
              </a:solidFill>
              <a:latin typeface="Arial" panose="020B0604020202020204" pitchFamily="34" charset="0"/>
              <a:cs typeface="Arial" panose="020B0604020202020204" pitchFamily="34" charset="0"/>
            </a:rPr>
            <a:t>Administrations</a:t>
          </a:r>
        </a:p>
        <a:p xmlns:a="http://schemas.openxmlformats.org/drawingml/2006/main">
          <a:r>
            <a:rPr lang="fr-FR" sz="800" b="1">
              <a:solidFill>
                <a:srgbClr val="00A95F"/>
              </a:solidFill>
              <a:latin typeface="Arial" panose="020B0604020202020204" pitchFamily="34" charset="0"/>
              <a:cs typeface="Arial" panose="020B0604020202020204" pitchFamily="34" charset="0"/>
            </a:rPr>
            <a:t>publiques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0.21325</cdr:x>
      <cdr:y>0</cdr:y>
    </cdr:from>
    <cdr:to>
      <cdr:x>0.21449</cdr:x>
      <cdr:y>0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1843688" y="0"/>
          <a:ext cx="5204813" cy="4143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G17"/>
  <sheetViews>
    <sheetView showGridLines="0" tabSelected="1" workbookViewId="0">
      <selection activeCell="H19" sqref="H19"/>
    </sheetView>
  </sheetViews>
  <sheetFormatPr baseColWidth="10" defaultRowHeight="13.8" x14ac:dyDescent="0.25"/>
  <cols>
    <col min="1" max="1" width="18.19921875" customWidth="1"/>
    <col min="2" max="2" width="13.59765625" customWidth="1"/>
    <col min="3" max="3" width="13" customWidth="1"/>
    <col min="4" max="4" width="16" customWidth="1"/>
    <col min="5" max="5" width="14.59765625" customWidth="1"/>
  </cols>
  <sheetData>
    <row r="1" spans="1:7" x14ac:dyDescent="0.25">
      <c r="A1" s="6" t="s">
        <v>43</v>
      </c>
    </row>
    <row r="4" spans="1:7" ht="52.8" x14ac:dyDescent="0.25">
      <c r="A4" s="47"/>
      <c r="B4" s="48" t="s">
        <v>11</v>
      </c>
      <c r="C4" s="65" t="s">
        <v>8</v>
      </c>
      <c r="D4" s="48" t="s">
        <v>41</v>
      </c>
      <c r="E4" s="65" t="s">
        <v>9</v>
      </c>
    </row>
    <row r="5" spans="1:7" x14ac:dyDescent="0.25">
      <c r="A5" s="4" t="s">
        <v>44</v>
      </c>
      <c r="B5" s="2">
        <v>2153013</v>
      </c>
      <c r="C5" s="66">
        <v>95530</v>
      </c>
      <c r="D5" s="45">
        <v>4.8</v>
      </c>
      <c r="E5" s="68">
        <v>1.7</v>
      </c>
      <c r="F5" s="1"/>
    </row>
    <row r="6" spans="1:7" x14ac:dyDescent="0.25">
      <c r="A6" s="4" t="s">
        <v>10</v>
      </c>
      <c r="B6" s="2">
        <v>401156</v>
      </c>
      <c r="C6" s="66">
        <v>23415</v>
      </c>
      <c r="D6" s="45">
        <v>4.8</v>
      </c>
      <c r="E6" s="68">
        <v>1.8</v>
      </c>
      <c r="F6" s="1"/>
    </row>
    <row r="7" spans="1:7" x14ac:dyDescent="0.25">
      <c r="A7" s="5" t="s">
        <v>1</v>
      </c>
      <c r="B7" s="3">
        <v>309439</v>
      </c>
      <c r="C7" s="67">
        <v>11241</v>
      </c>
      <c r="D7" s="46">
        <v>4.5999999999999996</v>
      </c>
      <c r="E7" s="69">
        <v>1.5</v>
      </c>
      <c r="F7" s="1"/>
    </row>
    <row r="8" spans="1:7" x14ac:dyDescent="0.25">
      <c r="A8" s="50" t="s">
        <v>2</v>
      </c>
      <c r="B8" s="2">
        <v>174888</v>
      </c>
      <c r="C8" s="66">
        <v>9962</v>
      </c>
      <c r="D8" s="45">
        <v>2.9</v>
      </c>
      <c r="E8" s="68">
        <v>1.8</v>
      </c>
      <c r="F8" s="1"/>
    </row>
    <row r="9" spans="1:7" x14ac:dyDescent="0.25">
      <c r="A9" s="50" t="s">
        <v>4</v>
      </c>
      <c r="B9" s="2">
        <v>170234</v>
      </c>
      <c r="C9" s="66">
        <v>2255</v>
      </c>
      <c r="D9" s="45">
        <v>4.5</v>
      </c>
      <c r="E9" s="68">
        <v>1.9</v>
      </c>
      <c r="F9" s="1"/>
    </row>
    <row r="10" spans="1:7" x14ac:dyDescent="0.25">
      <c r="A10" s="50" t="s">
        <v>7</v>
      </c>
      <c r="B10" s="2">
        <v>151824</v>
      </c>
      <c r="C10" s="66">
        <v>7949</v>
      </c>
      <c r="D10" s="45">
        <v>14.7</v>
      </c>
      <c r="E10" s="68">
        <v>2</v>
      </c>
      <c r="F10" s="1"/>
    </row>
    <row r="11" spans="1:7" x14ac:dyDescent="0.25">
      <c r="A11" s="50" t="s">
        <v>5</v>
      </c>
      <c r="B11" s="2">
        <v>141364</v>
      </c>
      <c r="C11" s="66">
        <v>775</v>
      </c>
      <c r="D11" s="45">
        <v>7.3</v>
      </c>
      <c r="E11" s="68">
        <v>1</v>
      </c>
      <c r="F11" s="1"/>
    </row>
    <row r="12" spans="1:7" x14ac:dyDescent="0.25">
      <c r="A12" s="50" t="s">
        <v>3</v>
      </c>
      <c r="B12" s="2">
        <v>125139</v>
      </c>
      <c r="C12" s="66">
        <v>5022</v>
      </c>
      <c r="D12" s="45">
        <v>7.2</v>
      </c>
      <c r="E12" s="68">
        <v>2.6</v>
      </c>
      <c r="F12" s="1"/>
      <c r="G12" s="1"/>
    </row>
    <row r="13" spans="1:7" x14ac:dyDescent="0.25">
      <c r="A13" s="50" t="s">
        <v>0</v>
      </c>
      <c r="B13" s="2">
        <v>116387</v>
      </c>
      <c r="C13" s="66">
        <v>13952</v>
      </c>
      <c r="D13" s="45">
        <v>16.8</v>
      </c>
      <c r="E13" s="68">
        <v>2.7</v>
      </c>
      <c r="F13" s="1"/>
    </row>
    <row r="14" spans="1:7" x14ac:dyDescent="0.25">
      <c r="A14" s="50" t="s">
        <v>6</v>
      </c>
      <c r="B14" s="2">
        <v>116083</v>
      </c>
      <c r="C14" s="66">
        <v>3273</v>
      </c>
      <c r="D14" s="45">
        <v>21</v>
      </c>
      <c r="E14" s="68">
        <v>2.2000000000000002</v>
      </c>
      <c r="F14" s="1"/>
    </row>
    <row r="15" spans="1:7" x14ac:dyDescent="0.25">
      <c r="A15" s="50" t="s">
        <v>45</v>
      </c>
      <c r="B15" s="2">
        <v>105624</v>
      </c>
      <c r="C15" s="66">
        <v>3305</v>
      </c>
      <c r="D15" s="45">
        <v>2.2000000000000002</v>
      </c>
      <c r="E15" s="68">
        <v>1.4</v>
      </c>
      <c r="F15" s="1"/>
    </row>
    <row r="17" spans="1:2" x14ac:dyDescent="0.25">
      <c r="A17" s="43" t="s">
        <v>51</v>
      </c>
      <c r="B17" s="1"/>
    </row>
  </sheetData>
  <sortState xmlns:xlrd2="http://schemas.microsoft.com/office/spreadsheetml/2017/richdata2" ref="A5:E33">
    <sortCondition descending="1" ref="B5:B3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K13"/>
  <sheetViews>
    <sheetView showGridLines="0" workbookViewId="0">
      <selection activeCell="D12" sqref="D12"/>
    </sheetView>
  </sheetViews>
  <sheetFormatPr baseColWidth="10" defaultColWidth="11" defaultRowHeight="14.4" x14ac:dyDescent="0.3"/>
  <cols>
    <col min="1" max="1" width="15.3984375" style="7" customWidth="1"/>
    <col min="2" max="2" width="10.09765625" style="7" customWidth="1"/>
    <col min="3" max="3" width="8.19921875" style="7" customWidth="1"/>
    <col min="4" max="4" width="10.69921875" style="7" bestFit="1" customWidth="1"/>
    <col min="5" max="5" width="19.19921875" style="7" customWidth="1"/>
    <col min="6" max="7" width="8.69921875" style="7" customWidth="1"/>
    <col min="8" max="8" width="9.19921875" style="7" customWidth="1"/>
    <col min="9" max="16384" width="11" style="7"/>
  </cols>
  <sheetData>
    <row r="1" spans="1:11" ht="15" thickBot="1" x14ac:dyDescent="0.35">
      <c r="A1" s="70" t="s">
        <v>46</v>
      </c>
      <c r="B1" s="71"/>
      <c r="C1" s="71"/>
      <c r="D1" s="71"/>
      <c r="E1" s="71"/>
      <c r="F1" s="71"/>
      <c r="G1" s="71"/>
      <c r="H1" s="72"/>
    </row>
    <row r="2" spans="1:11" x14ac:dyDescent="0.3">
      <c r="A2" s="49"/>
      <c r="B2" s="49"/>
      <c r="C2" s="49"/>
      <c r="D2" s="49"/>
      <c r="E2" s="49"/>
      <c r="F2" s="49"/>
      <c r="G2" s="49"/>
      <c r="H2" s="49"/>
    </row>
    <row r="3" spans="1:11" x14ac:dyDescent="0.3">
      <c r="A3" s="12"/>
      <c r="B3" s="11"/>
      <c r="C3" s="11"/>
      <c r="D3" s="11"/>
      <c r="E3" s="11"/>
      <c r="F3" s="11"/>
      <c r="G3" s="11"/>
      <c r="H3" s="11"/>
    </row>
    <row r="4" spans="1:11" s="59" customFormat="1" ht="13.8" x14ac:dyDescent="0.25">
      <c r="A4" s="75"/>
      <c r="B4" s="76" t="s">
        <v>25</v>
      </c>
      <c r="C4" s="77"/>
      <c r="D4" s="77"/>
      <c r="E4" s="77"/>
      <c r="F4" s="77"/>
      <c r="G4" s="77"/>
      <c r="H4" s="78"/>
    </row>
    <row r="5" spans="1:11" s="59" customFormat="1" ht="39.6" customHeight="1" x14ac:dyDescent="0.25">
      <c r="A5" s="79" t="s">
        <v>42</v>
      </c>
      <c r="B5" s="80" t="s">
        <v>24</v>
      </c>
      <c r="C5" s="81" t="s">
        <v>23</v>
      </c>
      <c r="D5" s="81" t="s">
        <v>22</v>
      </c>
      <c r="E5" s="81" t="s">
        <v>21</v>
      </c>
      <c r="F5" s="81" t="s">
        <v>20</v>
      </c>
      <c r="G5" s="81" t="s">
        <v>19</v>
      </c>
      <c r="H5" s="81" t="s">
        <v>18</v>
      </c>
      <c r="J5" s="60"/>
    </row>
    <row r="6" spans="1:11" s="63" customFormat="1" ht="29.7" customHeight="1" x14ac:dyDescent="0.25">
      <c r="A6" s="82" t="s">
        <v>17</v>
      </c>
      <c r="B6" s="83">
        <v>0</v>
      </c>
      <c r="C6" s="84">
        <v>1141</v>
      </c>
      <c r="D6" s="84">
        <v>197394</v>
      </c>
      <c r="E6" s="85">
        <v>2978</v>
      </c>
      <c r="F6" s="84">
        <v>839</v>
      </c>
      <c r="G6" s="84">
        <v>2893</v>
      </c>
      <c r="H6" s="84">
        <v>205245</v>
      </c>
      <c r="I6" s="61"/>
      <c r="J6" s="62"/>
    </row>
    <row r="7" spans="1:11" s="63" customFormat="1" ht="36" x14ac:dyDescent="0.25">
      <c r="A7" s="82" t="s">
        <v>16</v>
      </c>
      <c r="B7" s="83">
        <v>954</v>
      </c>
      <c r="C7" s="84">
        <v>15096</v>
      </c>
      <c r="D7" s="84">
        <v>12724</v>
      </c>
      <c r="E7" s="85">
        <v>18435</v>
      </c>
      <c r="F7" s="84">
        <v>15988</v>
      </c>
      <c r="G7" s="84">
        <v>29756</v>
      </c>
      <c r="H7" s="84">
        <v>92953</v>
      </c>
      <c r="I7" s="61"/>
      <c r="J7" s="62"/>
    </row>
    <row r="8" spans="1:11" s="63" customFormat="1" ht="13.8" x14ac:dyDescent="0.25">
      <c r="A8" s="82" t="s">
        <v>15</v>
      </c>
      <c r="B8" s="83">
        <v>337</v>
      </c>
      <c r="C8" s="84">
        <v>2399</v>
      </c>
      <c r="D8" s="84">
        <v>2615</v>
      </c>
      <c r="E8" s="85">
        <v>3609</v>
      </c>
      <c r="F8" s="84">
        <v>1387</v>
      </c>
      <c r="G8" s="84">
        <v>894</v>
      </c>
      <c r="H8" s="84">
        <v>11241</v>
      </c>
      <c r="I8" s="61"/>
      <c r="J8" s="62"/>
    </row>
    <row r="9" spans="1:11" s="63" customFormat="1" ht="16.8" customHeight="1" x14ac:dyDescent="0.25">
      <c r="A9" s="86" t="s">
        <v>14</v>
      </c>
      <c r="B9" s="87">
        <v>1291</v>
      </c>
      <c r="C9" s="88">
        <v>18636</v>
      </c>
      <c r="D9" s="88">
        <v>212733</v>
      </c>
      <c r="E9" s="89">
        <v>25022</v>
      </c>
      <c r="F9" s="88">
        <v>18214</v>
      </c>
      <c r="G9" s="88">
        <v>33544</v>
      </c>
      <c r="H9" s="88">
        <v>309439</v>
      </c>
      <c r="I9" s="61"/>
    </row>
    <row r="10" spans="1:11" s="63" customFormat="1" ht="21.6" customHeight="1" x14ac:dyDescent="0.25">
      <c r="A10" s="90" t="s">
        <v>13</v>
      </c>
      <c r="B10" s="91">
        <v>1290</v>
      </c>
      <c r="C10" s="92">
        <v>18280</v>
      </c>
      <c r="D10" s="92">
        <v>212731</v>
      </c>
      <c r="E10" s="93">
        <v>14909</v>
      </c>
      <c r="F10" s="92">
        <v>18193</v>
      </c>
      <c r="G10" s="92">
        <v>33544</v>
      </c>
      <c r="H10" s="92">
        <v>298947</v>
      </c>
      <c r="I10" s="61"/>
      <c r="J10" s="61"/>
      <c r="K10" s="61"/>
    </row>
    <row r="11" spans="1:11" s="63" customFormat="1" ht="13.8" x14ac:dyDescent="0.25">
      <c r="A11" s="10"/>
      <c r="B11" s="64"/>
      <c r="C11" s="64"/>
      <c r="D11" s="64"/>
      <c r="E11" s="64"/>
      <c r="F11" s="64"/>
      <c r="G11" s="64"/>
      <c r="H11" s="64"/>
    </row>
    <row r="12" spans="1:11" s="59" customFormat="1" ht="13.8" x14ac:dyDescent="0.25">
      <c r="A12" s="9" t="s">
        <v>52</v>
      </c>
    </row>
    <row r="13" spans="1:11" x14ac:dyDescent="0.3">
      <c r="B13" s="8"/>
      <c r="C13" s="8"/>
      <c r="D13" s="8"/>
      <c r="E13" s="8"/>
      <c r="F13" s="8"/>
      <c r="G13" s="8"/>
      <c r="H13" s="8"/>
      <c r="I13" s="8"/>
      <c r="J13" s="8"/>
    </row>
  </sheetData>
  <mergeCells count="2">
    <mergeCell ref="A1:H1"/>
    <mergeCell ref="B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showGridLines="0" topLeftCell="A10" workbookViewId="0">
      <selection activeCell="F29" sqref="F29"/>
    </sheetView>
  </sheetViews>
  <sheetFormatPr baseColWidth="10" defaultColWidth="11" defaultRowHeight="14.4" x14ac:dyDescent="0.3"/>
  <cols>
    <col min="1" max="1" width="11" style="7"/>
    <col min="2" max="3" width="12.69921875" style="7" customWidth="1"/>
    <col min="4" max="4" width="15.09765625" style="7" bestFit="1" customWidth="1"/>
    <col min="5" max="5" width="14.19921875" style="7" bestFit="1" customWidth="1"/>
    <col min="6" max="6" width="13.59765625" style="7" bestFit="1" customWidth="1"/>
    <col min="7" max="7" width="14.5" style="7" bestFit="1" customWidth="1"/>
    <col min="8" max="16384" width="11" style="7"/>
  </cols>
  <sheetData>
    <row r="1" spans="1:15" ht="15" thickBot="1" x14ac:dyDescent="0.35">
      <c r="A1" s="30"/>
      <c r="B1" s="30"/>
      <c r="C1" s="30"/>
    </row>
    <row r="2" spans="1:15" ht="15" thickBot="1" x14ac:dyDescent="0.35">
      <c r="A2" s="73" t="s">
        <v>53</v>
      </c>
      <c r="B2" s="74"/>
      <c r="C2" s="74"/>
      <c r="D2" s="74"/>
      <c r="E2" s="74"/>
      <c r="F2" s="74"/>
      <c r="G2" s="33"/>
    </row>
    <row r="3" spans="1:15" ht="64.95" customHeight="1" x14ac:dyDescent="0.3">
      <c r="A3" s="34"/>
      <c r="B3" s="34"/>
      <c r="C3" s="34"/>
      <c r="D3" s="34"/>
      <c r="E3" s="34"/>
      <c r="F3" s="34"/>
      <c r="G3" s="34"/>
    </row>
    <row r="4" spans="1:15" ht="15" customHeight="1" x14ac:dyDescent="0.3">
      <c r="A4" s="42"/>
      <c r="B4" s="38" t="s">
        <v>27</v>
      </c>
      <c r="C4" s="37" t="s">
        <v>47</v>
      </c>
      <c r="D4" s="37" t="s">
        <v>29</v>
      </c>
      <c r="E4" s="38" t="s">
        <v>30</v>
      </c>
      <c r="F4" s="38" t="s">
        <v>48</v>
      </c>
      <c r="G4" s="38" t="s">
        <v>26</v>
      </c>
      <c r="I4" s="42"/>
      <c r="J4" s="38" t="s">
        <v>27</v>
      </c>
      <c r="K4" s="37" t="s">
        <v>47</v>
      </c>
      <c r="L4" s="37" t="s">
        <v>29</v>
      </c>
      <c r="M4" s="38" t="s">
        <v>30</v>
      </c>
      <c r="N4" s="38" t="s">
        <v>48</v>
      </c>
      <c r="O4" s="38" t="s">
        <v>26</v>
      </c>
    </row>
    <row r="5" spans="1:15" ht="26.4" x14ac:dyDescent="0.3">
      <c r="A5" s="36" t="s">
        <v>38</v>
      </c>
      <c r="B5" s="40">
        <v>97633</v>
      </c>
      <c r="C5" s="40">
        <v>48194</v>
      </c>
      <c r="D5" s="39">
        <v>84</v>
      </c>
      <c r="E5" s="39">
        <v>9</v>
      </c>
      <c r="F5" s="40">
        <v>34037</v>
      </c>
      <c r="G5" s="40">
        <f>SUM(B5:F5)</f>
        <v>179957</v>
      </c>
      <c r="I5" s="36" t="s">
        <v>38</v>
      </c>
      <c r="J5" s="40">
        <f>B5/$G5*100</f>
        <v>54.253516117739245</v>
      </c>
      <c r="K5" s="40">
        <f t="shared" ref="K5:O8" si="0">C5/$G5*100</f>
        <v>26.780842090054847</v>
      </c>
      <c r="L5" s="40">
        <f t="shared" si="0"/>
        <v>4.667781747861989E-2</v>
      </c>
      <c r="M5" s="40">
        <f t="shared" si="0"/>
        <v>5.0011947298521315E-3</v>
      </c>
      <c r="N5" s="40">
        <f t="shared" si="0"/>
        <v>18.913962779997444</v>
      </c>
      <c r="O5" s="40">
        <f t="shared" si="0"/>
        <v>100</v>
      </c>
    </row>
    <row r="6" spans="1:15" ht="52.8" x14ac:dyDescent="0.3">
      <c r="A6" s="36" t="s">
        <v>16</v>
      </c>
      <c r="B6" s="40">
        <v>34112</v>
      </c>
      <c r="C6" s="40">
        <v>329</v>
      </c>
      <c r="D6" s="39">
        <v>21351</v>
      </c>
      <c r="E6" s="39">
        <v>2483</v>
      </c>
      <c r="F6" s="40">
        <v>20944</v>
      </c>
      <c r="G6" s="40">
        <f>SUM(B6:F6)</f>
        <v>79219</v>
      </c>
      <c r="I6" s="36" t="s">
        <v>16</v>
      </c>
      <c r="J6" s="40">
        <f t="shared" ref="J6:J8" si="1">B6/$G6*100</f>
        <v>43.06037692977695</v>
      </c>
      <c r="K6" s="40">
        <f t="shared" si="0"/>
        <v>0.41530440929574974</v>
      </c>
      <c r="L6" s="40">
        <f t="shared" si="0"/>
        <v>26.951867607518398</v>
      </c>
      <c r="M6" s="40">
        <f t="shared" si="0"/>
        <v>3.1343490829220264</v>
      </c>
      <c r="N6" s="40">
        <f t="shared" si="0"/>
        <v>26.438101970486876</v>
      </c>
      <c r="O6" s="40">
        <f t="shared" si="0"/>
        <v>100</v>
      </c>
    </row>
    <row r="7" spans="1:15" ht="26.4" x14ac:dyDescent="0.3">
      <c r="A7" s="36" t="s">
        <v>15</v>
      </c>
      <c r="B7" s="40">
        <v>2111</v>
      </c>
      <c r="C7" s="58">
        <v>0</v>
      </c>
      <c r="D7" s="39">
        <v>1073</v>
      </c>
      <c r="E7" s="39">
        <v>1684</v>
      </c>
      <c r="F7" s="40">
        <v>2190</v>
      </c>
      <c r="G7" s="40">
        <f>SUM(B7:F7)</f>
        <v>7058</v>
      </c>
      <c r="H7" s="52"/>
      <c r="I7" s="36" t="s">
        <v>15</v>
      </c>
      <c r="J7" s="40">
        <f t="shared" si="1"/>
        <v>29.909322754321337</v>
      </c>
      <c r="K7" s="58">
        <v>0</v>
      </c>
      <c r="L7" s="40">
        <f t="shared" si="0"/>
        <v>15.202606970813262</v>
      </c>
      <c r="M7" s="40">
        <f t="shared" si="0"/>
        <v>23.859450269198074</v>
      </c>
      <c r="N7" s="40">
        <f t="shared" si="0"/>
        <v>31.028620005667328</v>
      </c>
      <c r="O7" s="40">
        <f t="shared" si="0"/>
        <v>100</v>
      </c>
    </row>
    <row r="8" spans="1:15" ht="26.4" x14ac:dyDescent="0.3">
      <c r="A8" s="36" t="s">
        <v>50</v>
      </c>
      <c r="B8" s="41">
        <f t="shared" ref="B8:G8" si="2">SUM(B5:B7)</f>
        <v>133856</v>
      </c>
      <c r="C8" s="41">
        <f t="shared" si="2"/>
        <v>48523</v>
      </c>
      <c r="D8" s="41">
        <f t="shared" si="2"/>
        <v>22508</v>
      </c>
      <c r="E8" s="41">
        <f t="shared" si="2"/>
        <v>4176</v>
      </c>
      <c r="F8" s="41">
        <f t="shared" si="2"/>
        <v>57171</v>
      </c>
      <c r="G8" s="41">
        <f t="shared" si="2"/>
        <v>266234</v>
      </c>
      <c r="I8" s="36" t="s">
        <v>50</v>
      </c>
      <c r="J8" s="40">
        <f t="shared" si="1"/>
        <v>50.277575366031392</v>
      </c>
      <c r="K8" s="40">
        <f t="shared" si="0"/>
        <v>18.225696192071634</v>
      </c>
      <c r="L8" s="40">
        <f t="shared" si="0"/>
        <v>8.454216967029005</v>
      </c>
      <c r="M8" s="40">
        <f t="shared" si="0"/>
        <v>1.5685449642044218</v>
      </c>
      <c r="N8" s="40">
        <f t="shared" si="0"/>
        <v>21.473966510663551</v>
      </c>
      <c r="O8" s="40">
        <f t="shared" si="0"/>
        <v>100</v>
      </c>
    </row>
    <row r="9" spans="1:15" x14ac:dyDescent="0.3">
      <c r="A9" s="31"/>
      <c r="B9" s="31"/>
      <c r="C9" s="31"/>
    </row>
    <row r="10" spans="1:15" ht="26.4" x14ac:dyDescent="0.3">
      <c r="A10" s="13" t="s">
        <v>54</v>
      </c>
      <c r="B10" s="13"/>
      <c r="C10" s="13"/>
      <c r="D10" s="32"/>
      <c r="E10" s="32"/>
      <c r="F10" s="32"/>
      <c r="G10" s="35"/>
    </row>
    <row r="11" spans="1:15" x14ac:dyDescent="0.3">
      <c r="A11" s="31"/>
      <c r="B11" s="31"/>
      <c r="C11" s="31"/>
    </row>
    <row r="12" spans="1:15" x14ac:dyDescent="0.3">
      <c r="B12" s="51"/>
      <c r="C12" s="51"/>
    </row>
    <row r="14" spans="1:15" x14ac:dyDescent="0.3">
      <c r="B14" s="8"/>
    </row>
  </sheetData>
  <mergeCells count="1">
    <mergeCell ref="A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"/>
  <sheetViews>
    <sheetView showGridLines="0" topLeftCell="A10" workbookViewId="0">
      <selection activeCell="O27" sqref="O27"/>
    </sheetView>
  </sheetViews>
  <sheetFormatPr baseColWidth="10" defaultColWidth="8.09765625" defaultRowHeight="14.4" x14ac:dyDescent="0.3"/>
  <cols>
    <col min="1" max="1" width="43.19921875" style="14" customWidth="1"/>
    <col min="2" max="5" width="11.69921875" style="14" customWidth="1"/>
    <col min="6" max="7" width="8.8984375" style="14" bestFit="1" customWidth="1"/>
    <col min="8" max="16384" width="8.09765625" style="14"/>
  </cols>
  <sheetData>
    <row r="1" spans="1:14" x14ac:dyDescent="0.3">
      <c r="A1" s="55" t="s">
        <v>58</v>
      </c>
    </row>
    <row r="2" spans="1:14" x14ac:dyDescent="0.3">
      <c r="A2" s="55" t="s">
        <v>60</v>
      </c>
      <c r="B2" s="14">
        <v>2016</v>
      </c>
      <c r="C2" s="14">
        <v>2017</v>
      </c>
      <c r="D2" s="14">
        <v>2018</v>
      </c>
      <c r="E2" s="14">
        <v>2019</v>
      </c>
      <c r="F2" s="14">
        <v>2020</v>
      </c>
      <c r="G2" s="14">
        <v>2021</v>
      </c>
      <c r="I2" s="14">
        <v>2016</v>
      </c>
      <c r="J2" s="14">
        <v>2017</v>
      </c>
      <c r="K2" s="14">
        <v>2018</v>
      </c>
      <c r="L2" s="14">
        <v>2019</v>
      </c>
      <c r="M2" s="14">
        <v>2020</v>
      </c>
      <c r="N2" s="14">
        <v>2021</v>
      </c>
    </row>
    <row r="3" spans="1:14" x14ac:dyDescent="0.3">
      <c r="A3" s="15" t="s">
        <v>56</v>
      </c>
      <c r="B3" s="54">
        <v>36890630</v>
      </c>
      <c r="C3" s="54">
        <v>37357200</v>
      </c>
      <c r="D3" s="54">
        <v>37379890</v>
      </c>
      <c r="E3" s="54">
        <v>37407020</v>
      </c>
      <c r="F3" s="54">
        <v>36370390</v>
      </c>
      <c r="G3" s="54">
        <v>38272350</v>
      </c>
    </row>
    <row r="4" spans="1:14" x14ac:dyDescent="0.3">
      <c r="A4" s="15" t="s">
        <v>57</v>
      </c>
      <c r="B4" s="54">
        <f>SUM(B5:B10)</f>
        <v>36930190</v>
      </c>
      <c r="C4" s="54">
        <f>SUM(C5:C10)</f>
        <v>37338500</v>
      </c>
      <c r="D4" s="54">
        <f>SUM(D5:D10)</f>
        <v>36602680</v>
      </c>
      <c r="E4" s="54">
        <f>SUM(E5:E10)</f>
        <v>36565610</v>
      </c>
      <c r="F4" s="54">
        <f t="shared" ref="F4:G4" si="0">SUM(F5:F10)</f>
        <v>36176450</v>
      </c>
      <c r="G4" s="54">
        <f t="shared" si="0"/>
        <v>37920810</v>
      </c>
      <c r="I4" s="56">
        <f>I6+I5+I7</f>
        <v>39.698116906520113</v>
      </c>
      <c r="J4" s="56">
        <f t="shared" ref="J4:N4" si="1">J6+J5+J7</f>
        <v>40.185760006427685</v>
      </c>
      <c r="K4" s="56">
        <f t="shared" si="1"/>
        <v>41.59941293916183</v>
      </c>
      <c r="L4" s="56">
        <f t="shared" si="1"/>
        <v>41.990766734097967</v>
      </c>
      <c r="M4" s="56">
        <f t="shared" si="1"/>
        <v>41.955222250939492</v>
      </c>
      <c r="N4" s="56">
        <f t="shared" si="1"/>
        <v>44.161055631459348</v>
      </c>
    </row>
    <row r="5" spans="1:14" x14ac:dyDescent="0.3">
      <c r="A5" s="15" t="s">
        <v>55</v>
      </c>
      <c r="B5" s="54">
        <v>152240</v>
      </c>
      <c r="C5" s="54">
        <v>161420</v>
      </c>
      <c r="D5" s="54">
        <v>173600</v>
      </c>
      <c r="E5" s="54">
        <v>193840</v>
      </c>
      <c r="F5" s="54">
        <v>150060</v>
      </c>
      <c r="G5" s="54">
        <v>174800</v>
      </c>
      <c r="I5" s="56">
        <f>B5/B$4*100</f>
        <v>0.41223725087794022</v>
      </c>
      <c r="J5" s="56">
        <f t="shared" ref="J5:J10" si="2">C5/C$4*100</f>
        <v>0.43231517066834502</v>
      </c>
      <c r="K5" s="56">
        <f t="shared" ref="K5:K10" si="3">D5/D$4*100</f>
        <v>0.4742822110293563</v>
      </c>
      <c r="L5" s="56">
        <f t="shared" ref="L5:L10" si="4">E5/E$4*100</f>
        <v>0.5301155922190276</v>
      </c>
      <c r="M5" s="56">
        <f t="shared" ref="M5:M10" si="5">F5/F$4*100</f>
        <v>0.41480023606517502</v>
      </c>
      <c r="N5" s="56">
        <f t="shared" ref="N5:N10" si="6">G5/G$4*100</f>
        <v>0.46096061766613111</v>
      </c>
    </row>
    <row r="6" spans="1:14" x14ac:dyDescent="0.3">
      <c r="A6" s="15" t="s">
        <v>27</v>
      </c>
      <c r="B6" s="54">
        <v>7992480</v>
      </c>
      <c r="C6" s="54">
        <v>8181820</v>
      </c>
      <c r="D6" s="54">
        <v>7960410</v>
      </c>
      <c r="E6" s="54">
        <v>8168220</v>
      </c>
      <c r="F6" s="54">
        <v>8494980</v>
      </c>
      <c r="G6" s="54">
        <v>9514950</v>
      </c>
      <c r="I6" s="56">
        <f>B6/B$4*100</f>
        <v>21.642130733689697</v>
      </c>
      <c r="J6" s="56">
        <f t="shared" si="2"/>
        <v>21.912556744379128</v>
      </c>
      <c r="K6" s="56">
        <f t="shared" si="3"/>
        <v>21.748161610024184</v>
      </c>
      <c r="L6" s="56">
        <f t="shared" si="4"/>
        <v>22.338530657631583</v>
      </c>
      <c r="M6" s="56">
        <f t="shared" si="5"/>
        <v>23.482071900366122</v>
      </c>
      <c r="N6" s="56">
        <f t="shared" si="6"/>
        <v>25.091631745207977</v>
      </c>
    </row>
    <row r="7" spans="1:14" x14ac:dyDescent="0.3">
      <c r="A7" s="15" t="s">
        <v>28</v>
      </c>
      <c r="B7" s="54">
        <v>6515870</v>
      </c>
      <c r="C7" s="54">
        <v>6661520</v>
      </c>
      <c r="D7" s="54">
        <v>7092490</v>
      </c>
      <c r="E7" s="54">
        <v>6992120</v>
      </c>
      <c r="F7" s="54">
        <v>6532870</v>
      </c>
      <c r="G7" s="54">
        <v>7056480</v>
      </c>
      <c r="I7" s="56">
        <f t="shared" ref="I7:I10" si="7">B7/B$4*100</f>
        <v>17.643748921952472</v>
      </c>
      <c r="J7" s="56">
        <f t="shared" si="2"/>
        <v>17.840888091380211</v>
      </c>
      <c r="K7" s="56">
        <f t="shared" si="3"/>
        <v>19.376969118108292</v>
      </c>
      <c r="L7" s="56">
        <f t="shared" si="4"/>
        <v>19.122120484247358</v>
      </c>
      <c r="M7" s="56">
        <f t="shared" si="5"/>
        <v>18.058350114508194</v>
      </c>
      <c r="N7" s="56">
        <f t="shared" si="6"/>
        <v>18.608463268585243</v>
      </c>
    </row>
    <row r="8" spans="1:14" x14ac:dyDescent="0.3">
      <c r="A8" s="15" t="s">
        <v>29</v>
      </c>
      <c r="B8" s="54">
        <v>11602270</v>
      </c>
      <c r="C8" s="54">
        <v>11535960</v>
      </c>
      <c r="D8" s="54">
        <v>11584860</v>
      </c>
      <c r="E8" s="54">
        <v>11451940</v>
      </c>
      <c r="F8" s="54">
        <v>11647980</v>
      </c>
      <c r="G8" s="54">
        <v>12245380</v>
      </c>
      <c r="I8" s="56">
        <f t="shared" si="7"/>
        <v>31.416762274984233</v>
      </c>
      <c r="J8" s="56">
        <f t="shared" si="2"/>
        <v>30.895617124415821</v>
      </c>
      <c r="K8" s="56">
        <f t="shared" si="3"/>
        <v>31.650305387474358</v>
      </c>
      <c r="L8" s="56">
        <f t="shared" si="4"/>
        <v>31.318881320453833</v>
      </c>
      <c r="M8" s="56">
        <f t="shared" si="5"/>
        <v>32.197686616569619</v>
      </c>
      <c r="N8" s="56">
        <f t="shared" si="6"/>
        <v>32.291978995174418</v>
      </c>
    </row>
    <row r="9" spans="1:14" x14ac:dyDescent="0.3">
      <c r="A9" s="15" t="s">
        <v>30</v>
      </c>
      <c r="B9" s="54">
        <v>98760</v>
      </c>
      <c r="C9" s="54">
        <v>97680</v>
      </c>
      <c r="D9" s="54">
        <v>53290</v>
      </c>
      <c r="E9" s="54">
        <v>52990</v>
      </c>
      <c r="F9" s="54">
        <v>52150</v>
      </c>
      <c r="G9" s="54">
        <v>47580</v>
      </c>
      <c r="I9" s="56">
        <f t="shared" si="7"/>
        <v>0.26742348198046095</v>
      </c>
      <c r="J9" s="56">
        <f t="shared" si="2"/>
        <v>0.26160665265074923</v>
      </c>
      <c r="K9" s="56">
        <f t="shared" si="3"/>
        <v>0.14559043217600459</v>
      </c>
      <c r="L9" s="56">
        <f t="shared" si="4"/>
        <v>0.14491758786466302</v>
      </c>
      <c r="M9" s="56">
        <f t="shared" si="5"/>
        <v>0.14415455358389229</v>
      </c>
      <c r="N9" s="56">
        <f t="shared" si="6"/>
        <v>0.12547200336701669</v>
      </c>
    </row>
    <row r="10" spans="1:14" x14ac:dyDescent="0.3">
      <c r="A10" s="15" t="s">
        <v>12</v>
      </c>
      <c r="B10" s="54">
        <v>10568570</v>
      </c>
      <c r="C10" s="54">
        <v>10700100</v>
      </c>
      <c r="D10" s="54">
        <v>9738030</v>
      </c>
      <c r="E10" s="54">
        <v>9706500</v>
      </c>
      <c r="F10" s="54">
        <v>9298410</v>
      </c>
      <c r="G10" s="54">
        <v>8881620</v>
      </c>
      <c r="I10" s="56">
        <f t="shared" si="7"/>
        <v>28.617697336515192</v>
      </c>
      <c r="J10" s="56">
        <f t="shared" si="2"/>
        <v>28.657016216505752</v>
      </c>
      <c r="K10" s="56">
        <f t="shared" si="3"/>
        <v>26.604691241187805</v>
      </c>
      <c r="L10" s="56">
        <f t="shared" si="4"/>
        <v>26.545434357583531</v>
      </c>
      <c r="M10" s="56">
        <f t="shared" si="5"/>
        <v>25.702936578907</v>
      </c>
      <c r="N10" s="56">
        <f t="shared" si="6"/>
        <v>23.421493369999215</v>
      </c>
    </row>
    <row r="12" spans="1:14" x14ac:dyDescent="0.3">
      <c r="A12" s="16" t="s">
        <v>59</v>
      </c>
      <c r="B12" s="54"/>
      <c r="C12" s="54"/>
      <c r="D12" s="54"/>
      <c r="E12" s="54"/>
    </row>
    <row r="15" spans="1:14" x14ac:dyDescent="0.3">
      <c r="A15" s="17" t="s">
        <v>39</v>
      </c>
    </row>
  </sheetData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8"/>
  <sheetViews>
    <sheetView showGridLines="0" zoomScaleNormal="100" workbookViewId="0">
      <selection activeCell="R3" sqref="R3"/>
    </sheetView>
  </sheetViews>
  <sheetFormatPr baseColWidth="10" defaultColWidth="10.5" defaultRowHeight="13.8" x14ac:dyDescent="0.25"/>
  <cols>
    <col min="1" max="1" width="41.69921875" style="19" bestFit="1" customWidth="1"/>
    <col min="2" max="22" width="8.19921875" style="19" customWidth="1"/>
    <col min="23" max="257" width="10.5" style="19"/>
    <col min="258" max="258" width="41.69921875" style="19" bestFit="1" customWidth="1"/>
    <col min="259" max="513" width="10.5" style="19"/>
    <col min="514" max="514" width="41.69921875" style="19" bestFit="1" customWidth="1"/>
    <col min="515" max="769" width="10.5" style="19"/>
    <col min="770" max="770" width="41.69921875" style="19" bestFit="1" customWidth="1"/>
    <col min="771" max="1025" width="10.5" style="19"/>
    <col min="1026" max="1026" width="41.69921875" style="19" bestFit="1" customWidth="1"/>
    <col min="1027" max="1281" width="10.5" style="19"/>
    <col min="1282" max="1282" width="41.69921875" style="19" bestFit="1" customWidth="1"/>
    <col min="1283" max="1537" width="10.5" style="19"/>
    <col min="1538" max="1538" width="41.69921875" style="19" bestFit="1" customWidth="1"/>
    <col min="1539" max="1793" width="10.5" style="19"/>
    <col min="1794" max="1794" width="41.69921875" style="19" bestFit="1" customWidth="1"/>
    <col min="1795" max="2049" width="10.5" style="19"/>
    <col min="2050" max="2050" width="41.69921875" style="19" bestFit="1" customWidth="1"/>
    <col min="2051" max="2305" width="10.5" style="19"/>
    <col min="2306" max="2306" width="41.69921875" style="19" bestFit="1" customWidth="1"/>
    <col min="2307" max="2561" width="10.5" style="19"/>
    <col min="2562" max="2562" width="41.69921875" style="19" bestFit="1" customWidth="1"/>
    <col min="2563" max="2817" width="10.5" style="19"/>
    <col min="2818" max="2818" width="41.69921875" style="19" bestFit="1" customWidth="1"/>
    <col min="2819" max="3073" width="10.5" style="19"/>
    <col min="3074" max="3074" width="41.69921875" style="19" bestFit="1" customWidth="1"/>
    <col min="3075" max="3329" width="10.5" style="19"/>
    <col min="3330" max="3330" width="41.69921875" style="19" bestFit="1" customWidth="1"/>
    <col min="3331" max="3585" width="10.5" style="19"/>
    <col min="3586" max="3586" width="41.69921875" style="19" bestFit="1" customWidth="1"/>
    <col min="3587" max="3841" width="10.5" style="19"/>
    <col min="3842" max="3842" width="41.69921875" style="19" bestFit="1" customWidth="1"/>
    <col min="3843" max="4097" width="10.5" style="19"/>
    <col min="4098" max="4098" width="41.69921875" style="19" bestFit="1" customWidth="1"/>
    <col min="4099" max="4353" width="10.5" style="19"/>
    <col min="4354" max="4354" width="41.69921875" style="19" bestFit="1" customWidth="1"/>
    <col min="4355" max="4609" width="10.5" style="19"/>
    <col min="4610" max="4610" width="41.69921875" style="19" bestFit="1" customWidth="1"/>
    <col min="4611" max="4865" width="10.5" style="19"/>
    <col min="4866" max="4866" width="41.69921875" style="19" bestFit="1" customWidth="1"/>
    <col min="4867" max="5121" width="10.5" style="19"/>
    <col min="5122" max="5122" width="41.69921875" style="19" bestFit="1" customWidth="1"/>
    <col min="5123" max="5377" width="10.5" style="19"/>
    <col min="5378" max="5378" width="41.69921875" style="19" bestFit="1" customWidth="1"/>
    <col min="5379" max="5633" width="10.5" style="19"/>
    <col min="5634" max="5634" width="41.69921875" style="19" bestFit="1" customWidth="1"/>
    <col min="5635" max="5889" width="10.5" style="19"/>
    <col min="5890" max="5890" width="41.69921875" style="19" bestFit="1" customWidth="1"/>
    <col min="5891" max="6145" width="10.5" style="19"/>
    <col min="6146" max="6146" width="41.69921875" style="19" bestFit="1" customWidth="1"/>
    <col min="6147" max="6401" width="10.5" style="19"/>
    <col min="6402" max="6402" width="41.69921875" style="19" bestFit="1" customWidth="1"/>
    <col min="6403" max="6657" width="10.5" style="19"/>
    <col min="6658" max="6658" width="41.69921875" style="19" bestFit="1" customWidth="1"/>
    <col min="6659" max="6913" width="10.5" style="19"/>
    <col min="6914" max="6914" width="41.69921875" style="19" bestFit="1" customWidth="1"/>
    <col min="6915" max="7169" width="10.5" style="19"/>
    <col min="7170" max="7170" width="41.69921875" style="19" bestFit="1" customWidth="1"/>
    <col min="7171" max="7425" width="10.5" style="19"/>
    <col min="7426" max="7426" width="41.69921875" style="19" bestFit="1" customWidth="1"/>
    <col min="7427" max="7681" width="10.5" style="19"/>
    <col min="7682" max="7682" width="41.69921875" style="19" bestFit="1" customWidth="1"/>
    <col min="7683" max="7937" width="10.5" style="19"/>
    <col min="7938" max="7938" width="41.69921875" style="19" bestFit="1" customWidth="1"/>
    <col min="7939" max="8193" width="10.5" style="19"/>
    <col min="8194" max="8194" width="41.69921875" style="19" bestFit="1" customWidth="1"/>
    <col min="8195" max="8449" width="10.5" style="19"/>
    <col min="8450" max="8450" width="41.69921875" style="19" bestFit="1" customWidth="1"/>
    <col min="8451" max="8705" width="10.5" style="19"/>
    <col min="8706" max="8706" width="41.69921875" style="19" bestFit="1" customWidth="1"/>
    <col min="8707" max="8961" width="10.5" style="19"/>
    <col min="8962" max="8962" width="41.69921875" style="19" bestFit="1" customWidth="1"/>
    <col min="8963" max="9217" width="10.5" style="19"/>
    <col min="9218" max="9218" width="41.69921875" style="19" bestFit="1" customWidth="1"/>
    <col min="9219" max="9473" width="10.5" style="19"/>
    <col min="9474" max="9474" width="41.69921875" style="19" bestFit="1" customWidth="1"/>
    <col min="9475" max="9729" width="10.5" style="19"/>
    <col min="9730" max="9730" width="41.69921875" style="19" bestFit="1" customWidth="1"/>
    <col min="9731" max="9985" width="10.5" style="19"/>
    <col min="9986" max="9986" width="41.69921875" style="19" bestFit="1" customWidth="1"/>
    <col min="9987" max="10241" width="10.5" style="19"/>
    <col min="10242" max="10242" width="41.69921875" style="19" bestFit="1" customWidth="1"/>
    <col min="10243" max="10497" width="10.5" style="19"/>
    <col min="10498" max="10498" width="41.69921875" style="19" bestFit="1" customWidth="1"/>
    <col min="10499" max="10753" width="10.5" style="19"/>
    <col min="10754" max="10754" width="41.69921875" style="19" bestFit="1" customWidth="1"/>
    <col min="10755" max="11009" width="10.5" style="19"/>
    <col min="11010" max="11010" width="41.69921875" style="19" bestFit="1" customWidth="1"/>
    <col min="11011" max="11265" width="10.5" style="19"/>
    <col min="11266" max="11266" width="41.69921875" style="19" bestFit="1" customWidth="1"/>
    <col min="11267" max="11521" width="10.5" style="19"/>
    <col min="11522" max="11522" width="41.69921875" style="19" bestFit="1" customWidth="1"/>
    <col min="11523" max="11777" width="10.5" style="19"/>
    <col min="11778" max="11778" width="41.69921875" style="19" bestFit="1" customWidth="1"/>
    <col min="11779" max="12033" width="10.5" style="19"/>
    <col min="12034" max="12034" width="41.69921875" style="19" bestFit="1" customWidth="1"/>
    <col min="12035" max="12289" width="10.5" style="19"/>
    <col min="12290" max="12290" width="41.69921875" style="19" bestFit="1" customWidth="1"/>
    <col min="12291" max="12545" width="10.5" style="19"/>
    <col min="12546" max="12546" width="41.69921875" style="19" bestFit="1" customWidth="1"/>
    <col min="12547" max="12801" width="10.5" style="19"/>
    <col min="12802" max="12802" width="41.69921875" style="19" bestFit="1" customWidth="1"/>
    <col min="12803" max="13057" width="10.5" style="19"/>
    <col min="13058" max="13058" width="41.69921875" style="19" bestFit="1" customWidth="1"/>
    <col min="13059" max="13313" width="10.5" style="19"/>
    <col min="13314" max="13314" width="41.69921875" style="19" bestFit="1" customWidth="1"/>
    <col min="13315" max="13569" width="10.5" style="19"/>
    <col min="13570" max="13570" width="41.69921875" style="19" bestFit="1" customWidth="1"/>
    <col min="13571" max="13825" width="10.5" style="19"/>
    <col min="13826" max="13826" width="41.69921875" style="19" bestFit="1" customWidth="1"/>
    <col min="13827" max="14081" width="10.5" style="19"/>
    <col min="14082" max="14082" width="41.69921875" style="19" bestFit="1" customWidth="1"/>
    <col min="14083" max="14337" width="10.5" style="19"/>
    <col min="14338" max="14338" width="41.69921875" style="19" bestFit="1" customWidth="1"/>
    <col min="14339" max="14593" width="10.5" style="19"/>
    <col min="14594" max="14594" width="41.69921875" style="19" bestFit="1" customWidth="1"/>
    <col min="14595" max="14849" width="10.5" style="19"/>
    <col min="14850" max="14850" width="41.69921875" style="19" bestFit="1" customWidth="1"/>
    <col min="14851" max="15105" width="10.5" style="19"/>
    <col min="15106" max="15106" width="41.69921875" style="19" bestFit="1" customWidth="1"/>
    <col min="15107" max="15361" width="10.5" style="19"/>
    <col min="15362" max="15362" width="41.69921875" style="19" bestFit="1" customWidth="1"/>
    <col min="15363" max="15617" width="10.5" style="19"/>
    <col min="15618" max="15618" width="41.69921875" style="19" bestFit="1" customWidth="1"/>
    <col min="15619" max="15873" width="10.5" style="19"/>
    <col min="15874" max="15874" width="41.69921875" style="19" bestFit="1" customWidth="1"/>
    <col min="15875" max="16129" width="10.5" style="19"/>
    <col min="16130" max="16130" width="41.69921875" style="19" bestFit="1" customWidth="1"/>
    <col min="16131" max="16384" width="10.5" style="19"/>
  </cols>
  <sheetData>
    <row r="1" spans="1:24" ht="21" x14ac:dyDescent="0.4">
      <c r="A1" s="18" t="s">
        <v>40</v>
      </c>
    </row>
    <row r="3" spans="1:24" x14ac:dyDescent="0.25">
      <c r="A3" s="20" t="s">
        <v>31</v>
      </c>
    </row>
    <row r="5" spans="1:24" x14ac:dyDescent="0.25">
      <c r="A5" s="21"/>
      <c r="B5" s="22">
        <v>2000</v>
      </c>
      <c r="C5" s="22">
        <v>2001</v>
      </c>
      <c r="D5" s="22">
        <v>2002</v>
      </c>
      <c r="E5" s="22">
        <v>2003</v>
      </c>
      <c r="F5" s="22">
        <v>2004</v>
      </c>
      <c r="G5" s="22">
        <v>2005</v>
      </c>
      <c r="H5" s="22">
        <v>2006</v>
      </c>
      <c r="I5" s="22">
        <v>2007</v>
      </c>
      <c r="J5" s="22">
        <v>2008</v>
      </c>
      <c r="K5" s="22">
        <v>2009</v>
      </c>
      <c r="L5" s="22">
        <v>2010</v>
      </c>
      <c r="M5" s="22">
        <v>2011</v>
      </c>
      <c r="N5" s="22" t="s">
        <v>32</v>
      </c>
      <c r="O5" s="22">
        <v>2013</v>
      </c>
      <c r="P5" s="22">
        <v>2014</v>
      </c>
      <c r="Q5" s="22">
        <v>2015</v>
      </c>
      <c r="R5" s="22">
        <v>2016</v>
      </c>
      <c r="S5" s="22">
        <v>2017</v>
      </c>
      <c r="T5" s="22">
        <v>2018</v>
      </c>
      <c r="U5" s="22">
        <v>2019</v>
      </c>
      <c r="V5" s="22">
        <v>2020</v>
      </c>
      <c r="W5" s="22">
        <v>2021</v>
      </c>
    </row>
    <row r="6" spans="1:24" x14ac:dyDescent="0.25">
      <c r="A6" s="21" t="s">
        <v>33</v>
      </c>
      <c r="B6" s="23">
        <v>2.7069760231138513</v>
      </c>
      <c r="C6" s="23">
        <v>2.7350537239010215</v>
      </c>
      <c r="D6" s="53">
        <v>2.8608843046226426</v>
      </c>
      <c r="E6" s="53">
        <v>2.9633591343801848</v>
      </c>
      <c r="F6" s="53">
        <v>3.2771899680655285</v>
      </c>
      <c r="G6" s="53">
        <v>3.6872701870239539</v>
      </c>
      <c r="H6" s="53">
        <v>3.8782945811098202</v>
      </c>
      <c r="I6" s="53">
        <v>3.8100608099570601</v>
      </c>
      <c r="J6" s="53">
        <v>3.8827099459319241</v>
      </c>
      <c r="K6" s="53">
        <v>3.645587276519811</v>
      </c>
      <c r="L6" s="53">
        <v>3.960622854320059</v>
      </c>
      <c r="M6" s="23">
        <v>4.2457789750132235</v>
      </c>
      <c r="N6" s="23">
        <v>4.3976005156608506</v>
      </c>
      <c r="O6" s="23">
        <v>4.4280405651085442</v>
      </c>
      <c r="P6" s="23">
        <v>4.5932503471684107</v>
      </c>
      <c r="Q6" s="23">
        <v>4.2912022922300919</v>
      </c>
      <c r="R6" s="23">
        <v>4.1247055126667105</v>
      </c>
      <c r="S6" s="23">
        <v>4.1981662436453364</v>
      </c>
      <c r="T6" s="23">
        <v>4.7236507760372675</v>
      </c>
      <c r="U6" s="23">
        <v>5.260604120834917</v>
      </c>
      <c r="V6" s="23">
        <v>5.0986501793576897</v>
      </c>
      <c r="W6" s="23">
        <v>5.3212244043912404</v>
      </c>
      <c r="X6" s="44">
        <f>W6/$W$10</f>
        <v>0.27099886656955502</v>
      </c>
    </row>
    <row r="7" spans="1:24" x14ac:dyDescent="0.25">
      <c r="A7" s="21" t="s">
        <v>19</v>
      </c>
      <c r="B7" s="23">
        <v>2.7317644429145322</v>
      </c>
      <c r="C7" s="23">
        <v>2.906668574634153</v>
      </c>
      <c r="D7" s="23">
        <v>3.1439208110728303</v>
      </c>
      <c r="E7" s="23">
        <v>3.4100240030939304</v>
      </c>
      <c r="F7" s="23">
        <v>3.5268177171495729</v>
      </c>
      <c r="G7" s="23">
        <v>3.8822324219096522</v>
      </c>
      <c r="H7" s="57">
        <v>4.1241412612662973</v>
      </c>
      <c r="I7" s="57">
        <v>4.3318048666457774</v>
      </c>
      <c r="J7" s="57">
        <v>4.5275006886198206</v>
      </c>
      <c r="K7" s="57">
        <v>4.7921138393345641</v>
      </c>
      <c r="L7" s="57">
        <v>4.9883660913489667</v>
      </c>
      <c r="M7" s="57">
        <v>5.2377081820461147</v>
      </c>
      <c r="N7" s="57">
        <v>5.3887907984145027</v>
      </c>
      <c r="O7" s="57">
        <v>5.5130160747279344</v>
      </c>
      <c r="P7" s="57">
        <v>5.6510064782252849</v>
      </c>
      <c r="Q7" s="57">
        <v>5.8205127551579103</v>
      </c>
      <c r="R7" s="57">
        <v>5.9604240652597253</v>
      </c>
      <c r="S7" s="57">
        <v>6.0898424073386108</v>
      </c>
      <c r="T7" s="57">
        <v>6.1797989303046768</v>
      </c>
      <c r="U7" s="57">
        <v>6.2054174673150602</v>
      </c>
      <c r="V7" s="57">
        <v>6.2815662281806128</v>
      </c>
      <c r="W7" s="23">
        <v>6.6963496795680371</v>
      </c>
      <c r="X7" s="44">
        <f t="shared" ref="X7:X8" si="0">W7/$W$10</f>
        <v>0.34103113032008031</v>
      </c>
    </row>
    <row r="8" spans="1:24" x14ac:dyDescent="0.25">
      <c r="A8" s="21" t="s">
        <v>34</v>
      </c>
      <c r="B8" s="23">
        <v>3.6025251743307822</v>
      </c>
      <c r="C8" s="23">
        <v>3.7820213195379249</v>
      </c>
      <c r="D8" s="23">
        <v>4.0629710723591295</v>
      </c>
      <c r="E8" s="23">
        <v>4.0075036673439302</v>
      </c>
      <c r="F8" s="23">
        <v>3.9437985022973092</v>
      </c>
      <c r="G8" s="23">
        <v>4.4258273705596558</v>
      </c>
      <c r="H8" s="57">
        <v>5.0683780490565589</v>
      </c>
      <c r="I8" s="57">
        <v>5.8546793185164132</v>
      </c>
      <c r="J8" s="57">
        <v>5.3291722013801692</v>
      </c>
      <c r="K8" s="57">
        <v>4.8135420094825703</v>
      </c>
      <c r="L8" s="57">
        <v>4.8563451349234104</v>
      </c>
      <c r="M8" s="57">
        <v>5.0368770242286578</v>
      </c>
      <c r="N8" s="57">
        <v>5.222797863323791</v>
      </c>
      <c r="O8" s="57">
        <v>5.4952346284861973</v>
      </c>
      <c r="P8" s="57">
        <v>5.6250964528711371</v>
      </c>
      <c r="Q8" s="57">
        <v>5.6531572518339877</v>
      </c>
      <c r="R8" s="57">
        <v>6.1107662212735265</v>
      </c>
      <c r="S8" s="57">
        <v>6.2666650703488891</v>
      </c>
      <c r="T8" s="57">
        <v>6.7341943124932744</v>
      </c>
      <c r="U8" s="57">
        <v>7.1034665152746062</v>
      </c>
      <c r="V8" s="57">
        <v>7.0167389512205709</v>
      </c>
      <c r="W8" s="23">
        <v>7.6160957290385198</v>
      </c>
      <c r="X8" s="44">
        <f t="shared" si="0"/>
        <v>0.38787187936510042</v>
      </c>
    </row>
    <row r="9" spans="1:24" x14ac:dyDescent="0.25">
      <c r="A9" s="21" t="s">
        <v>61</v>
      </c>
      <c r="B9" s="57">
        <v>9.4458923272987684E-4</v>
      </c>
      <c r="C9" s="57">
        <v>1.0134975974138559E-3</v>
      </c>
      <c r="D9" s="57">
        <v>1.1078370342030817E-3</v>
      </c>
      <c r="E9" s="57">
        <v>1.1533526390819259E-3</v>
      </c>
      <c r="F9" s="57">
        <v>1.1265863800523654E-3</v>
      </c>
      <c r="G9" s="57">
        <v>1.1886956386109595E-3</v>
      </c>
      <c r="H9" s="57">
        <v>1.1960914651917257E-3</v>
      </c>
      <c r="I9" s="57">
        <v>1.2663694131067854E-3</v>
      </c>
      <c r="J9" s="57">
        <v>1.3432638032671441E-3</v>
      </c>
      <c r="K9" s="57">
        <v>1.3640793746902381E-3</v>
      </c>
      <c r="L9" s="57">
        <v>1.4435141958699473E-3</v>
      </c>
      <c r="M9" s="57">
        <v>1.5067281844564442E-3</v>
      </c>
      <c r="N9" s="57">
        <v>1.5650896580122128E-3</v>
      </c>
      <c r="O9" s="57">
        <v>1.607226911735031E-3</v>
      </c>
      <c r="P9" s="57">
        <v>1.6579129011404063E-3</v>
      </c>
      <c r="Q9" s="57">
        <v>1.7110206316471538E-3</v>
      </c>
      <c r="R9" s="57">
        <v>1.746261038906039E-3</v>
      </c>
      <c r="S9" s="57">
        <v>1.7826293544447353E-3</v>
      </c>
      <c r="T9" s="57">
        <v>1.8207212187134035E-3</v>
      </c>
      <c r="U9" s="57">
        <v>1.8598692602430731E-3</v>
      </c>
      <c r="V9" s="57">
        <v>1.7969127224520796E-3</v>
      </c>
      <c r="W9" s="57">
        <v>1.9267182721448006E-3</v>
      </c>
      <c r="X9" s="44"/>
    </row>
    <row r="10" spans="1:24" x14ac:dyDescent="0.25">
      <c r="A10" s="24" t="s">
        <v>35</v>
      </c>
      <c r="B10" s="25">
        <f t="shared" ref="B10" si="1">SUM(B6:B9)</f>
        <v>9.0422102295918965</v>
      </c>
      <c r="C10" s="25">
        <f t="shared" ref="C10" si="2">SUM(C6:C9)</f>
        <v>9.4247571156705146</v>
      </c>
      <c r="D10" s="25">
        <f t="shared" ref="D10" si="3">SUM(D6:D9)</f>
        <v>10.068884025088805</v>
      </c>
      <c r="E10" s="25">
        <f t="shared" ref="E10" si="4">SUM(E6:E9)</f>
        <v>10.382040157457128</v>
      </c>
      <c r="F10" s="25">
        <f t="shared" ref="F10" si="5">SUM(F6:F9)</f>
        <v>10.748932773892463</v>
      </c>
      <c r="G10" s="25">
        <f t="shared" ref="G10" si="6">SUM(G6:G9)</f>
        <v>11.996518675131872</v>
      </c>
      <c r="H10" s="25">
        <f t="shared" ref="H10" si="7">SUM(H6:H9)</f>
        <v>13.072009982897868</v>
      </c>
      <c r="I10" s="25">
        <f t="shared" ref="I10" si="8">SUM(I6:I9)</f>
        <v>13.997811364532359</v>
      </c>
      <c r="J10" s="25">
        <f t="shared" ref="J10" si="9">SUM(J6:J9)</f>
        <v>13.740726099735182</v>
      </c>
      <c r="K10" s="25">
        <f t="shared" ref="K10" si="10">SUM(K6:K9)</f>
        <v>13.252607204711635</v>
      </c>
      <c r="L10" s="25">
        <f t="shared" ref="L10" si="11">SUM(L6:L9)</f>
        <v>13.806777594788306</v>
      </c>
      <c r="M10" s="25">
        <f t="shared" ref="M10" si="12">SUM(M6:M9)</f>
        <v>14.521870909472451</v>
      </c>
      <c r="N10" s="25">
        <f t="shared" ref="N10" si="13">SUM(N6:N9)</f>
        <v>15.010754267057155</v>
      </c>
      <c r="O10" s="25">
        <f t="shared" ref="O10" si="14">SUM(O6:O9)</f>
        <v>15.437898495234412</v>
      </c>
      <c r="P10" s="25">
        <f t="shared" ref="P10" si="15">SUM(P6:P9)</f>
        <v>15.871011191165973</v>
      </c>
      <c r="Q10" s="25">
        <f t="shared" ref="Q10" si="16">SUM(Q6:Q9)</f>
        <v>15.766583319853639</v>
      </c>
      <c r="R10" s="25">
        <f t="shared" ref="R10" si="17">SUM(R6:R9)</f>
        <v>16.19764206023887</v>
      </c>
      <c r="S10" s="25">
        <f t="shared" ref="S10" si="18">SUM(S6:S9)</f>
        <v>16.556456350687281</v>
      </c>
      <c r="T10" s="25">
        <f t="shared" ref="T10" si="19">SUM(T6:T9)</f>
        <v>17.639464740053931</v>
      </c>
      <c r="U10" s="25">
        <f t="shared" ref="U10" si="20">SUM(U6:U9)</f>
        <v>18.571347972684826</v>
      </c>
      <c r="V10" s="25">
        <f t="shared" ref="V10" si="21">SUM(V6:V9)</f>
        <v>18.398752271481325</v>
      </c>
      <c r="W10" s="25">
        <f t="shared" ref="W10" si="22">SUM(W6:W9)</f>
        <v>19.635596531269943</v>
      </c>
    </row>
    <row r="11" spans="1:24" x14ac:dyDescent="0.25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spans="1:24" ht="14.4" x14ac:dyDescent="0.3">
      <c r="A12" s="27" t="s">
        <v>36</v>
      </c>
      <c r="B12" s="19" t="s">
        <v>49</v>
      </c>
      <c r="C12" s="19" t="s">
        <v>49</v>
      </c>
      <c r="D12" s="19" t="s">
        <v>49</v>
      </c>
      <c r="E12" s="19" t="s">
        <v>49</v>
      </c>
      <c r="F12" s="19" t="s">
        <v>49</v>
      </c>
      <c r="G12" s="19" t="s">
        <v>49</v>
      </c>
      <c r="H12" s="19" t="s">
        <v>49</v>
      </c>
      <c r="I12" s="19" t="s">
        <v>49</v>
      </c>
      <c r="J12" s="19" t="s">
        <v>49</v>
      </c>
      <c r="K12" s="19" t="s">
        <v>49</v>
      </c>
      <c r="L12" s="19" t="s">
        <v>49</v>
      </c>
      <c r="M12" s="19" t="s">
        <v>49</v>
      </c>
      <c r="N12" s="19" t="s">
        <v>49</v>
      </c>
      <c r="O12" s="19" t="s">
        <v>49</v>
      </c>
      <c r="P12" s="19" t="s">
        <v>49</v>
      </c>
      <c r="Q12" s="19" t="s">
        <v>49</v>
      </c>
      <c r="R12" s="19" t="s">
        <v>49</v>
      </c>
      <c r="S12" s="19" t="s">
        <v>49</v>
      </c>
      <c r="T12" s="19" t="s">
        <v>49</v>
      </c>
      <c r="U12" s="19" t="s">
        <v>49</v>
      </c>
      <c r="V12" s="19" t="s">
        <v>49</v>
      </c>
      <c r="W12" s="19" t="s">
        <v>49</v>
      </c>
    </row>
    <row r="13" spans="1:24" ht="14.4" x14ac:dyDescent="0.3">
      <c r="A13" s="28" t="s">
        <v>62</v>
      </c>
      <c r="B13" s="26" t="s">
        <v>49</v>
      </c>
      <c r="C13" s="26" t="s">
        <v>49</v>
      </c>
      <c r="D13" s="26" t="s">
        <v>49</v>
      </c>
      <c r="E13" s="26" t="s">
        <v>49</v>
      </c>
      <c r="F13" s="26" t="s">
        <v>49</v>
      </c>
      <c r="G13" s="26" t="s">
        <v>49</v>
      </c>
      <c r="H13" s="26" t="s">
        <v>49</v>
      </c>
      <c r="I13" s="26" t="s">
        <v>49</v>
      </c>
      <c r="J13" s="26" t="s">
        <v>49</v>
      </c>
      <c r="K13" s="26" t="s">
        <v>49</v>
      </c>
      <c r="L13" s="26" t="s">
        <v>49</v>
      </c>
      <c r="M13" s="26" t="s">
        <v>49</v>
      </c>
      <c r="N13" s="26" t="s">
        <v>49</v>
      </c>
      <c r="O13" s="26" t="s">
        <v>49</v>
      </c>
      <c r="P13" s="26" t="s">
        <v>49</v>
      </c>
      <c r="Q13" s="26" t="s">
        <v>49</v>
      </c>
      <c r="R13" s="26" t="s">
        <v>49</v>
      </c>
      <c r="S13" s="26" t="s">
        <v>49</v>
      </c>
      <c r="T13" s="26" t="s">
        <v>49</v>
      </c>
      <c r="U13" s="26" t="s">
        <v>49</v>
      </c>
      <c r="V13" s="26" t="s">
        <v>49</v>
      </c>
      <c r="W13" s="26" t="s">
        <v>49</v>
      </c>
    </row>
    <row r="15" spans="1:24" x14ac:dyDescent="0.25">
      <c r="A15" s="29" t="s">
        <v>37</v>
      </c>
    </row>
    <row r="44" spans="2:25" x14ac:dyDescent="0.25">
      <c r="B44" s="26" t="s">
        <v>49</v>
      </c>
      <c r="C44" s="26" t="s">
        <v>49</v>
      </c>
      <c r="D44" s="26" t="s">
        <v>49</v>
      </c>
      <c r="E44" s="26" t="s">
        <v>49</v>
      </c>
      <c r="F44" s="26" t="s">
        <v>49</v>
      </c>
      <c r="G44" s="26" t="s">
        <v>49</v>
      </c>
      <c r="H44" s="26" t="s">
        <v>49</v>
      </c>
      <c r="I44" s="26" t="s">
        <v>49</v>
      </c>
      <c r="J44" s="26" t="s">
        <v>49</v>
      </c>
      <c r="K44" s="26" t="s">
        <v>49</v>
      </c>
      <c r="L44" s="26" t="s">
        <v>49</v>
      </c>
      <c r="M44" s="26" t="s">
        <v>49</v>
      </c>
      <c r="N44" s="26" t="s">
        <v>49</v>
      </c>
      <c r="O44" s="26" t="s">
        <v>49</v>
      </c>
      <c r="P44" s="26" t="s">
        <v>49</v>
      </c>
      <c r="Q44" s="26" t="s">
        <v>49</v>
      </c>
      <c r="R44" s="26" t="s">
        <v>49</v>
      </c>
      <c r="S44" s="26" t="s">
        <v>49</v>
      </c>
      <c r="T44" s="26" t="s">
        <v>49</v>
      </c>
      <c r="U44" s="26" t="s">
        <v>49</v>
      </c>
      <c r="V44" s="26" t="s">
        <v>49</v>
      </c>
      <c r="W44" s="26" t="s">
        <v>49</v>
      </c>
      <c r="X44" s="26" t="s">
        <v>49</v>
      </c>
      <c r="Y44" s="26" t="s">
        <v>49</v>
      </c>
    </row>
    <row r="45" spans="2:25" x14ac:dyDescent="0.25">
      <c r="B45" s="26" t="s">
        <v>49</v>
      </c>
      <c r="C45" s="26" t="s">
        <v>49</v>
      </c>
      <c r="D45" s="26" t="s">
        <v>49</v>
      </c>
      <c r="E45" s="26" t="s">
        <v>49</v>
      </c>
      <c r="F45" s="26" t="s">
        <v>49</v>
      </c>
      <c r="G45" s="26" t="s">
        <v>49</v>
      </c>
      <c r="H45" s="26" t="s">
        <v>49</v>
      </c>
      <c r="I45" s="26" t="s">
        <v>49</v>
      </c>
      <c r="J45" s="26" t="s">
        <v>49</v>
      </c>
      <c r="K45" s="26" t="s">
        <v>49</v>
      </c>
      <c r="L45" s="26" t="s">
        <v>49</v>
      </c>
      <c r="M45" s="26" t="s">
        <v>49</v>
      </c>
      <c r="N45" s="26" t="s">
        <v>49</v>
      </c>
      <c r="O45" s="26" t="s">
        <v>49</v>
      </c>
      <c r="P45" s="26" t="s">
        <v>49</v>
      </c>
      <c r="Q45" s="26" t="s">
        <v>49</v>
      </c>
      <c r="R45" s="26" t="s">
        <v>49</v>
      </c>
      <c r="S45" s="26" t="s">
        <v>49</v>
      </c>
      <c r="T45" s="26" t="s">
        <v>49</v>
      </c>
      <c r="U45" s="26" t="s">
        <v>49</v>
      </c>
      <c r="V45" s="26" t="s">
        <v>49</v>
      </c>
      <c r="W45" s="26" t="s">
        <v>49</v>
      </c>
      <c r="X45" s="26" t="s">
        <v>49</v>
      </c>
      <c r="Y45" s="26" t="s">
        <v>49</v>
      </c>
    </row>
    <row r="46" spans="2:25" x14ac:dyDescent="0.25">
      <c r="B46" s="26" t="s">
        <v>49</v>
      </c>
      <c r="C46" s="26" t="s">
        <v>49</v>
      </c>
      <c r="D46" s="26" t="s">
        <v>49</v>
      </c>
      <c r="E46" s="26" t="s">
        <v>49</v>
      </c>
      <c r="F46" s="26" t="s">
        <v>49</v>
      </c>
      <c r="G46" s="26" t="s">
        <v>49</v>
      </c>
      <c r="H46" s="26" t="s">
        <v>49</v>
      </c>
      <c r="I46" s="26" t="s">
        <v>49</v>
      </c>
      <c r="J46" s="26" t="s">
        <v>49</v>
      </c>
      <c r="K46" s="26" t="s">
        <v>49</v>
      </c>
      <c r="L46" s="26" t="s">
        <v>49</v>
      </c>
      <c r="M46" s="26" t="s">
        <v>49</v>
      </c>
      <c r="N46" s="26" t="s">
        <v>49</v>
      </c>
      <c r="O46" s="26" t="s">
        <v>49</v>
      </c>
      <c r="P46" s="26" t="s">
        <v>49</v>
      </c>
      <c r="Q46" s="26" t="s">
        <v>49</v>
      </c>
      <c r="R46" s="26" t="s">
        <v>49</v>
      </c>
      <c r="S46" s="26" t="s">
        <v>49</v>
      </c>
      <c r="T46" s="26" t="s">
        <v>49</v>
      </c>
      <c r="U46" s="26" t="s">
        <v>49</v>
      </c>
      <c r="V46" s="26" t="s">
        <v>49</v>
      </c>
      <c r="W46" s="26" t="s">
        <v>49</v>
      </c>
      <c r="X46" s="26" t="s">
        <v>49</v>
      </c>
      <c r="Y46" s="26" t="s">
        <v>49</v>
      </c>
    </row>
    <row r="47" spans="2:25" x14ac:dyDescent="0.25">
      <c r="B47" s="26" t="s">
        <v>49</v>
      </c>
      <c r="C47" s="26" t="s">
        <v>49</v>
      </c>
      <c r="D47" s="26" t="s">
        <v>49</v>
      </c>
      <c r="E47" s="26" t="s">
        <v>49</v>
      </c>
      <c r="F47" s="26" t="s">
        <v>49</v>
      </c>
      <c r="G47" s="26" t="s">
        <v>49</v>
      </c>
      <c r="H47" s="26" t="s">
        <v>49</v>
      </c>
      <c r="I47" s="26" t="s">
        <v>49</v>
      </c>
      <c r="J47" s="26" t="s">
        <v>49</v>
      </c>
      <c r="K47" s="26" t="s">
        <v>49</v>
      </c>
      <c r="L47" s="26" t="s">
        <v>49</v>
      </c>
      <c r="M47" s="26" t="s">
        <v>49</v>
      </c>
      <c r="N47" s="26" t="s">
        <v>49</v>
      </c>
      <c r="O47" s="26" t="s">
        <v>49</v>
      </c>
      <c r="P47" s="26" t="s">
        <v>49</v>
      </c>
      <c r="Q47" s="26" t="s">
        <v>49</v>
      </c>
      <c r="R47" s="26" t="s">
        <v>49</v>
      </c>
      <c r="S47" s="26" t="s">
        <v>49</v>
      </c>
      <c r="T47" s="26" t="s">
        <v>49</v>
      </c>
      <c r="U47" s="26" t="s">
        <v>49</v>
      </c>
      <c r="V47" s="26" t="s">
        <v>49</v>
      </c>
      <c r="W47" s="26" t="s">
        <v>49</v>
      </c>
      <c r="X47" s="26" t="s">
        <v>49</v>
      </c>
      <c r="Y47" s="26" t="s">
        <v>49</v>
      </c>
    </row>
    <row r="48" spans="2:25" x14ac:dyDescent="0.25">
      <c r="B48" s="26" t="s">
        <v>49</v>
      </c>
      <c r="C48" s="26" t="s">
        <v>49</v>
      </c>
      <c r="D48" s="26" t="s">
        <v>49</v>
      </c>
      <c r="E48" s="26" t="s">
        <v>49</v>
      </c>
      <c r="F48" s="26" t="s">
        <v>49</v>
      </c>
      <c r="G48" s="26" t="s">
        <v>49</v>
      </c>
      <c r="H48" s="26" t="s">
        <v>49</v>
      </c>
      <c r="I48" s="26" t="s">
        <v>49</v>
      </c>
      <c r="J48" s="26" t="s">
        <v>49</v>
      </c>
      <c r="K48" s="26" t="s">
        <v>49</v>
      </c>
      <c r="L48" s="26" t="s">
        <v>49</v>
      </c>
      <c r="M48" s="26" t="s">
        <v>49</v>
      </c>
      <c r="N48" s="26" t="s">
        <v>49</v>
      </c>
      <c r="O48" s="26" t="s">
        <v>49</v>
      </c>
      <c r="P48" s="26" t="s">
        <v>49</v>
      </c>
      <c r="Q48" s="26" t="s">
        <v>49</v>
      </c>
      <c r="R48" s="26" t="s">
        <v>49</v>
      </c>
      <c r="S48" s="26" t="s">
        <v>49</v>
      </c>
      <c r="T48" s="26" t="s">
        <v>49</v>
      </c>
      <c r="U48" s="26" t="s">
        <v>49</v>
      </c>
      <c r="V48" s="26" t="s">
        <v>49</v>
      </c>
      <c r="W48" s="26" t="s">
        <v>49</v>
      </c>
      <c r="X48" s="26" t="s">
        <v>49</v>
      </c>
      <c r="Y48" s="26" t="s">
        <v>49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Tableau 1</vt:lpstr>
      <vt:lpstr>Tableau 2</vt:lpstr>
      <vt:lpstr>Graph 1</vt:lpstr>
      <vt:lpstr>Graph 2</vt:lpstr>
      <vt:lpstr>Graph 3</vt:lpstr>
      <vt:lpstr>'Graph 2'!estimation_2020_table1_juin2021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19 : La production et le recyclage des déchets en 2020 et 2021 en France – Synthèse des connaissances en 2023 </dc:title>
  <dc:subject>Bilan environnemental 2023</dc:subject>
  <dc:creator>SDES</dc:creator>
  <cp:keywords>déchet, économie circulaire, recyclage des déchets, ressource naturelle, acteur public</cp:keywords>
  <cp:lastModifiedBy>DUMAS Morgane</cp:lastModifiedBy>
  <dcterms:created xsi:type="dcterms:W3CDTF">2020-12-11T14:10:22Z</dcterms:created>
  <dcterms:modified xsi:type="dcterms:W3CDTF">2023-12-28T10:39:59Z</dcterms:modified>
</cp:coreProperties>
</file>