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2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3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5.xml" ContentType="application/vnd.openxmlformats-officedocument.drawing+xml"/>
  <Override PartName="/xl/charts/chart4.xml" ContentType="application/vnd.openxmlformats-officedocument.drawingml.chart+xml"/>
  <Override PartName="/xl/drawings/drawing6.xml" ContentType="application/vnd.openxmlformats-officedocument.drawing+xml"/>
  <Override PartName="/xl/charts/chart5.xml" ContentType="application/vnd.openxmlformats-officedocument.drawingml.chart+xml"/>
  <Override PartName="/xl/drawings/drawing7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M:\INTERNET\Thème Environnement\1_fiches_bilan_environnemental_2023\"/>
    </mc:Choice>
  </mc:AlternateContent>
  <xr:revisionPtr revIDLastSave="0" documentId="13_ncr:1_{D1C07EBC-A88D-4DBC-9A8C-5CF9795D1DB3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ommaire" sheetId="47" r:id="rId1"/>
    <sheet name="Graph 1" sheetId="2" r:id="rId2"/>
    <sheet name="Graph 2" sheetId="3" r:id="rId3"/>
    <sheet name="Graph 3" sheetId="22" r:id="rId4"/>
    <sheet name="Graph 4" sheetId="25" r:id="rId5"/>
    <sheet name="Graph 5" sheetId="6" r:id="rId6"/>
    <sheet name="Graph 6" sheetId="7" r:id="rId7"/>
    <sheet name="Carte 1" sheetId="46" r:id="rId8"/>
  </sheets>
  <externalReferences>
    <externalReference r:id="rId9"/>
    <externalReference r:id="rId10"/>
    <externalReference r:id="rId11"/>
  </externalReferences>
  <definedNames>
    <definedName name="____xlfn_IFERROR">#N/A</definedName>
    <definedName name="___xlfn_IFERROR">#N/A</definedName>
    <definedName name="__xlfn_IFERROR">#N/A</definedName>
    <definedName name="_016">#REF!</definedName>
    <definedName name="_017">'[1]E  recettes TEOM &amp; redev '!#REF!</definedName>
    <definedName name="_018">#REF!</definedName>
    <definedName name="_05">#REF!</definedName>
    <definedName name="_1">#REF!</definedName>
    <definedName name="_10" localSheetId="7">#REF!</definedName>
    <definedName name="_10">#REF!</definedName>
    <definedName name="_2" localSheetId="7">#REF!</definedName>
    <definedName name="_2">#REF!</definedName>
    <definedName name="_3" localSheetId="7">#REF!</definedName>
    <definedName name="_3">#REF!</definedName>
    <definedName name="_4" localSheetId="7">#REF!</definedName>
    <definedName name="_4">#REF!</definedName>
    <definedName name="_5" localSheetId="7">#REF!</definedName>
    <definedName name="_5">#REF!</definedName>
    <definedName name="_9" localSheetId="7">#REF!</definedName>
    <definedName name="_9">#REF!</definedName>
    <definedName name="_G2" localSheetId="7">#REF!</definedName>
    <definedName name="_G2">#REF!</definedName>
    <definedName name="_G9" localSheetId="7">#REF!</definedName>
    <definedName name="_G9">#REF!</definedName>
    <definedName name="_xlchart.v1.0" hidden="1">'Graph 1'!$A$4:$A$12</definedName>
    <definedName name="_xlchart.v1.1" hidden="1">'Graph 1'!$B$4:$B$12</definedName>
    <definedName name="aa" localSheetId="4">#REF!</definedName>
    <definedName name="aa">#REF!</definedName>
    <definedName name="aaa" localSheetId="7">#REF!</definedName>
    <definedName name="aaa" localSheetId="4">#REF!</definedName>
    <definedName name="aaa">#REF!</definedName>
    <definedName name="autres2002">'[2]E  recettes TEOM &amp; redev '!$E$91</definedName>
    <definedName name="autres2002jointage">'[1]E  recettes TEOM &amp; redev '!#REF!</definedName>
    <definedName name="ee">#REF!</definedName>
    <definedName name="estimation_2020_table1_juin2021">#REF!</definedName>
    <definedName name="Fbcf1999">'[2]C taux délégation '!$B$18</definedName>
    <definedName name="Fbcf2000">'[2]C taux délégation '!$C$18</definedName>
    <definedName name="Fbcf2001">'[2]C taux délégation '!$D$18</definedName>
    <definedName name="Fbcf2002">'[2]C taux délégation '!$E$18</definedName>
    <definedName name="Fbcf2003">'[2]C taux délégation '!$F$18</definedName>
    <definedName name="Fbcf2004">'[2]C taux délégation '!$G$18</definedName>
    <definedName name="Fbcf2005">'[2]C taux délégation '!$H$18</definedName>
    <definedName name="fff">#REF!</definedName>
    <definedName name="fffff">#REF!</definedName>
    <definedName name="frise">#REF!</definedName>
    <definedName name="fzdad" localSheetId="7">#REF!</definedName>
    <definedName name="fzdad">#REF!</definedName>
    <definedName name="Graph" localSheetId="7">#REF!</definedName>
    <definedName name="Graph">#REF!</definedName>
    <definedName name="kkk">#REF!</definedName>
    <definedName name="POWER_USER_EXCEL_CHART_0063051D_D8EC_4EDB_8144_4E4E9EA79367">'Graph 1'!$C$4:$C$12</definedName>
    <definedName name="POWER_USER_EXCEL_CHART_038DA1B2_DB30_40A7_8325_7448C5F7DC42" localSheetId="4">#REF!</definedName>
    <definedName name="POWER_USER_EXCEL_CHART_038DA1B2_DB30_40A7_8325_7448C5F7DC42">#REF!</definedName>
    <definedName name="POWER_USER_EXCEL_CHART_11259404_1610_4855_BA3F_6A1535E7AF1E" localSheetId="7">#REF!</definedName>
    <definedName name="POWER_USER_EXCEL_CHART_11259404_1610_4855_BA3F_6A1535E7AF1E" localSheetId="4">#REF!</definedName>
    <definedName name="POWER_USER_EXCEL_CHART_11259404_1610_4855_BA3F_6A1535E7AF1E">#REF!</definedName>
    <definedName name="POWER_USER_EXCEL_CHART_14B25A57_3718_4E86_BE59_82880A532F72" localSheetId="7">#REF!</definedName>
    <definedName name="POWER_USER_EXCEL_CHART_14B25A57_3718_4E86_BE59_82880A532F72">#REF!</definedName>
    <definedName name="POWER_USER_EXCEL_CHART_2AF6F6B5_F9D1_421E_9903_68F3D3728B36" localSheetId="7">#REF!</definedName>
    <definedName name="POWER_USER_EXCEL_CHART_2AF6F6B5_F9D1_421E_9903_68F3D3728B36">#REF!</definedName>
    <definedName name="POWER_USER_EXCEL_CHART_2EEBCB1F_7011_44BC_BF82_D5830A732320" localSheetId="7">#REF!</definedName>
    <definedName name="POWER_USER_EXCEL_CHART_2EEBCB1F_7011_44BC_BF82_D5830A732320">#REF!</definedName>
    <definedName name="POWER_USER_EXCEL_CHART_33079EDF_CABA_4DE5_AEA6_321EC4E136F9" localSheetId="7">#REF!</definedName>
    <definedName name="POWER_USER_EXCEL_CHART_33079EDF_CABA_4DE5_AEA6_321EC4E136F9">#REF!</definedName>
    <definedName name="POWER_USER_EXCEL_CHART_449A8F83_A113_4796_B75F_883626237898" localSheetId="7">#REF!</definedName>
    <definedName name="POWER_USER_EXCEL_CHART_449A8F83_A113_4796_B75F_883626237898">#REF!</definedName>
    <definedName name="POWER_USER_EXCEL_CHART_4F217BED_85B6_4EB3_AB94_3EB5E8E22391" localSheetId="7">#REF!</definedName>
    <definedName name="POWER_USER_EXCEL_CHART_4F217BED_85B6_4EB3_AB94_3EB5E8E22391">#REF!</definedName>
    <definedName name="POWER_USER_EXCEL_CHART_51B6AE88_1B87_4E8C_ADA1_94D2CBF2C2E5" localSheetId="7">#REF!</definedName>
    <definedName name="POWER_USER_EXCEL_CHART_51B6AE88_1B87_4E8C_ADA1_94D2CBF2C2E5">#REF!</definedName>
    <definedName name="POWER_USER_EXCEL_CHART_5AF0DC4C_F876_42B0_8EA6_58DC4AB79AC5" localSheetId="7">#REF!</definedName>
    <definedName name="POWER_USER_EXCEL_CHART_5AF0DC4C_F876_42B0_8EA6_58DC4AB79AC5">#REF!</definedName>
    <definedName name="POWER_USER_EXCEL_CHART_6AE74893_AB42_40BE_A818_9FB92E748F45" localSheetId="7">#REF!</definedName>
    <definedName name="POWER_USER_EXCEL_CHART_6AE74893_AB42_40BE_A818_9FB92E748F45">#REF!</definedName>
    <definedName name="POWER_USER_EXCEL_CHART_B5A8BCF7_DD4A_4F36_AB4C_D905244CCF23" localSheetId="7">#REF!</definedName>
    <definedName name="POWER_USER_EXCEL_CHART_B5A8BCF7_DD4A_4F36_AB4C_D905244CCF23">#REF!</definedName>
    <definedName name="POWER_USER_EXCEL_CHART_BD545F1B_278E_4897_ABE8_6448623ADD85" localSheetId="7">#REF!</definedName>
    <definedName name="POWER_USER_EXCEL_CHART_BD545F1B_278E_4897_ABE8_6448623ADD85">#REF!</definedName>
    <definedName name="POWER_USER_EXCEL_CHART_C0BD352F_BA07_4D79_8E12_744B446E5099" localSheetId="7">#REF!</definedName>
    <definedName name="POWER_USER_EXCEL_CHART_C0BD352F_BA07_4D79_8E12_744B446E5099">#REF!</definedName>
    <definedName name="POWER_USER_EXCEL_CHART_C599E209_E886_405C_88DE_3BA41191EEA3" localSheetId="7">#REF!</definedName>
    <definedName name="POWER_USER_EXCEL_CHART_C599E209_E886_405C_88DE_3BA41191EEA3">#REF!</definedName>
    <definedName name="POWER_USER_EXCEL_CHART_C78594B7_0C6D_4479_8934_E688A5004BBC" localSheetId="7">#REF!</definedName>
    <definedName name="POWER_USER_EXCEL_CHART_C78594B7_0C6D_4479_8934_E688A5004BBC">#REF!</definedName>
    <definedName name="POWER_USER_EXCEL_CHART_D1439727_3A7F_490D_9D91_8D215242566F" localSheetId="7">#REF!</definedName>
    <definedName name="POWER_USER_EXCEL_CHART_D1439727_3A7F_490D_9D91_8D215242566F">#REF!</definedName>
    <definedName name="POWER_USER_EXCEL_CHART_D60A2EA9_F658_472E_8362_587B5281687B" localSheetId="7">#REF!</definedName>
    <definedName name="POWER_USER_EXCEL_CHART_D60A2EA9_F658_472E_8362_587B5281687B">#REF!</definedName>
    <definedName name="POWER_USER_EXCEL_CHART_D8B63A80_3269_4368_ACC4_C66E7E16E7E1" localSheetId="2">'[3]Dep totale'!$A$5:$A$13,'[3]Dep totale'!$C$5:$C$13</definedName>
    <definedName name="POWER_USER_EXCEL_CHART_D8B63A80_3269_4368_ACC4_C66E7E16E7E1" localSheetId="3">'[3]Dep totale'!$A$5:$A$13,'[3]Dep totale'!$C$5:$C$13</definedName>
    <definedName name="POWER_USER_EXCEL_CHART_D8B63A80_3269_4368_ACC4_C66E7E16E7E1" localSheetId="4">'[3]Dep totale'!$A$5:$A$13,'[3]Dep totale'!$C$5:$C$13</definedName>
    <definedName name="POWER_USER_EXCEL_CHART_D8B63A80_3269_4368_ACC4_C66E7E16E7E1" localSheetId="5">'[3]Dep totale'!$A$5:$A$13,'[3]Dep totale'!$C$5:$C$13</definedName>
    <definedName name="POWER_USER_EXCEL_CHART_D8B63A80_3269_4368_ACC4_C66E7E16E7E1" localSheetId="6">'[3]Dep totale'!$A$5:$A$13,'[3]Dep totale'!$C$5:$C$13</definedName>
    <definedName name="POWER_USER_EXCEL_CHART_D8B63A80_3269_4368_ACC4_C66E7E16E7E1">'Graph 1'!$A$4:$A$12,'Graph 1'!$C$4:$C$12</definedName>
    <definedName name="POWER_USER_EXCEL_CHART_E5F8DB06_6FFB_42BD_9C2E_185C90F624C3" localSheetId="4">#REF!</definedName>
    <definedName name="POWER_USER_EXCEL_CHART_E5F8DB06_6FFB_42BD_9C2E_185C90F624C3">#REF!</definedName>
    <definedName name="POWER_USER_EXCEL_CHART_F0A52704_372B_4DF2_B66F_B9C636A00481">#REF!</definedName>
    <definedName name="POWER_USER_EXCEL_MAP_0D74A0CF_E185_4E58_87C0_CD99ABAB8BB9">#REF!</definedName>
    <definedName name="POWER_USER_EXCEL_MAP_59E1F38A_89CA_400E_9D87_B80AA7957148">#REF!</definedName>
    <definedName name="POWER_USER_EXCEL_MAP_5D538D8B_1BD1_4A6B_96F2_CF0AEB0B8CC5">#REF!</definedName>
    <definedName name="POWER_USER_EXCEL_MAP_60397BEE_06FE_4FDD_9944_81BFD50ABB7F">#REF!</definedName>
    <definedName name="POWER_USER_EXCEL_MAP_617F0FC4_E8F1_46BD_AC1C_ADB39BE174CB" localSheetId="7">#REF!</definedName>
    <definedName name="POWER_USER_EXCEL_MAP_617F0FC4_E8F1_46BD_AC1C_ADB39BE174CB">#REF!</definedName>
    <definedName name="POWER_USER_EXCEL_MAP_6370A84B_D08C_46BE_BB3D_D12675AA769C" localSheetId="7">#REF!</definedName>
    <definedName name="POWER_USER_EXCEL_MAP_6370A84B_D08C_46BE_BB3D_D12675AA769C">#REF!</definedName>
    <definedName name="POWER_USER_EXCEL_MAP_7F9A3ECD_6DFF_4975_8D20_E9CAA15E9ECD">#REF!</definedName>
    <definedName name="POWER_USER_EXCEL_MAP_8030EBD3_9751_4DD1_A0BA_C597F8590DB0">#REF!</definedName>
    <definedName name="POWER_USER_EXCEL_MAP_81DD72D7_790C_4BFD_B7E5_08DE0388CAAB">#REF!</definedName>
    <definedName name="POWER_USER_EXCEL_MAP_8BF6BC17_FD26_4028_91FF_A15C9E24AFCC">#REF!</definedName>
    <definedName name="POWER_USER_EXCEL_MAP_92F0287F_AAA0_4A3D_A547_FD9C6E56F708" localSheetId="7">#REF!</definedName>
    <definedName name="POWER_USER_EXCEL_MAP_92F0287F_AAA0_4A3D_A547_FD9C6E56F708">#REF!</definedName>
    <definedName name="POWER_USER_EXCEL_MAP_9822A790_F4D4_481E_9BFA_B4B0BE7A86EA">#REF!</definedName>
    <definedName name="POWER_USER_EXCEL_MAP_A9B86324_F5F5_4CB9_A857_ABA91452D90B">#REF!</definedName>
    <definedName name="POWER_USER_EXCEL_MAP_B3D3EC98_3EDB_4033_87AE_A049A3E485B5" localSheetId="7">#REF!</definedName>
    <definedName name="POWER_USER_EXCEL_MAP_B3D3EC98_3EDB_4033_87AE_A049A3E485B5">#REF!</definedName>
    <definedName name="POWER_USER_EXCEL_MAP_B43203B2_9C42_44B8_BD45_689623AA1AA3" localSheetId="7">#REF!</definedName>
    <definedName name="POWER_USER_EXCEL_MAP_B43203B2_9C42_44B8_BD45_689623AA1AA3">#REF!</definedName>
    <definedName name="POWER_USER_EXCEL_MAP_C4F1C66F_69D1_4569_A911_E133DE8F88FA" localSheetId="7">#REF!</definedName>
    <definedName name="POWER_USER_EXCEL_MAP_C4F1C66F_69D1_4569_A911_E133DE8F88FA">#REF!</definedName>
    <definedName name="POWER_USER_EXCEL_MAP_EA87F974_2DD8_4AEC_B85C_D7F3B9B813DF" localSheetId="7">#REF!</definedName>
    <definedName name="POWER_USER_EXCEL_MAP_EA87F974_2DD8_4AEC_B85C_D7F3B9B813DF">#REF!</definedName>
    <definedName name="POWER_USER_EXCEL_MAP_F55E2655_2B46_4F37_9DE8_4039F672CC6B" localSheetId="7">#REF!</definedName>
    <definedName name="POWER_USER_EXCEL_MAP_F55E2655_2B46_4F37_9DE8_4039F672CC6B">#REF!</definedName>
    <definedName name="qqq" localSheetId="7">#REF!</definedName>
    <definedName name="qqq">#REF!</definedName>
    <definedName name="ratio1999">'[2]C taux délégation '!$B$30</definedName>
    <definedName name="ratio2000">'[2]C taux délégation '!$C$30</definedName>
    <definedName name="ratio2001">'[2]C taux délégation '!$D$30</definedName>
    <definedName name="ratio2002">'[2]C taux délégation '!$E$30</definedName>
    <definedName name="ratio2003">'[2]C taux délégation '!$F$30</definedName>
    <definedName name="ratio2004">'[2]C taux délégation '!$G$30</definedName>
    <definedName name="ratio2005">'[2]C taux délégation '!$H$30</definedName>
    <definedName name="Rectificatif">#REF!</definedName>
    <definedName name="Rectificatof">#REF!</definedName>
    <definedName name="reom2001">'[2]E DGCP 2001 détail'!$K$17</definedName>
    <definedName name="reom2002">'[2]E  recettes TEOM &amp; redev '!$E$64</definedName>
    <definedName name="reomm42001">'[2]E DGCP 2001 détail'!$K$18</definedName>
    <definedName name="rggre">#REF!</definedName>
    <definedName name="Teom2002">'[2]E  recettes TEOM &amp; redev '!$E$25</definedName>
    <definedName name="yjke">#REF!</definedName>
    <definedName name="zef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Z6" i="6" l="1"/>
  <c r="Z7" i="6"/>
  <c r="Z8" i="6"/>
  <c r="Z9" i="6"/>
  <c r="Z10" i="6"/>
  <c r="Z11" i="6"/>
  <c r="Z12" i="6"/>
  <c r="Z5" i="6"/>
  <c r="Z4" i="6"/>
  <c r="Y12" i="6"/>
  <c r="Y5" i="6"/>
  <c r="Y6" i="6"/>
  <c r="Y7" i="6"/>
  <c r="Y8" i="6"/>
  <c r="Y9" i="6"/>
  <c r="Y10" i="6"/>
  <c r="Y11" i="6"/>
  <c r="Y4" i="6"/>
  <c r="X5" i="3" l="1"/>
  <c r="X6" i="3"/>
  <c r="X7" i="3"/>
  <c r="X8" i="3"/>
  <c r="X9" i="3"/>
  <c r="X10" i="3"/>
  <c r="X11" i="3"/>
  <c r="X12" i="3"/>
  <c r="X13" i="3"/>
  <c r="X14" i="3"/>
  <c r="X10" i="7"/>
  <c r="X5" i="7"/>
  <c r="X7" i="7"/>
  <c r="X6" i="7"/>
  <c r="X12" i="7"/>
  <c r="X8" i="7"/>
  <c r="X11" i="7"/>
  <c r="X9" i="7"/>
  <c r="X4" i="7"/>
  <c r="W13" i="7"/>
  <c r="X4" i="6"/>
  <c r="X10" i="6"/>
  <c r="X9" i="6"/>
  <c r="X5" i="6"/>
  <c r="X6" i="6"/>
  <c r="X11" i="6"/>
  <c r="X8" i="6"/>
  <c r="X12" i="6"/>
  <c r="X7" i="6"/>
  <c r="W13" i="6"/>
  <c r="W24" i="3" l="1"/>
  <c r="W26" i="3"/>
  <c r="W27" i="3"/>
  <c r="W21" i="3"/>
  <c r="W15" i="3" s="1"/>
  <c r="B13" i="2"/>
  <c r="V13" i="7" l="1"/>
  <c r="Y5" i="7" l="1"/>
  <c r="Y4" i="7"/>
  <c r="J13" i="6"/>
  <c r="V13" i="6"/>
  <c r="O13" i="6"/>
  <c r="D7" i="25"/>
  <c r="D8" i="25"/>
  <c r="D6" i="25"/>
  <c r="D10" i="25"/>
  <c r="D9" i="25"/>
  <c r="D11" i="25"/>
  <c r="D12" i="25"/>
  <c r="D5" i="25"/>
  <c r="F10" i="22"/>
  <c r="F9" i="22"/>
  <c r="F11" i="22"/>
  <c r="F4" i="22"/>
  <c r="F5" i="22"/>
  <c r="F7" i="22"/>
  <c r="F8" i="22"/>
  <c r="X13" i="6" l="1"/>
  <c r="F6" i="22"/>
  <c r="V26" i="3" l="1"/>
  <c r="V27" i="3"/>
  <c r="V21" i="3"/>
  <c r="V15" i="3" l="1"/>
  <c r="B13" i="6" l="1"/>
  <c r="C13" i="7"/>
  <c r="D13" i="7"/>
  <c r="E13" i="7"/>
  <c r="F13" i="7"/>
  <c r="G13" i="7"/>
  <c r="H13" i="7"/>
  <c r="I13" i="7"/>
  <c r="J13" i="7"/>
  <c r="K13" i="7"/>
  <c r="L13" i="7"/>
  <c r="M13" i="7"/>
  <c r="N13" i="7"/>
  <c r="O13" i="7"/>
  <c r="P13" i="7"/>
  <c r="Q13" i="7"/>
  <c r="R13" i="7"/>
  <c r="S13" i="7"/>
  <c r="T13" i="7"/>
  <c r="U13" i="7"/>
  <c r="B13" i="7"/>
  <c r="X13" i="7" s="1"/>
  <c r="C13" i="6"/>
  <c r="C13" i="25"/>
  <c r="D13" i="22"/>
  <c r="B13" i="22"/>
  <c r="E13" i="22"/>
  <c r="C13" i="22"/>
  <c r="F12" i="22" s="1"/>
  <c r="F13" i="22" s="1"/>
  <c r="C27" i="3" l="1"/>
  <c r="C26" i="3"/>
  <c r="B21" i="3" l="1"/>
  <c r="C21" i="3" l="1"/>
  <c r="D21" i="3"/>
  <c r="E21" i="3"/>
  <c r="F21" i="3"/>
  <c r="G21" i="3"/>
  <c r="H21" i="3"/>
  <c r="I21" i="3"/>
  <c r="J21" i="3"/>
  <c r="K21" i="3"/>
  <c r="L21" i="3"/>
  <c r="M21" i="3"/>
  <c r="N21" i="3"/>
  <c r="O21" i="3"/>
  <c r="P21" i="3"/>
  <c r="Q21" i="3"/>
  <c r="R21" i="3"/>
  <c r="S21" i="3"/>
  <c r="T21" i="3"/>
  <c r="U21" i="3"/>
  <c r="U13" i="6" l="1"/>
  <c r="T13" i="6"/>
  <c r="S13" i="6"/>
  <c r="R13" i="6"/>
  <c r="Q13" i="6"/>
  <c r="P13" i="6"/>
  <c r="N13" i="6"/>
  <c r="M13" i="6"/>
  <c r="L13" i="6"/>
  <c r="K13" i="6"/>
  <c r="I13" i="6"/>
  <c r="H13" i="6"/>
  <c r="G13" i="6"/>
  <c r="F13" i="6"/>
  <c r="E13" i="6"/>
  <c r="D13" i="6"/>
  <c r="U27" i="3"/>
  <c r="T27" i="3"/>
  <c r="S27" i="3"/>
  <c r="R27" i="3"/>
  <c r="Q27" i="3"/>
  <c r="P27" i="3"/>
  <c r="O27" i="3"/>
  <c r="N27" i="3"/>
  <c r="M27" i="3"/>
  <c r="L27" i="3"/>
  <c r="K27" i="3"/>
  <c r="J27" i="3"/>
  <c r="I27" i="3"/>
  <c r="H27" i="3"/>
  <c r="G27" i="3"/>
  <c r="F27" i="3"/>
  <c r="E27" i="3"/>
  <c r="D27" i="3"/>
  <c r="U26" i="3"/>
  <c r="T26" i="3"/>
  <c r="S26" i="3"/>
  <c r="R26" i="3"/>
  <c r="Q26" i="3"/>
  <c r="P26" i="3"/>
  <c r="O26" i="3"/>
  <c r="N26" i="3"/>
  <c r="M26" i="3"/>
  <c r="L26" i="3"/>
  <c r="K26" i="3"/>
  <c r="J26" i="3"/>
  <c r="I26" i="3"/>
  <c r="H26" i="3"/>
  <c r="G26" i="3"/>
  <c r="F26" i="3"/>
  <c r="E26" i="3"/>
  <c r="D26" i="3"/>
  <c r="V24" i="3"/>
  <c r="I24" i="3" l="1"/>
  <c r="Q24" i="3"/>
  <c r="D15" i="3"/>
  <c r="L15" i="3"/>
  <c r="T15" i="3"/>
  <c r="F24" i="3"/>
  <c r="F15" i="3"/>
  <c r="N24" i="3"/>
  <c r="N15" i="3"/>
  <c r="E15" i="3"/>
  <c r="G15" i="3"/>
  <c r="O15" i="3"/>
  <c r="U15" i="3"/>
  <c r="P24" i="3"/>
  <c r="P15" i="3"/>
  <c r="Q15" i="3"/>
  <c r="M15" i="3"/>
  <c r="H24" i="3"/>
  <c r="H15" i="3"/>
  <c r="I15" i="3"/>
  <c r="O24" i="3"/>
  <c r="B15" i="3"/>
  <c r="J15" i="3"/>
  <c r="R15" i="3"/>
  <c r="C15" i="3"/>
  <c r="K15" i="3"/>
  <c r="S15" i="3"/>
  <c r="J24" i="3"/>
  <c r="R24" i="3"/>
  <c r="C24" i="3"/>
  <c r="K24" i="3"/>
  <c r="S24" i="3"/>
  <c r="D24" i="3"/>
  <c r="L24" i="3"/>
  <c r="T24" i="3"/>
  <c r="E24" i="3"/>
  <c r="M24" i="3"/>
  <c r="U24" i="3"/>
  <c r="G24" i="3"/>
  <c r="V25" i="3" l="1"/>
  <c r="W25" i="3"/>
  <c r="N25" i="3"/>
  <c r="T25" i="3"/>
  <c r="C25" i="3"/>
  <c r="Q25" i="3"/>
  <c r="L25" i="3"/>
  <c r="G25" i="3"/>
  <c r="P25" i="3"/>
  <c r="F25" i="3"/>
  <c r="H25" i="3"/>
  <c r="D25" i="3"/>
  <c r="K25" i="3"/>
  <c r="E25" i="3"/>
  <c r="I25" i="3"/>
  <c r="M25" i="3"/>
  <c r="R25" i="3"/>
  <c r="S25" i="3"/>
  <c r="J25" i="3"/>
  <c r="O25" i="3"/>
  <c r="U25" i="3" l="1"/>
  <c r="B13" i="25" l="1"/>
  <c r="D13" i="25" s="1"/>
  <c r="D4" i="25"/>
</calcChain>
</file>

<file path=xl/sharedStrings.xml><?xml version="1.0" encoding="utf-8"?>
<sst xmlns="http://schemas.openxmlformats.org/spreadsheetml/2006/main" count="167" uniqueCount="88">
  <si>
    <t>Gestion des eaux usées</t>
  </si>
  <si>
    <t>Lutte contre le bruit et les vibrations</t>
  </si>
  <si>
    <t>Protection de la biodiversité et des paysages</t>
  </si>
  <si>
    <t>Recherche et développement pour l'environnement</t>
  </si>
  <si>
    <t xml:space="preserve">Autres activités de protection de l'environnement </t>
  </si>
  <si>
    <t>En millions d'euros courants</t>
  </si>
  <si>
    <t>Gestion des déchets radioactifs</t>
  </si>
  <si>
    <t>Dépense totale de protection de l'environnement (prix courants)</t>
  </si>
  <si>
    <t>Dépense totale de protection de l'environnement (volume)*</t>
  </si>
  <si>
    <t>* Inflation calculée sur la base de la comparaison entre le PIB (base 2014) en prix courants et en volume (Prix chaîné année de base (non équilibré))</t>
  </si>
  <si>
    <t>PIB en prix courants</t>
  </si>
  <si>
    <t>PIB en volume</t>
  </si>
  <si>
    <t>Indice 100 en 2000</t>
  </si>
  <si>
    <t>Dépenses totales de protection de l'environnement (prix courants)</t>
  </si>
  <si>
    <t>Dépenses totales de protection de l'environnement (volume)</t>
  </si>
  <si>
    <t>Entreprises</t>
  </si>
  <si>
    <t>Ménages</t>
  </si>
  <si>
    <t>Administrations publiques</t>
  </si>
  <si>
    <t>Reste du monde</t>
  </si>
  <si>
    <t>Total</t>
  </si>
  <si>
    <t>En milliards d'euros courants</t>
  </si>
  <si>
    <t>Dépenses d'investissement</t>
  </si>
  <si>
    <t>Gestions des eaux usées</t>
  </si>
  <si>
    <t>Dépenses courantes</t>
  </si>
  <si>
    <t>Montant en 2000</t>
  </si>
  <si>
    <t>France</t>
  </si>
  <si>
    <t>Luxembourg</t>
  </si>
  <si>
    <t>Portugal</t>
  </si>
  <si>
    <t>Gestion des déchets*</t>
  </si>
  <si>
    <t>Protection et dépollution des sols et des eaux</t>
  </si>
  <si>
    <t>Ratio PIB courant/PIB volume</t>
  </si>
  <si>
    <t xml:space="preserve"> </t>
  </si>
  <si>
    <t>En % du PIB</t>
  </si>
  <si>
    <t>Autriche</t>
  </si>
  <si>
    <t>Belgique</t>
  </si>
  <si>
    <t>Bulgarie</t>
  </si>
  <si>
    <t>Croatie</t>
  </si>
  <si>
    <t>Chypre</t>
  </si>
  <si>
    <t>Tchéquie</t>
  </si>
  <si>
    <t>Danemark</t>
  </si>
  <si>
    <t>Estonie</t>
  </si>
  <si>
    <t>Finlande</t>
  </si>
  <si>
    <t>Allemagne</t>
  </si>
  <si>
    <t>Grèce</t>
  </si>
  <si>
    <t>Hongrie</t>
  </si>
  <si>
    <t>Irlande</t>
  </si>
  <si>
    <t>Italie</t>
  </si>
  <si>
    <t>Lettonie</t>
  </si>
  <si>
    <t>Lituanie</t>
  </si>
  <si>
    <t>Malte</t>
  </si>
  <si>
    <t>Pays-Bas</t>
  </si>
  <si>
    <t>Pologne</t>
  </si>
  <si>
    <t>Roumanie</t>
  </si>
  <si>
    <t>Slovaquie</t>
  </si>
  <si>
    <t>Slovénie</t>
  </si>
  <si>
    <t>Suède</t>
  </si>
  <si>
    <t>Pays</t>
  </si>
  <si>
    <t>Espagne</t>
  </si>
  <si>
    <t>En indice base 100 en 2000</t>
  </si>
  <si>
    <t>Protection de l'air extérieur**</t>
  </si>
  <si>
    <r>
      <rPr>
        <b/>
        <i/>
        <sz val="9"/>
        <rFont val="Arial"/>
        <family val="2"/>
      </rPr>
      <t>Source</t>
    </r>
    <r>
      <rPr>
        <i/>
        <sz val="9"/>
        <rFont val="Arial"/>
        <family val="2"/>
      </rPr>
      <t xml:space="preserve"> : SDES, compte satellite de l'environnement, 2023</t>
    </r>
  </si>
  <si>
    <r>
      <rPr>
        <b/>
        <i/>
        <sz val="9"/>
        <color theme="1"/>
        <rFont val="Arial"/>
        <family val="2"/>
      </rPr>
      <t>Source</t>
    </r>
    <r>
      <rPr>
        <i/>
        <sz val="9"/>
        <color theme="1"/>
        <rFont val="Arial"/>
        <family val="2"/>
      </rPr>
      <t xml:space="preserve"> : SDES, compte satellite de l'environnement, 2023 ; Insee, comptes nationaux, 2023. Traitements : SDES, 2023</t>
    </r>
  </si>
  <si>
    <t>Graphique 3 : financement des dépenses de protection de l'environnement par domaine et acteur économique en 2021</t>
  </si>
  <si>
    <t>R&amp;D pour l'environnement</t>
  </si>
  <si>
    <t>Autres activités</t>
  </si>
  <si>
    <t xml:space="preserve">Autres activités </t>
  </si>
  <si>
    <t>Graphique 4 : répartition des dépenses de protection de l'environnement par nature et par domaine en 2021</t>
  </si>
  <si>
    <t>Évolution 2000-2021</t>
  </si>
  <si>
    <r>
      <rPr>
        <b/>
        <i/>
        <sz val="9"/>
        <color theme="1"/>
        <rFont val="Arial"/>
        <family val="2"/>
      </rPr>
      <t>Source</t>
    </r>
    <r>
      <rPr>
        <i/>
        <sz val="9"/>
        <color theme="1"/>
        <rFont val="Arial"/>
        <family val="2"/>
      </rPr>
      <t xml:space="preserve"> : SDES, compte satellite de l'environnement, 2023</t>
    </r>
  </si>
  <si>
    <t>Carte 1 : les dépenses de protection de l'environnement dans l'Union européenne, en 2020</t>
  </si>
  <si>
    <t>** Hors maîtrise de l'énergie et production d'énergie à partir de sources renouvelables.</t>
  </si>
  <si>
    <t>* Hors activités de récupération et transformation des déchets en matières premières de recyclage</t>
  </si>
  <si>
    <t>Graphique 5 : répartition des dépenses d'investissement de protection de l'environnement par domaine et évolution entre 2000 et 2021</t>
  </si>
  <si>
    <t>Graphique 6 : répartition des dépenses courantes de protection de l'environnement par domaine et évolution entre 2000 et 2021</t>
  </si>
  <si>
    <t>Valeur 2020</t>
  </si>
  <si>
    <t>Champ : Union européenne</t>
  </si>
  <si>
    <t>** hors activités de récupération et transformation des déchets en matières premières de recyclage</t>
  </si>
  <si>
    <t>* hors maîtrise de l'énergie et production d'énergie à partir de sources renouvelables</t>
  </si>
  <si>
    <t>** hors maîtrise de l'énergie et production d'énergie à partir de sources renouvelables.</t>
  </si>
  <si>
    <t>* hors activités de récupération et transformation des déchets en matières premières de recyclage.</t>
  </si>
  <si>
    <t>Graphique 1 : répartition des dépenses de protection de l’environnement par domaine, en 2021</t>
  </si>
  <si>
    <t>Graphique 2 : évolutions comparées des dépenses de protection de l'environnement et du PIB</t>
  </si>
  <si>
    <t>Note :  par rapport à l'édition précédente, les montants des dépenses de protection de l'environnement ont été révisés à la hausse sur la période 2000-2020, à la suite de plusieurs changements méthodologiques, notamment dans les domaines de la protection de l’air, de la biodiversité et des autres activités.</t>
  </si>
  <si>
    <t>Champ : France.</t>
  </si>
  <si>
    <t>Gestion des déchets**</t>
  </si>
  <si>
    <t>Protection de l'air extérieur*</t>
  </si>
  <si>
    <r>
      <t xml:space="preserve">Source : </t>
    </r>
    <r>
      <rPr>
        <i/>
        <sz val="9"/>
        <color theme="1"/>
        <rFont val="Arial"/>
        <family val="2"/>
      </rPr>
      <t xml:space="preserve">Eurostat. Traitements : SDES, 2023 </t>
    </r>
  </si>
  <si>
    <t>Sommaire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</si>
</sst>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3" formatCode="_-* #,##0.00_-;\-* #,##0.00_-;_-* &quot;-&quot;??_-;_-@_-"/>
    <numFmt numFmtId="164" formatCode="#,##0.0"/>
    <numFmt numFmtId="165" formatCode="_-* #,##0_-;\-* #,##0_-;_-* &quot;-&quot;??_-;_-@_-"/>
    <numFmt numFmtId="166" formatCode="0.0%"/>
    <numFmt numFmtId="167" formatCode="0.0"/>
    <numFmt numFmtId="168" formatCode="_-* #,##0.0_-;\-* #,##0.0_-;_-* &quot;-&quot;??_-;_-@_-"/>
    <numFmt numFmtId="169" formatCode="##0.0"/>
    <numFmt numFmtId="170" formatCode="0\ %"/>
  </numFmts>
  <fonts count="21" x14ac:knownFonts="1">
    <font>
      <sz val="11"/>
      <color theme="1"/>
      <name val="Calibri"/>
      <family val="2"/>
      <scheme val="minor"/>
    </font>
    <font>
      <sz val="9"/>
      <color theme="1"/>
      <name val="Arial"/>
      <family val="2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i/>
      <sz val="10"/>
      <name val="Arial"/>
      <family val="2"/>
    </font>
    <font>
      <b/>
      <sz val="11"/>
      <name val="Arial"/>
      <family val="2"/>
    </font>
    <font>
      <i/>
      <sz val="11"/>
      <color rgb="FF808080"/>
      <name val="Calibri"/>
      <family val="2"/>
      <charset val="1"/>
    </font>
    <font>
      <b/>
      <sz val="12"/>
      <color rgb="FFFF0000"/>
      <name val="Arial"/>
      <family val="2"/>
      <charset val="1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sz val="10"/>
      <color theme="1"/>
      <name val="Arial"/>
      <family val="2"/>
    </font>
    <font>
      <i/>
      <sz val="10"/>
      <color theme="1"/>
      <name val="Arial"/>
      <family val="2"/>
    </font>
    <font>
      <b/>
      <sz val="10"/>
      <color theme="1"/>
      <name val="Arial"/>
      <family val="2"/>
    </font>
    <font>
      <i/>
      <sz val="9"/>
      <name val="Arial"/>
      <family val="2"/>
    </font>
    <font>
      <b/>
      <i/>
      <sz val="9"/>
      <name val="Arial"/>
      <family val="2"/>
    </font>
    <font>
      <i/>
      <sz val="9"/>
      <color theme="1"/>
      <name val="Arial"/>
      <family val="2"/>
    </font>
    <font>
      <b/>
      <i/>
      <sz val="9"/>
      <color theme="1"/>
      <name val="Arial"/>
      <family val="2"/>
    </font>
    <font>
      <sz val="10"/>
      <name val="Arial"/>
      <family val="2"/>
      <charset val="1"/>
    </font>
    <font>
      <sz val="12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/>
        <bgColor rgb="FFF5F1F2"/>
      </patternFill>
    </fill>
    <fill>
      <patternFill patternType="solid">
        <fgColor rgb="FF33CCCC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double">
        <color auto="1"/>
      </left>
      <right/>
      <top style="double">
        <color auto="1"/>
      </top>
      <bottom style="double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indexed="64"/>
      </right>
      <top/>
      <bottom style="thin">
        <color auto="1"/>
      </bottom>
      <diagonal/>
    </border>
  </borders>
  <cellStyleXfs count="17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3" fillId="0" borderId="0"/>
    <xf numFmtId="0" fontId="7" fillId="0" borderId="0" applyBorder="0" applyProtection="0"/>
    <xf numFmtId="0" fontId="2" fillId="0" borderId="0"/>
    <xf numFmtId="0" fontId="3" fillId="0" borderId="0"/>
    <xf numFmtId="170" fontId="3" fillId="0" borderId="0" applyBorder="0" applyProtection="0"/>
    <xf numFmtId="170" fontId="3" fillId="0" borderId="0" applyBorder="0" applyProtection="0"/>
    <xf numFmtId="0" fontId="3" fillId="0" borderId="0"/>
    <xf numFmtId="9" fontId="3" fillId="0" borderId="0" applyFont="0" applyFill="0" applyBorder="0" applyAlignment="0" applyProtection="0"/>
    <xf numFmtId="170" fontId="3" fillId="0" borderId="0" applyBorder="0" applyProtection="0"/>
    <xf numFmtId="0" fontId="8" fillId="0" borderId="3">
      <alignment horizontal="center"/>
      <protection hidden="1"/>
    </xf>
    <xf numFmtId="0" fontId="3" fillId="0" borderId="0"/>
    <xf numFmtId="9" fontId="3" fillId="0" borderId="0" applyFont="0" applyFill="0" applyBorder="0" applyAlignment="0" applyProtection="0"/>
    <xf numFmtId="0" fontId="7" fillId="0" borderId="0" applyBorder="0" applyProtection="0"/>
    <xf numFmtId="0" fontId="20" fillId="0" borderId="0" applyNumberFormat="0" applyFill="0" applyBorder="0" applyAlignment="0" applyProtection="0"/>
  </cellStyleXfs>
  <cellXfs count="108">
    <xf numFmtId="0" fontId="0" fillId="0" borderId="0" xfId="0"/>
    <xf numFmtId="3" fontId="6" fillId="2" borderId="0" xfId="3" applyNumberFormat="1" applyFont="1" applyFill="1" applyAlignment="1">
      <alignment vertical="top"/>
    </xf>
    <xf numFmtId="165" fontId="3" fillId="2" borderId="1" xfId="1" applyNumberFormat="1" applyFont="1" applyFill="1" applyBorder="1" applyAlignment="1">
      <alignment horizontal="center" vertical="center"/>
    </xf>
    <xf numFmtId="0" fontId="9" fillId="2" borderId="0" xfId="0" applyFont="1" applyFill="1"/>
    <xf numFmtId="0" fontId="4" fillId="2" borderId="1" xfId="3" applyFont="1" applyFill="1" applyBorder="1" applyAlignment="1">
      <alignment vertical="center"/>
    </xf>
    <xf numFmtId="3" fontId="3" fillId="2" borderId="0" xfId="3" applyNumberFormat="1" applyFont="1" applyFill="1" applyAlignment="1">
      <alignment vertical="center"/>
    </xf>
    <xf numFmtId="0" fontId="10" fillId="2" borderId="0" xfId="0" applyFont="1" applyFill="1"/>
    <xf numFmtId="0" fontId="10" fillId="2" borderId="0" xfId="0" applyFont="1" applyFill="1" applyBorder="1" applyAlignment="1">
      <alignment horizontal="center"/>
    </xf>
    <xf numFmtId="1" fontId="4" fillId="2" borderId="1" xfId="3" applyNumberFormat="1" applyFont="1" applyFill="1" applyBorder="1" applyAlignment="1">
      <alignment horizontal="center" vertical="center"/>
    </xf>
    <xf numFmtId="0" fontId="4" fillId="2" borderId="1" xfId="3" applyNumberFormat="1" applyFont="1" applyFill="1" applyBorder="1" applyAlignment="1">
      <alignment horizontal="center" vertical="center"/>
    </xf>
    <xf numFmtId="0" fontId="4" fillId="2" borderId="0" xfId="3" applyNumberFormat="1" applyFont="1" applyFill="1" applyBorder="1" applyAlignment="1">
      <alignment horizontal="center" vertical="center"/>
    </xf>
    <xf numFmtId="1" fontId="4" fillId="2" borderId="0" xfId="3" applyNumberFormat="1" applyFont="1" applyFill="1" applyBorder="1" applyAlignment="1">
      <alignment horizontal="center" vertical="center"/>
    </xf>
    <xf numFmtId="0" fontId="3" fillId="2" borderId="1" xfId="3" applyFont="1" applyFill="1" applyBorder="1" applyAlignment="1">
      <alignment vertical="center"/>
    </xf>
    <xf numFmtId="9" fontId="10" fillId="2" borderId="0" xfId="2" applyFont="1" applyFill="1"/>
    <xf numFmtId="3" fontId="10" fillId="2" borderId="0" xfId="0" applyNumberFormat="1" applyFont="1" applyFill="1"/>
    <xf numFmtId="166" fontId="10" fillId="2" borderId="0" xfId="2" applyNumberFormat="1" applyFont="1" applyFill="1"/>
    <xf numFmtId="1" fontId="10" fillId="2" borderId="0" xfId="0" applyNumberFormat="1" applyFont="1" applyFill="1"/>
    <xf numFmtId="0" fontId="10" fillId="2" borderId="0" xfId="0" applyFont="1" applyFill="1" applyBorder="1"/>
    <xf numFmtId="0" fontId="11" fillId="2" borderId="0" xfId="0" applyFont="1" applyFill="1"/>
    <xf numFmtId="0" fontId="12" fillId="2" borderId="0" xfId="0" applyFont="1" applyFill="1"/>
    <xf numFmtId="0" fontId="11" fillId="2" borderId="1" xfId="0" applyFont="1" applyFill="1" applyBorder="1"/>
    <xf numFmtId="0" fontId="11" fillId="2" borderId="0" xfId="0" applyFont="1" applyFill="1" applyBorder="1"/>
    <xf numFmtId="0" fontId="13" fillId="2" borderId="1" xfId="0" applyFont="1" applyFill="1" applyBorder="1" applyAlignment="1">
      <alignment horizontal="center"/>
    </xf>
    <xf numFmtId="9" fontId="11" fillId="2" borderId="0" xfId="2" applyFont="1" applyFill="1"/>
    <xf numFmtId="3" fontId="11" fillId="2" borderId="0" xfId="0" applyNumberFormat="1" applyFont="1" applyFill="1"/>
    <xf numFmtId="166" fontId="11" fillId="2" borderId="0" xfId="2" applyNumberFormat="1" applyFont="1" applyFill="1"/>
    <xf numFmtId="9" fontId="9" fillId="2" borderId="0" xfId="2" applyFont="1" applyFill="1"/>
    <xf numFmtId="3" fontId="9" fillId="2" borderId="0" xfId="0" applyNumberFormat="1" applyFont="1" applyFill="1"/>
    <xf numFmtId="166" fontId="9" fillId="2" borderId="0" xfId="2" applyNumberFormat="1" applyFont="1" applyFill="1"/>
    <xf numFmtId="0" fontId="3" fillId="2" borderId="1" xfId="3" applyFont="1" applyFill="1" applyBorder="1" applyAlignment="1">
      <alignment vertical="center" wrapText="1"/>
    </xf>
    <xf numFmtId="0" fontId="10" fillId="2" borderId="0" xfId="0" applyFont="1" applyFill="1" applyAlignment="1"/>
    <xf numFmtId="167" fontId="9" fillId="2" borderId="0" xfId="0" applyNumberFormat="1" applyFont="1" applyFill="1" applyBorder="1"/>
    <xf numFmtId="0" fontId="9" fillId="2" borderId="0" xfId="0" applyFont="1" applyFill="1" applyBorder="1"/>
    <xf numFmtId="0" fontId="13" fillId="2" borderId="2" xfId="0" applyFont="1" applyFill="1" applyBorder="1" applyAlignment="1">
      <alignment horizontal="center"/>
    </xf>
    <xf numFmtId="0" fontId="14" fillId="2" borderId="0" xfId="3" applyFont="1" applyFill="1" applyBorder="1" applyAlignment="1">
      <alignment vertical="center"/>
    </xf>
    <xf numFmtId="165" fontId="13" fillId="2" borderId="1" xfId="0" applyNumberFormat="1" applyFont="1" applyFill="1" applyBorder="1"/>
    <xf numFmtId="165" fontId="11" fillId="2" borderId="0" xfId="0" applyNumberFormat="1" applyFont="1" applyFill="1"/>
    <xf numFmtId="2" fontId="11" fillId="2" borderId="0" xfId="0" applyNumberFormat="1" applyFont="1" applyFill="1" applyBorder="1" applyAlignment="1">
      <alignment horizontal="center" vertical="center"/>
    </xf>
    <xf numFmtId="0" fontId="16" fillId="2" borderId="0" xfId="0" applyFont="1" applyFill="1" applyAlignment="1">
      <alignment horizontal="left" vertical="top"/>
    </xf>
    <xf numFmtId="0" fontId="14" fillId="2" borderId="0" xfId="3" applyFont="1" applyFill="1" applyBorder="1" applyAlignment="1">
      <alignment horizontal="left" vertical="top"/>
    </xf>
    <xf numFmtId="0" fontId="5" fillId="2" borderId="0" xfId="0" applyFont="1" applyFill="1"/>
    <xf numFmtId="0" fontId="13" fillId="2" borderId="1" xfId="0" applyFont="1" applyFill="1" applyBorder="1"/>
    <xf numFmtId="0" fontId="3" fillId="2" borderId="0" xfId="0" applyFont="1" applyFill="1"/>
    <xf numFmtId="164" fontId="4" fillId="2" borderId="0" xfId="3" applyNumberFormat="1" applyFont="1" applyFill="1" applyBorder="1" applyAlignment="1">
      <alignment horizontal="center" vertical="center"/>
    </xf>
    <xf numFmtId="168" fontId="11" fillId="2" borderId="1" xfId="1" applyNumberFormat="1" applyFont="1" applyFill="1" applyBorder="1" applyAlignment="1">
      <alignment horizontal="center" vertical="center"/>
    </xf>
    <xf numFmtId="168" fontId="11" fillId="2" borderId="1" xfId="0" applyNumberFormat="1" applyFont="1" applyFill="1" applyBorder="1" applyAlignment="1">
      <alignment horizontal="center" vertical="center"/>
    </xf>
    <xf numFmtId="164" fontId="11" fillId="2" borderId="1" xfId="0" applyNumberFormat="1" applyFont="1" applyFill="1" applyBorder="1" applyAlignment="1">
      <alignment horizontal="right" vertical="center" indent="1"/>
    </xf>
    <xf numFmtId="164" fontId="13" fillId="2" borderId="1" xfId="0" applyNumberFormat="1" applyFont="1" applyFill="1" applyBorder="1" applyAlignment="1">
      <alignment horizontal="right" vertical="center" indent="1"/>
    </xf>
    <xf numFmtId="164" fontId="4" fillId="2" borderId="1" xfId="3" applyNumberFormat="1" applyFont="1" applyFill="1" applyBorder="1" applyAlignment="1">
      <alignment horizontal="right" vertical="center" indent="1"/>
    </xf>
    <xf numFmtId="0" fontId="13" fillId="2" borderId="1" xfId="0" applyFont="1" applyFill="1" applyBorder="1" applyAlignment="1">
      <alignment horizontal="center" vertical="center"/>
    </xf>
    <xf numFmtId="0" fontId="10" fillId="2" borderId="0" xfId="0" applyFont="1" applyFill="1" applyAlignment="1">
      <alignment horizontal="center" vertical="center"/>
    </xf>
    <xf numFmtId="167" fontId="11" fillId="2" borderId="1" xfId="0" applyNumberFormat="1" applyFont="1" applyFill="1" applyBorder="1" applyAlignment="1">
      <alignment horizontal="right" vertical="center" indent="1"/>
    </xf>
    <xf numFmtId="165" fontId="3" fillId="2" borderId="1" xfId="1" applyNumberFormat="1" applyFont="1" applyFill="1" applyBorder="1" applyAlignment="1">
      <alignment horizontal="right" indent="1"/>
    </xf>
    <xf numFmtId="2" fontId="11" fillId="2" borderId="1" xfId="0" applyNumberFormat="1" applyFont="1" applyFill="1" applyBorder="1" applyAlignment="1">
      <alignment horizontal="right" vertical="center" indent="1"/>
    </xf>
    <xf numFmtId="0" fontId="11" fillId="2" borderId="1" xfId="0" applyFont="1" applyFill="1" applyBorder="1" applyAlignment="1">
      <alignment horizontal="right" indent="1"/>
    </xf>
    <xf numFmtId="167" fontId="11" fillId="2" borderId="1" xfId="0" applyNumberFormat="1" applyFont="1" applyFill="1" applyBorder="1" applyAlignment="1">
      <alignment horizontal="right" indent="1"/>
    </xf>
    <xf numFmtId="164" fontId="11" fillId="2" borderId="1" xfId="0" applyNumberFormat="1" applyFont="1" applyFill="1" applyBorder="1" applyAlignment="1">
      <alignment horizontal="right" vertical="center" wrapText="1" indent="1"/>
    </xf>
    <xf numFmtId="0" fontId="13" fillId="2" borderId="2" xfId="0" applyFont="1" applyFill="1" applyBorder="1" applyAlignment="1">
      <alignment horizontal="center" vertical="center"/>
    </xf>
    <xf numFmtId="0" fontId="13" fillId="2" borderId="2" xfId="0" applyFont="1" applyFill="1" applyBorder="1" applyAlignment="1">
      <alignment horizontal="center" vertical="center" wrapText="1"/>
    </xf>
    <xf numFmtId="0" fontId="11" fillId="2" borderId="4" xfId="0" applyFont="1" applyFill="1" applyBorder="1"/>
    <xf numFmtId="0" fontId="16" fillId="2" borderId="0" xfId="0" applyFont="1" applyFill="1" applyAlignment="1"/>
    <xf numFmtId="167" fontId="13" fillId="2" borderId="1" xfId="0" applyNumberFormat="1" applyFont="1" applyFill="1" applyBorder="1" applyAlignment="1">
      <alignment horizontal="right" indent="1"/>
    </xf>
    <xf numFmtId="0" fontId="13" fillId="2" borderId="1" xfId="0" applyFont="1" applyFill="1" applyBorder="1" applyAlignment="1">
      <alignment horizontal="center" vertical="center" wrapText="1"/>
    </xf>
    <xf numFmtId="0" fontId="11" fillId="2" borderId="1" xfId="0" applyFont="1" applyFill="1" applyBorder="1" applyAlignment="1">
      <alignment horizontal="center" vertical="center" wrapText="1"/>
    </xf>
    <xf numFmtId="0" fontId="12" fillId="2" borderId="0" xfId="0" applyFont="1" applyFill="1" applyBorder="1"/>
    <xf numFmtId="0" fontId="4" fillId="0" borderId="5" xfId="0" applyNumberFormat="1" applyFont="1" applyFill="1" applyBorder="1" applyAlignment="1">
      <alignment horizontal="center" vertical="center"/>
    </xf>
    <xf numFmtId="0" fontId="3" fillId="0" borderId="5" xfId="0" applyNumberFormat="1" applyFont="1" applyFill="1" applyBorder="1" applyAlignment="1"/>
    <xf numFmtId="164" fontId="4" fillId="0" borderId="5" xfId="0" applyNumberFormat="1" applyFont="1" applyFill="1" applyBorder="1" applyAlignment="1">
      <alignment horizontal="center" vertical="center"/>
    </xf>
    <xf numFmtId="164" fontId="3" fillId="0" borderId="5" xfId="0" applyNumberFormat="1" applyFont="1" applyFill="1" applyBorder="1" applyAlignment="1"/>
    <xf numFmtId="0" fontId="1" fillId="2" borderId="0" xfId="0" applyFont="1" applyFill="1" applyAlignment="1"/>
    <xf numFmtId="0" fontId="18" fillId="3" borderId="0" xfId="15" applyFont="1" applyFill="1" applyBorder="1" applyAlignment="1" applyProtection="1">
      <alignment vertical="top"/>
    </xf>
    <xf numFmtId="167" fontId="13" fillId="2" borderId="1" xfId="0" applyNumberFormat="1" applyFont="1" applyFill="1" applyBorder="1" applyAlignment="1">
      <alignment horizontal="right" vertical="center" indent="1"/>
    </xf>
    <xf numFmtId="164" fontId="4" fillId="2" borderId="0" xfId="3" applyNumberFormat="1" applyFont="1" applyFill="1" applyBorder="1" applyAlignment="1">
      <alignment horizontal="right" vertical="center" indent="1"/>
    </xf>
    <xf numFmtId="0" fontId="16" fillId="0" borderId="0" xfId="0" applyFont="1"/>
    <xf numFmtId="0" fontId="11" fillId="2" borderId="0" xfId="0" applyFont="1" applyFill="1" applyBorder="1" applyAlignment="1">
      <alignment horizontal="right" indent="1"/>
    </xf>
    <xf numFmtId="167" fontId="11" fillId="2" borderId="0" xfId="0" applyNumberFormat="1" applyFont="1" applyFill="1" applyBorder="1" applyAlignment="1">
      <alignment horizontal="right" indent="1"/>
    </xf>
    <xf numFmtId="164" fontId="13" fillId="2" borderId="0" xfId="0" applyNumberFormat="1" applyFont="1" applyFill="1" applyBorder="1" applyAlignment="1">
      <alignment horizontal="right" vertical="center" indent="1"/>
    </xf>
    <xf numFmtId="168" fontId="11" fillId="2" borderId="0" xfId="0" applyNumberFormat="1" applyFont="1" applyFill="1" applyBorder="1" applyAlignment="1">
      <alignment horizontal="center" vertical="center"/>
    </xf>
    <xf numFmtId="167" fontId="13" fillId="2" borderId="0" xfId="0" applyNumberFormat="1" applyFont="1" applyFill="1" applyBorder="1" applyAlignment="1">
      <alignment horizontal="right" indent="1"/>
    </xf>
    <xf numFmtId="0" fontId="13" fillId="0" borderId="1" xfId="0" applyFont="1" applyBorder="1"/>
    <xf numFmtId="0" fontId="16" fillId="0" borderId="0" xfId="0" applyFont="1" applyAlignment="1">
      <alignment vertical="center"/>
    </xf>
    <xf numFmtId="0" fontId="14" fillId="2" borderId="0" xfId="3" applyFont="1" applyFill="1" applyAlignment="1">
      <alignment vertical="center"/>
    </xf>
    <xf numFmtId="168" fontId="13" fillId="2" borderId="1" xfId="0" applyNumberFormat="1" applyFont="1" applyFill="1" applyBorder="1" applyAlignment="1">
      <alignment horizontal="center" vertical="center"/>
    </xf>
    <xf numFmtId="0" fontId="16" fillId="0" borderId="0" xfId="0" applyFont="1" applyBorder="1" applyAlignment="1">
      <alignment vertical="center"/>
    </xf>
    <xf numFmtId="0" fontId="16" fillId="0" borderId="6" xfId="0" applyFont="1" applyBorder="1" applyAlignment="1">
      <alignment vertical="center"/>
    </xf>
    <xf numFmtId="0" fontId="5" fillId="2" borderId="0" xfId="0" applyFont="1" applyFill="1" applyBorder="1"/>
    <xf numFmtId="167" fontId="10" fillId="2" borderId="0" xfId="0" applyNumberFormat="1" applyFont="1" applyFill="1"/>
    <xf numFmtId="167" fontId="10" fillId="2" borderId="0" xfId="0" applyNumberFormat="1" applyFont="1" applyFill="1" applyAlignment="1"/>
    <xf numFmtId="0" fontId="11" fillId="2" borderId="1" xfId="0" applyFont="1" applyFill="1" applyBorder="1" applyAlignment="1">
      <alignment vertical="center"/>
    </xf>
    <xf numFmtId="167" fontId="13" fillId="2" borderId="1" xfId="0" applyNumberFormat="1" applyFont="1" applyFill="1" applyBorder="1" applyAlignment="1">
      <alignment horizontal="right" vertical="center"/>
    </xf>
    <xf numFmtId="167" fontId="11" fillId="2" borderId="1" xfId="0" applyNumberFormat="1" applyFont="1" applyFill="1" applyBorder="1" applyAlignment="1">
      <alignment horizontal="right" vertical="center"/>
    </xf>
    <xf numFmtId="166" fontId="10" fillId="2" borderId="0" xfId="2" applyNumberFormat="1" applyFont="1" applyFill="1" applyAlignment="1">
      <alignment vertical="center"/>
    </xf>
    <xf numFmtId="0" fontId="10" fillId="2" borderId="0" xfId="0" applyFont="1" applyFill="1" applyAlignment="1">
      <alignment vertical="center"/>
    </xf>
    <xf numFmtId="9" fontId="10" fillId="2" borderId="0" xfId="2" applyFont="1" applyFill="1" applyAlignment="1">
      <alignment vertical="center"/>
    </xf>
    <xf numFmtId="167" fontId="13" fillId="0" borderId="1" xfId="0" applyNumberFormat="1" applyFont="1" applyFill="1" applyBorder="1" applyAlignment="1">
      <alignment horizontal="right" vertical="center"/>
    </xf>
    <xf numFmtId="167" fontId="11" fillId="0" borderId="1" xfId="0" applyNumberFormat="1" applyFont="1" applyFill="1" applyBorder="1" applyAlignment="1">
      <alignment horizontal="right" vertical="center"/>
    </xf>
    <xf numFmtId="169" fontId="13" fillId="2" borderId="1" xfId="0" applyNumberFormat="1" applyFont="1" applyFill="1" applyBorder="1" applyAlignment="1">
      <alignment horizontal="right" vertical="center"/>
    </xf>
    <xf numFmtId="167" fontId="11" fillId="2" borderId="2" xfId="0" applyNumberFormat="1" applyFont="1" applyFill="1" applyBorder="1" applyAlignment="1">
      <alignment horizontal="right" vertical="center"/>
    </xf>
    <xf numFmtId="167" fontId="11" fillId="2" borderId="7" xfId="0" applyNumberFormat="1" applyFont="1" applyFill="1" applyBorder="1" applyAlignment="1">
      <alignment horizontal="right" vertical="center"/>
    </xf>
    <xf numFmtId="0" fontId="13" fillId="2" borderId="1" xfId="0" applyFont="1" applyFill="1" applyBorder="1" applyAlignment="1">
      <alignment vertical="center"/>
    </xf>
    <xf numFmtId="2" fontId="10" fillId="2" borderId="0" xfId="2" applyNumberFormat="1" applyFont="1" applyFill="1" applyAlignment="1">
      <alignment vertical="center"/>
    </xf>
    <xf numFmtId="9" fontId="10" fillId="2" borderId="0" xfId="2" applyFont="1" applyFill="1" applyAlignment="1"/>
    <xf numFmtId="9" fontId="9" fillId="2" borderId="0" xfId="2" applyFont="1" applyFill="1" applyBorder="1"/>
    <xf numFmtId="0" fontId="17" fillId="2" borderId="0" xfId="0" applyFont="1" applyFill="1" applyAlignment="1"/>
    <xf numFmtId="0" fontId="3" fillId="4" borderId="5" xfId="0" applyNumberFormat="1" applyFont="1" applyFill="1" applyBorder="1" applyAlignment="1"/>
    <xf numFmtId="164" fontId="3" fillId="4" borderId="5" xfId="0" applyNumberFormat="1" applyFont="1" applyFill="1" applyBorder="1" applyAlignment="1"/>
    <xf numFmtId="0" fontId="19" fillId="0" borderId="0" xfId="0" applyFont="1"/>
    <xf numFmtId="0" fontId="20" fillId="0" borderId="0" xfId="16"/>
  </cellXfs>
  <cellStyles count="17">
    <cellStyle name="Lien hypertexte" xfId="16" builtinId="8"/>
    <cellStyle name="Milliers" xfId="1" builtinId="3"/>
    <cellStyle name="Normal" xfId="0" builtinId="0"/>
    <cellStyle name="Normal 2" xfId="3" xr:uid="{00000000-0005-0000-0000-000002000000}"/>
    <cellStyle name="Normal 2 2" xfId="5" xr:uid="{00000000-0005-0000-0000-000003000000}"/>
    <cellStyle name="Normal 4" xfId="9" xr:uid="{00000000-0005-0000-0000-000004000000}"/>
    <cellStyle name="Normal 43" xfId="13" xr:uid="{00000000-0005-0000-0000-000005000000}"/>
    <cellStyle name="Normal 5" xfId="6" xr:uid="{00000000-0005-0000-0000-000006000000}"/>
    <cellStyle name="Pourcentage" xfId="2" builtinId="5"/>
    <cellStyle name="Pourcentage 2 4" xfId="11" xr:uid="{00000000-0005-0000-0000-000008000000}"/>
    <cellStyle name="Pourcentage 4" xfId="8" xr:uid="{00000000-0005-0000-0000-000009000000}"/>
    <cellStyle name="Pourcentage 5" xfId="10" xr:uid="{00000000-0005-0000-0000-00000A000000}"/>
    <cellStyle name="Pourcentage 8" xfId="14" xr:uid="{00000000-0005-0000-0000-00000B000000}"/>
    <cellStyle name="Texte explicatif 2" xfId="12" xr:uid="{00000000-0005-0000-0000-00000D000000}"/>
    <cellStyle name="Texte explicatif 2 2" xfId="4" xr:uid="{00000000-0005-0000-0000-00000E000000}"/>
    <cellStyle name="Texte explicatif 2 2 2" xfId="15" xr:uid="{00000000-0005-0000-0000-00000F000000}"/>
    <cellStyle name="Texte explicatif 3" xfId="7" xr:uid="{00000000-0005-0000-0000-000010000000}"/>
  </cellStyles>
  <dxfs count="0"/>
  <tableStyles count="0" defaultTableStyle="TableStyleMedium2" defaultPivotStyle="PivotStyleLight16"/>
  <colors>
    <mruColors>
      <color rgb="FF33CCCC"/>
      <color rgb="FF008D8A"/>
      <color rgb="FFD0C3B7"/>
      <color rgb="FFD8C634"/>
      <color rgb="FFC08C65"/>
      <color rgb="FF68A532"/>
      <color rgb="FF465F9D"/>
      <color rgb="FF00A95F"/>
      <color rgb="FF6E445A"/>
      <color rgb="FF417DC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3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externalLink" Target="externalLinks/externalLink2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1.xml"/><Relationship Id="rId1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6.4503472222222219E-2"/>
          <c:y val="3.890361427665176E-2"/>
          <c:w val="0.89426840277777775"/>
          <c:h val="0.66827414432934551"/>
        </c:manualLayout>
      </c:layout>
      <c:lineChart>
        <c:grouping val="standard"/>
        <c:varyColors val="0"/>
        <c:ser>
          <c:idx val="0"/>
          <c:order val="0"/>
          <c:tx>
            <c:strRef>
              <c:f>'Graph 2'!$A$24</c:f>
              <c:strCache>
                <c:ptCount val="1"/>
                <c:pt idx="0">
                  <c:v>Dépenses totales de protection de l'environnement (prix courants)</c:v>
                </c:pt>
              </c:strCache>
            </c:strRef>
          </c:tx>
          <c:spPr>
            <a:ln w="19050" cap="rnd">
              <a:solidFill>
                <a:srgbClr val="465F9D"/>
              </a:solidFill>
              <a:round/>
            </a:ln>
            <a:effectLst/>
          </c:spPr>
          <c:marker>
            <c:symbol val="none"/>
          </c:marker>
          <c:cat>
            <c:numRef>
              <c:f>'Graph 2'!$B$23:$W$23</c:f>
              <c:numCache>
                <c:formatCode>General</c:formatCode>
                <c:ptCount val="22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</c:numCache>
            </c:numRef>
          </c:cat>
          <c:val>
            <c:numRef>
              <c:f>'Graph 2'!$B$24:$W$24</c:f>
              <c:numCache>
                <c:formatCode>0.0</c:formatCode>
                <c:ptCount val="22"/>
                <c:pt idx="0" formatCode="General">
                  <c:v>100</c:v>
                </c:pt>
                <c:pt idx="1">
                  <c:v>101.52634675329789</c:v>
                </c:pt>
                <c:pt idx="2">
                  <c:v>107.11933436661087</c:v>
                </c:pt>
                <c:pt idx="3">
                  <c:v>110.26760730477841</c:v>
                </c:pt>
                <c:pt idx="4">
                  <c:v>113.57809281052724</c:v>
                </c:pt>
                <c:pt idx="5">
                  <c:v>125.56388822434081</c:v>
                </c:pt>
                <c:pt idx="6">
                  <c:v>132.56945327314102</c:v>
                </c:pt>
                <c:pt idx="7">
                  <c:v>140.72338607548508</c:v>
                </c:pt>
                <c:pt idx="8">
                  <c:v>148.60516742605955</c:v>
                </c:pt>
                <c:pt idx="9">
                  <c:v>147.01283328739413</c:v>
                </c:pt>
                <c:pt idx="10">
                  <c:v>153.05003089783679</c:v>
                </c:pt>
                <c:pt idx="11">
                  <c:v>157.96964326648387</c:v>
                </c:pt>
                <c:pt idx="12">
                  <c:v>160.79552082260585</c:v>
                </c:pt>
                <c:pt idx="13">
                  <c:v>164.70427764285301</c:v>
                </c:pt>
                <c:pt idx="14">
                  <c:v>163.79398420526869</c:v>
                </c:pt>
                <c:pt idx="15">
                  <c:v>162.92319690274323</c:v>
                </c:pt>
                <c:pt idx="16">
                  <c:v>164.7474041864499</c:v>
                </c:pt>
                <c:pt idx="17">
                  <c:v>170.58724647012403</c:v>
                </c:pt>
                <c:pt idx="18">
                  <c:v>179.44742905736601</c:v>
                </c:pt>
                <c:pt idx="19">
                  <c:v>190.39873464232267</c:v>
                </c:pt>
                <c:pt idx="20">
                  <c:v>190.2642163209085</c:v>
                </c:pt>
                <c:pt idx="21">
                  <c:v>211.53564289063897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A33-4287-9F8C-8F55DA6D6F5A}"/>
            </c:ext>
          </c:extLst>
        </c:ser>
        <c:ser>
          <c:idx val="1"/>
          <c:order val="1"/>
          <c:tx>
            <c:strRef>
              <c:f>'Graph 2'!$A$25</c:f>
              <c:strCache>
                <c:ptCount val="1"/>
                <c:pt idx="0">
                  <c:v>Dépenses totales de protection de l'environnement (volume)</c:v>
                </c:pt>
              </c:strCache>
            </c:strRef>
          </c:tx>
          <c:spPr>
            <a:ln w="19050" cap="rnd">
              <a:solidFill>
                <a:srgbClr val="465F9D"/>
              </a:solidFill>
              <a:prstDash val="sysDash"/>
              <a:round/>
            </a:ln>
            <a:effectLst/>
          </c:spPr>
          <c:marker>
            <c:symbol val="none"/>
          </c:marker>
          <c:cat>
            <c:numRef>
              <c:f>'Graph 2'!$B$23:$W$23</c:f>
              <c:numCache>
                <c:formatCode>General</c:formatCode>
                <c:ptCount val="22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</c:numCache>
            </c:numRef>
          </c:cat>
          <c:val>
            <c:numRef>
              <c:f>'Graph 2'!$B$25:$W$25</c:f>
              <c:numCache>
                <c:formatCode>0.0</c:formatCode>
                <c:ptCount val="22"/>
                <c:pt idx="0" formatCode="General">
                  <c:v>100</c:v>
                </c:pt>
                <c:pt idx="1">
                  <c:v>99.52962242108849</c:v>
                </c:pt>
                <c:pt idx="2">
                  <c:v>102.88667218621916</c:v>
                </c:pt>
                <c:pt idx="3">
                  <c:v>103.97452425396759</c:v>
                </c:pt>
                <c:pt idx="4">
                  <c:v>105.37841560429717</c:v>
                </c:pt>
                <c:pt idx="5">
                  <c:v>114.28198999446752</c:v>
                </c:pt>
                <c:pt idx="6">
                  <c:v>118.19995180930276</c:v>
                </c:pt>
                <c:pt idx="7">
                  <c:v>122.33189457808207</c:v>
                </c:pt>
                <c:pt idx="8">
                  <c:v>126.12765747313529</c:v>
                </c:pt>
                <c:pt idx="9">
                  <c:v>124.69154739447359</c:v>
                </c:pt>
                <c:pt idx="10">
                  <c:v>128.43442844014513</c:v>
                </c:pt>
                <c:pt idx="11">
                  <c:v>131.31463399565556</c:v>
                </c:pt>
                <c:pt idx="12">
                  <c:v>132.12640462039599</c:v>
                </c:pt>
                <c:pt idx="13">
                  <c:v>134.29239344935093</c:v>
                </c:pt>
                <c:pt idx="14">
                  <c:v>132.78203620999528</c:v>
                </c:pt>
                <c:pt idx="15">
                  <c:v>130.59016073384663</c:v>
                </c:pt>
                <c:pt idx="16">
                  <c:v>131.36617000988048</c:v>
                </c:pt>
                <c:pt idx="17">
                  <c:v>135.31274614332739</c:v>
                </c:pt>
                <c:pt idx="18">
                  <c:v>140.937052477489</c:v>
                </c:pt>
                <c:pt idx="19">
                  <c:v>147.64998662296463</c:v>
                </c:pt>
                <c:pt idx="20">
                  <c:v>143.92969685246823</c:v>
                </c:pt>
                <c:pt idx="21">
                  <c:v>157.34454803271421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A33-4287-9F8C-8F55DA6D6F5A}"/>
            </c:ext>
          </c:extLst>
        </c:ser>
        <c:ser>
          <c:idx val="2"/>
          <c:order val="2"/>
          <c:tx>
            <c:strRef>
              <c:f>'Graph 2'!$A$26</c:f>
              <c:strCache>
                <c:ptCount val="1"/>
                <c:pt idx="0">
                  <c:v>PIB en prix courants</c:v>
                </c:pt>
              </c:strCache>
            </c:strRef>
          </c:tx>
          <c:spPr>
            <a:ln w="19050" cap="rnd">
              <a:solidFill>
                <a:srgbClr val="E5794A"/>
              </a:solidFill>
              <a:round/>
            </a:ln>
            <a:effectLst/>
          </c:spPr>
          <c:marker>
            <c:symbol val="none"/>
          </c:marker>
          <c:cat>
            <c:numRef>
              <c:f>'Graph 2'!$B$23:$W$23</c:f>
              <c:numCache>
                <c:formatCode>General</c:formatCode>
                <c:ptCount val="22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</c:numCache>
            </c:numRef>
          </c:cat>
          <c:val>
            <c:numRef>
              <c:f>'Graph 2'!$B$26:$W$26</c:f>
              <c:numCache>
                <c:formatCode>0.0</c:formatCode>
                <c:ptCount val="22"/>
                <c:pt idx="0" formatCode="General">
                  <c:v>100</c:v>
                </c:pt>
                <c:pt idx="1">
                  <c:v>104.02967890495074</c:v>
                </c:pt>
                <c:pt idx="2">
                  <c:v>107.38493569502907</c:v>
                </c:pt>
                <c:pt idx="3">
                  <c:v>110.28486956592367</c:v>
                </c:pt>
                <c:pt idx="4">
                  <c:v>115.25416386616337</c:v>
                </c:pt>
                <c:pt idx="5">
                  <c:v>119.44405525063067</c:v>
                </c:pt>
                <c:pt idx="6">
                  <c:v>124.91449581125929</c:v>
                </c:pt>
                <c:pt idx="7">
                  <c:v>131.22545963789406</c:v>
                </c:pt>
                <c:pt idx="8">
                  <c:v>134.74756212379341</c:v>
                </c:pt>
                <c:pt idx="9">
                  <c:v>130.96466593972031</c:v>
                </c:pt>
                <c:pt idx="10">
                  <c:v>134.94994290695968</c:v>
                </c:pt>
                <c:pt idx="11">
                  <c:v>139.21983900236427</c:v>
                </c:pt>
                <c:pt idx="12">
                  <c:v>141.28067101074649</c:v>
                </c:pt>
                <c:pt idx="13">
                  <c:v>143.20152861792877</c:v>
                </c:pt>
                <c:pt idx="14">
                  <c:v>145.40714072503761</c:v>
                </c:pt>
                <c:pt idx="15">
                  <c:v>148.69836667201386</c:v>
                </c:pt>
                <c:pt idx="16">
                  <c:v>151.11251897742878</c:v>
                </c:pt>
                <c:pt idx="17">
                  <c:v>155.38620548215022</c:v>
                </c:pt>
                <c:pt idx="18">
                  <c:v>159.86078368066345</c:v>
                </c:pt>
                <c:pt idx="19">
                  <c:v>164.88896469707524</c:v>
                </c:pt>
                <c:pt idx="20">
                  <c:v>156.28575083608985</c:v>
                </c:pt>
                <c:pt idx="21">
                  <c:v>169.17253334037267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BA33-4287-9F8C-8F55DA6D6F5A}"/>
            </c:ext>
          </c:extLst>
        </c:ser>
        <c:ser>
          <c:idx val="3"/>
          <c:order val="3"/>
          <c:tx>
            <c:strRef>
              <c:f>'Graph 2'!$A$27</c:f>
              <c:strCache>
                <c:ptCount val="1"/>
                <c:pt idx="0">
                  <c:v>PIB en volume</c:v>
                </c:pt>
              </c:strCache>
            </c:strRef>
          </c:tx>
          <c:spPr>
            <a:ln w="19050" cap="rnd">
              <a:solidFill>
                <a:srgbClr val="E5794A"/>
              </a:solidFill>
              <a:prstDash val="sysDash"/>
              <a:round/>
            </a:ln>
            <a:effectLst/>
          </c:spPr>
          <c:marker>
            <c:symbol val="none"/>
          </c:marker>
          <c:cat>
            <c:numRef>
              <c:f>'Graph 2'!$B$23:$W$23</c:f>
              <c:numCache>
                <c:formatCode>General</c:formatCode>
                <c:ptCount val="22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</c:numCache>
            </c:numRef>
          </c:cat>
          <c:val>
            <c:numRef>
              <c:f>'Graph 2'!$B$27:$W$27</c:f>
              <c:numCache>
                <c:formatCode>0.0</c:formatCode>
                <c:ptCount val="22"/>
                <c:pt idx="0" formatCode="General">
                  <c:v>100</c:v>
                </c:pt>
                <c:pt idx="1">
                  <c:v>101.98372139949467</c:v>
                </c:pt>
                <c:pt idx="2">
                  <c:v>103.14177867069063</c:v>
                </c:pt>
                <c:pt idx="3">
                  <c:v>103.99080134053902</c:v>
                </c:pt>
                <c:pt idx="4">
                  <c:v>106.93348408548569</c:v>
                </c:pt>
                <c:pt idx="5">
                  <c:v>108.71202317869175</c:v>
                </c:pt>
                <c:pt idx="6">
                  <c:v>111.37473241858507</c:v>
                </c:pt>
                <c:pt idx="7">
                  <c:v>114.07527591591801</c:v>
                </c:pt>
                <c:pt idx="8">
                  <c:v>114.36610620788883</c:v>
                </c:pt>
                <c:pt idx="9">
                  <c:v>111.08000903635597</c:v>
                </c:pt>
                <c:pt idx="10">
                  <c:v>113.24544453607524</c:v>
                </c:pt>
                <c:pt idx="11">
                  <c:v>115.72857813377315</c:v>
                </c:pt>
                <c:pt idx="12">
                  <c:v>116.09096452133633</c:v>
                </c:pt>
                <c:pt idx="13">
                  <c:v>116.76002772318922</c:v>
                </c:pt>
                <c:pt idx="14">
                  <c:v>117.87646731120158</c:v>
                </c:pt>
                <c:pt idx="15">
                  <c:v>119.18832906372825</c:v>
                </c:pt>
                <c:pt idx="16">
                  <c:v>120.49399477119596</c:v>
                </c:pt>
                <c:pt idx="17">
                  <c:v>123.25501824817518</c:v>
                </c:pt>
                <c:pt idx="18">
                  <c:v>125.55380579730489</c:v>
                </c:pt>
                <c:pt idx="19">
                  <c:v>127.86772704941045</c:v>
                </c:pt>
                <c:pt idx="20">
                  <c:v>118.22591328607524</c:v>
                </c:pt>
                <c:pt idx="21">
                  <c:v>125.83399863138686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BA33-4287-9F8C-8F55DA6D6F5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16131584"/>
        <c:axId val="1644337248"/>
      </c:lineChart>
      <c:catAx>
        <c:axId val="14161315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400000" spcFirstLastPara="1" vertOverflow="ellipsis" wrap="square" anchor="ctr" anchorCtr="1"/>
          <a:lstStyle/>
          <a:p>
            <a:pPr>
              <a:defRPr sz="7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fr-FR"/>
          </a:p>
        </c:txPr>
        <c:crossAx val="1644337248"/>
        <c:crosses val="autoZero"/>
        <c:auto val="1"/>
        <c:lblAlgn val="ctr"/>
        <c:lblOffset val="100"/>
        <c:noMultiLvlLbl val="0"/>
      </c:catAx>
      <c:valAx>
        <c:axId val="1644337248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ysDot"/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7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fr-FR"/>
          </a:p>
        </c:txPr>
        <c:crossAx val="141613158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egendEntry>
        <c:idx val="1"/>
        <c:txPr>
          <a:bodyPr rot="0" spcFirstLastPara="1" vertOverflow="ellipsis" vert="horz" wrap="square" anchor="ctr" anchorCtr="1"/>
          <a:lstStyle/>
          <a:p>
            <a:pPr>
              <a:defRPr sz="7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fr-FR"/>
          </a:p>
        </c:txPr>
      </c:legendEntry>
      <c:layout>
        <c:manualLayout>
          <c:xMode val="edge"/>
          <c:yMode val="edge"/>
          <c:x val="0"/>
          <c:y val="0.83700165361246648"/>
          <c:w val="1"/>
          <c:h val="0.16053073775399437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70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bar"/>
        <c:grouping val="stacked"/>
        <c:varyColors val="0"/>
        <c:ser>
          <c:idx val="2"/>
          <c:order val="0"/>
          <c:tx>
            <c:strRef>
              <c:f>'Graph 3'!$B$3</c:f>
              <c:strCache>
                <c:ptCount val="1"/>
                <c:pt idx="0">
                  <c:v>Administrations publiques</c:v>
                </c:pt>
              </c:strCache>
            </c:strRef>
          </c:tx>
          <c:spPr>
            <a:solidFill>
              <a:srgbClr val="417DC4"/>
            </a:solidFill>
            <a:ln>
              <a:noFill/>
            </a:ln>
            <a:effectLst/>
          </c:spPr>
          <c:invertIfNegative val="0"/>
          <c:dLbls>
            <c:dLbl>
              <c:idx val="4"/>
              <c:layout>
                <c:manualLayout>
                  <c:x val="0"/>
                  <c:y val="0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A05A-46A3-9153-32104E9505F9}"/>
                </c:ext>
              </c:extLst>
            </c:dLbl>
            <c:dLbl>
              <c:idx val="6"/>
              <c:layout>
                <c:manualLayout>
                  <c:x val="2.2071195768725844E-3"/>
                  <c:y val="0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1-A05A-46A3-9153-32104E9505F9}"/>
                </c:ext>
              </c:extLst>
            </c:dLbl>
            <c:dLbl>
              <c:idx val="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0-A05A-46A3-9153-32104E9505F9}"/>
                </c:ext>
              </c:extLst>
            </c:dLbl>
            <c:dLbl>
              <c:idx val="8"/>
              <c:delete val="1"/>
              <c:extLst>
                <c:ext xmlns:c15="http://schemas.microsoft.com/office/drawing/2012/chart" uri="{CE6537A1-D6FC-4f65-9D91-7224C49458BB}">
                  <c15:layout>
                    <c:manualLayout>
                      <c:w val="3.9021874119107292E-2"/>
                      <c:h val="5.2647185521323227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E-A05A-46A3-9153-32104E9505F9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700" b="0" i="0" u="none" strike="noStrike" kern="1200" baseline="0">
                    <a:solidFill>
                      <a:schemeClr val="bg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fr-F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'Graph 3'!$A$4:$A$12</c:f>
              <c:strCache>
                <c:ptCount val="9"/>
                <c:pt idx="0">
                  <c:v>Gestion des déchets**</c:v>
                </c:pt>
                <c:pt idx="1">
                  <c:v>Gestion des eaux usées</c:v>
                </c:pt>
                <c:pt idx="2">
                  <c:v>Protection de l'air extérieur*</c:v>
                </c:pt>
                <c:pt idx="3">
                  <c:v>Autres activités</c:v>
                </c:pt>
                <c:pt idx="4">
                  <c:v>R&amp;D pour l'environnement</c:v>
                </c:pt>
                <c:pt idx="5">
                  <c:v>Protection de la biodiversité et des paysages</c:v>
                </c:pt>
                <c:pt idx="6">
                  <c:v>Protection et dépollution des sols et des eaux</c:v>
                </c:pt>
                <c:pt idx="7">
                  <c:v>Lutte contre le bruit et les vibrations</c:v>
                </c:pt>
                <c:pt idx="8">
                  <c:v>Gestion des déchets radioactifs</c:v>
                </c:pt>
              </c:strCache>
            </c:strRef>
          </c:cat>
          <c:val>
            <c:numRef>
              <c:f>'Graph 3'!$B$4:$B$12</c:f>
              <c:numCache>
                <c:formatCode>#\ ##0.0</c:formatCode>
                <c:ptCount val="9"/>
                <c:pt idx="0">
                  <c:v>5.3192976861190946</c:v>
                </c:pt>
                <c:pt idx="1">
                  <c:v>4.8930049937448139</c:v>
                </c:pt>
                <c:pt idx="2">
                  <c:v>2.0184675110933474</c:v>
                </c:pt>
                <c:pt idx="3">
                  <c:v>5.1589183146382833</c:v>
                </c:pt>
                <c:pt idx="4">
                  <c:v>1.3150092128396829</c:v>
                </c:pt>
                <c:pt idx="5">
                  <c:v>2.0296619864597636</c:v>
                </c:pt>
                <c:pt idx="6">
                  <c:v>0.57106231394225437</c:v>
                </c:pt>
                <c:pt idx="7">
                  <c:v>9.8068105196546421E-2</c:v>
                </c:pt>
                <c:pt idx="8">
                  <c:v>0.15998345999999997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1A7-4E91-9E54-C951E7061F58}"/>
            </c:ext>
          </c:extLst>
        </c:ser>
        <c:ser>
          <c:idx val="0"/>
          <c:order val="1"/>
          <c:tx>
            <c:strRef>
              <c:f>'Graph 3'!$C$3</c:f>
              <c:strCache>
                <c:ptCount val="1"/>
                <c:pt idx="0">
                  <c:v>Entreprises</c:v>
                </c:pt>
              </c:strCache>
            </c:strRef>
          </c:tx>
          <c:spPr>
            <a:solidFill>
              <a:srgbClr val="6E445A"/>
            </a:solidFill>
            <a:ln>
              <a:noFill/>
            </a:ln>
            <a:effectLst/>
          </c:spPr>
          <c:invertIfNegative val="0"/>
          <c:dLbls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4-A05A-46A3-9153-32104E9505F9}"/>
                </c:ext>
              </c:extLst>
            </c:dLbl>
            <c:dLbl>
              <c:idx val="5"/>
              <c:layout>
                <c:manualLayout>
                  <c:x val="0"/>
                  <c:y val="-7.4942612841741264E-3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3-A05A-46A3-9153-32104E9505F9}"/>
                </c:ext>
              </c:extLst>
            </c:dLbl>
            <c:dLbl>
              <c:idx val="8"/>
              <c:layout>
                <c:manualLayout>
                  <c:x val="-4.4115573075188515E-3"/>
                  <c:y val="0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19A4-48BB-8EF9-976A196F492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700" b="0" i="0" u="none" strike="noStrike" kern="1200" baseline="0">
                    <a:solidFill>
                      <a:schemeClr val="bg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fr-F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'Graph 3'!$A$4:$A$12</c:f>
              <c:strCache>
                <c:ptCount val="9"/>
                <c:pt idx="0">
                  <c:v>Gestion des déchets**</c:v>
                </c:pt>
                <c:pt idx="1">
                  <c:v>Gestion des eaux usées</c:v>
                </c:pt>
                <c:pt idx="2">
                  <c:v>Protection de l'air extérieur*</c:v>
                </c:pt>
                <c:pt idx="3">
                  <c:v>Autres activités</c:v>
                </c:pt>
                <c:pt idx="4">
                  <c:v>R&amp;D pour l'environnement</c:v>
                </c:pt>
                <c:pt idx="5">
                  <c:v>Protection de la biodiversité et des paysages</c:v>
                </c:pt>
                <c:pt idx="6">
                  <c:v>Protection et dépollution des sols et des eaux</c:v>
                </c:pt>
                <c:pt idx="7">
                  <c:v>Lutte contre le bruit et les vibrations</c:v>
                </c:pt>
                <c:pt idx="8">
                  <c:v>Gestion des déchets radioactifs</c:v>
                </c:pt>
              </c:strCache>
            </c:strRef>
          </c:cat>
          <c:val>
            <c:numRef>
              <c:f>'Graph 3'!$C$4:$C$12</c:f>
              <c:numCache>
                <c:formatCode>#\ ##0.0</c:formatCode>
                <c:ptCount val="9"/>
                <c:pt idx="0">
                  <c:v>7.6160957290385207</c:v>
                </c:pt>
                <c:pt idx="1">
                  <c:v>2.7372918937588393</c:v>
                </c:pt>
                <c:pt idx="2">
                  <c:v>4.1652222438923747</c:v>
                </c:pt>
                <c:pt idx="3">
                  <c:v>0.10304062857542401</c:v>
                </c:pt>
                <c:pt idx="4">
                  <c:v>2.7061425189430484</c:v>
                </c:pt>
                <c:pt idx="5">
                  <c:v>0.58698816266795728</c:v>
                </c:pt>
                <c:pt idx="6">
                  <c:v>1.45778324280303</c:v>
                </c:pt>
                <c:pt idx="7">
                  <c:v>0.40140672490526857</c:v>
                </c:pt>
                <c:pt idx="8">
                  <c:v>0.56527478448573265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1A7-4E91-9E54-C951E7061F58}"/>
            </c:ext>
          </c:extLst>
        </c:ser>
        <c:ser>
          <c:idx val="1"/>
          <c:order val="2"/>
          <c:tx>
            <c:strRef>
              <c:f>'Graph 3'!$D$3</c:f>
              <c:strCache>
                <c:ptCount val="1"/>
                <c:pt idx="0">
                  <c:v>Ménages</c:v>
                </c:pt>
              </c:strCache>
            </c:strRef>
          </c:tx>
          <c:spPr>
            <a:solidFill>
              <a:srgbClr val="00A95F"/>
            </a:solidFill>
            <a:ln>
              <a:noFill/>
            </a:ln>
            <a:effectLst/>
          </c:spPr>
          <c:invertIfNegative val="0"/>
          <c:dLbls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A05A-46A3-9153-32104E9505F9}"/>
                </c:ext>
              </c:extLst>
            </c:dLbl>
            <c:dLbl>
              <c:idx val="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A05A-46A3-9153-32104E9505F9}"/>
                </c:ext>
              </c:extLst>
            </c:dLbl>
            <c:dLbl>
              <c:idx val="5"/>
              <c:layout>
                <c:manualLayout>
                  <c:x val="0"/>
                  <c:y val="1.1241391926261189E-2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A05A-46A3-9153-32104E9505F9}"/>
                </c:ext>
              </c:extLst>
            </c:dLbl>
            <c:dLbl>
              <c:idx val="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2-A05A-46A3-9153-32104E9505F9}"/>
                </c:ext>
              </c:extLst>
            </c:dLbl>
            <c:dLbl>
              <c:idx val="7"/>
              <c:layout>
                <c:manualLayout>
                  <c:x val="4.4115573075188107E-3"/>
                  <c:y val="0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19A4-48BB-8EF9-976A196F492D}"/>
                </c:ext>
              </c:extLst>
            </c:dLbl>
            <c:dLbl>
              <c:idx val="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F-A05A-46A3-9153-32104E9505F9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700" b="0" i="0" u="none" strike="noStrike" kern="1200" baseline="0">
                    <a:solidFill>
                      <a:schemeClr val="bg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fr-F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'Graph 3'!$A$4:$A$12</c:f>
              <c:strCache>
                <c:ptCount val="9"/>
                <c:pt idx="0">
                  <c:v>Gestion des déchets**</c:v>
                </c:pt>
                <c:pt idx="1">
                  <c:v>Gestion des eaux usées</c:v>
                </c:pt>
                <c:pt idx="2">
                  <c:v>Protection de l'air extérieur*</c:v>
                </c:pt>
                <c:pt idx="3">
                  <c:v>Autres activités</c:v>
                </c:pt>
                <c:pt idx="4">
                  <c:v>R&amp;D pour l'environnement</c:v>
                </c:pt>
                <c:pt idx="5">
                  <c:v>Protection de la biodiversité et des paysages</c:v>
                </c:pt>
                <c:pt idx="6">
                  <c:v>Protection et dépollution des sols et des eaux</c:v>
                </c:pt>
                <c:pt idx="7">
                  <c:v>Lutte contre le bruit et les vibrations</c:v>
                </c:pt>
                <c:pt idx="8">
                  <c:v>Gestion des déchets radioactifs</c:v>
                </c:pt>
              </c:strCache>
            </c:strRef>
          </c:cat>
          <c:val>
            <c:numRef>
              <c:f>'Graph 3'!$D$4:$D$12</c:f>
              <c:numCache>
                <c:formatCode>#\ ##0.0</c:formatCode>
                <c:ptCount val="9"/>
                <c:pt idx="0">
                  <c:v>6.698276397840182</c:v>
                </c:pt>
                <c:pt idx="1">
                  <c:v>6.4385135032238159</c:v>
                </c:pt>
                <c:pt idx="2">
                  <c:v>1.5791074285823776</c:v>
                </c:pt>
                <c:pt idx="3">
                  <c:v>0.20700677782855142</c:v>
                </c:pt>
                <c:pt idx="4">
                  <c:v>0</c:v>
                </c:pt>
                <c:pt idx="5">
                  <c:v>0.44978909518198973</c:v>
                </c:pt>
                <c:pt idx="6">
                  <c:v>1.1617996772592178E-2</c:v>
                </c:pt>
                <c:pt idx="7">
                  <c:v>1.8547967029740691</c:v>
                </c:pt>
                <c:pt idx="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1A7-4E91-9E54-C951E7061F58}"/>
            </c:ext>
          </c:extLst>
        </c:ser>
        <c:ser>
          <c:idx val="3"/>
          <c:order val="3"/>
          <c:tx>
            <c:strRef>
              <c:f>'Graph 3'!$E$3</c:f>
              <c:strCache>
                <c:ptCount val="1"/>
                <c:pt idx="0">
                  <c:v>Reste du monde</c:v>
                </c:pt>
              </c:strCache>
            </c:strRef>
          </c:tx>
          <c:spPr>
            <a:solidFill>
              <a:srgbClr val="E4794A"/>
            </a:solidFill>
            <a:ln>
              <a:noFill/>
            </a:ln>
            <a:effectLst/>
          </c:spPr>
          <c:invertIfNegative val="0"/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19A4-48BB-8EF9-976A196F492D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19A4-48BB-8EF9-976A196F492D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19A4-48BB-8EF9-976A196F492D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19A4-48BB-8EF9-976A196F492D}"/>
                </c:ext>
              </c:extLst>
            </c:dLbl>
            <c:dLbl>
              <c:idx val="4"/>
              <c:layout>
                <c:manualLayout>
                  <c:x val="1.1028893268797229E-2"/>
                  <c:y val="-6.8675892935711434E-17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19A4-48BB-8EF9-976A196F492D}"/>
                </c:ext>
              </c:extLst>
            </c:dLbl>
            <c:dLbl>
              <c:idx val="5"/>
              <c:layout>
                <c:manualLayout>
                  <c:x val="1.5440450576316121E-2"/>
                  <c:y val="0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19A4-48BB-8EF9-976A196F492D}"/>
                </c:ext>
              </c:extLst>
            </c:dLbl>
            <c:dLbl>
              <c:idx val="6"/>
              <c:layout>
                <c:manualLayout>
                  <c:x val="1.985200788383493E-2"/>
                  <c:y val="-3.4337946467855717E-17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19A4-48BB-8EF9-976A196F492D}"/>
                </c:ext>
              </c:extLst>
            </c:dLbl>
            <c:dLbl>
              <c:idx val="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19A4-48BB-8EF9-976A196F492D}"/>
                </c:ext>
              </c:extLst>
            </c:dLbl>
            <c:dLbl>
              <c:idx val="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19A4-48BB-8EF9-976A196F492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700" b="0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fr-F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'Graph 3'!$A$4:$A$12</c:f>
              <c:strCache>
                <c:ptCount val="9"/>
                <c:pt idx="0">
                  <c:v>Gestion des déchets**</c:v>
                </c:pt>
                <c:pt idx="1">
                  <c:v>Gestion des eaux usées</c:v>
                </c:pt>
                <c:pt idx="2">
                  <c:v>Protection de l'air extérieur*</c:v>
                </c:pt>
                <c:pt idx="3">
                  <c:v>Autres activités</c:v>
                </c:pt>
                <c:pt idx="4">
                  <c:v>R&amp;D pour l'environnement</c:v>
                </c:pt>
                <c:pt idx="5">
                  <c:v>Protection de la biodiversité et des paysages</c:v>
                </c:pt>
                <c:pt idx="6">
                  <c:v>Protection et dépollution des sols et des eaux</c:v>
                </c:pt>
                <c:pt idx="7">
                  <c:v>Lutte contre le bruit et les vibrations</c:v>
                </c:pt>
                <c:pt idx="8">
                  <c:v>Gestion des déchets radioactifs</c:v>
                </c:pt>
              </c:strCache>
            </c:strRef>
          </c:cat>
          <c:val>
            <c:numRef>
              <c:f>'Graph 3'!$E$4:$E$12</c:f>
              <c:numCache>
                <c:formatCode>#\ ##0.0</c:formatCode>
                <c:ptCount val="9"/>
                <c:pt idx="0">
                  <c:v>1.9267182721448006E-3</c:v>
                </c:pt>
                <c:pt idx="1">
                  <c:v>0</c:v>
                </c:pt>
                <c:pt idx="2">
                  <c:v>5.0000663992413241E-3</c:v>
                </c:pt>
                <c:pt idx="3">
                  <c:v>2.7529043245320281E-2</c:v>
                </c:pt>
                <c:pt idx="4">
                  <c:v>0.21386041753754279</c:v>
                </c:pt>
                <c:pt idx="5">
                  <c:v>0.20983624583244248</c:v>
                </c:pt>
                <c:pt idx="6">
                  <c:v>0.35697079518423286</c:v>
                </c:pt>
                <c:pt idx="7">
                  <c:v>0</c:v>
                </c:pt>
                <c:pt idx="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91A7-4E91-9E54-C951E7061F58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50"/>
        <c:overlap val="100"/>
        <c:axId val="1730885664"/>
        <c:axId val="1730886080"/>
      </c:barChart>
      <c:catAx>
        <c:axId val="1730885664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7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fr-FR"/>
          </a:p>
        </c:txPr>
        <c:crossAx val="1730886080"/>
        <c:crosses val="autoZero"/>
        <c:auto val="1"/>
        <c:lblAlgn val="ctr"/>
        <c:lblOffset val="100"/>
        <c:noMultiLvlLbl val="0"/>
      </c:catAx>
      <c:valAx>
        <c:axId val="1730886080"/>
        <c:scaling>
          <c:orientation val="minMax"/>
          <c:max val="21"/>
          <c:min val="0"/>
        </c:scaling>
        <c:delete val="1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0"/>
        <c:majorTickMark val="out"/>
        <c:minorTickMark val="none"/>
        <c:tickLblPos val="nextTo"/>
        <c:crossAx val="17308856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"/>
          <c:y val="0.92397084250724593"/>
          <c:w val="0.97846666666666671"/>
          <c:h val="5.391225385926285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7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700">
          <a:latin typeface="Arial" panose="020B0604020202020204" pitchFamily="34" charset="0"/>
          <a:cs typeface="Arial" panose="020B0604020202020204" pitchFamily="34" charset="0"/>
        </a:defRPr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25918730860528749"/>
          <c:y val="4.0356214459861664E-2"/>
          <c:w val="0.69601174189573634"/>
          <c:h val="0.85328245839475891"/>
        </c:manualLayout>
      </c:layout>
      <c:barChart>
        <c:barDir val="bar"/>
        <c:grouping val="stacked"/>
        <c:varyColors val="0"/>
        <c:ser>
          <c:idx val="0"/>
          <c:order val="0"/>
          <c:tx>
            <c:strRef>
              <c:f>'Graph 4'!$B$3</c:f>
              <c:strCache>
                <c:ptCount val="1"/>
                <c:pt idx="0">
                  <c:v>Dépenses d'investissement</c:v>
                </c:pt>
              </c:strCache>
            </c:strRef>
          </c:tx>
          <c:spPr>
            <a:solidFill>
              <a:srgbClr val="00A95F"/>
            </a:solidFill>
            <a:ln>
              <a:noFill/>
            </a:ln>
            <a:effectLst/>
          </c:spPr>
          <c:invertIfNegative val="0"/>
          <c:dLbls>
            <c:dLbl>
              <c:idx val="2"/>
              <c:layout>
                <c:manualLayout>
                  <c:x val="-1.7601758956246184E-3"/>
                  <c:y val="0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B153-4C2C-AB4D-729F2A2E106D}"/>
                </c:ext>
              </c:extLst>
            </c:dLbl>
            <c:dLbl>
              <c:idx val="3"/>
              <c:layout>
                <c:manualLayout>
                  <c:x val="-3.5203517912492368E-3"/>
                  <c:y val="-4.2991338727692107E-17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B153-4C2C-AB4D-729F2A2E106D}"/>
                </c:ext>
              </c:extLst>
            </c:dLbl>
            <c:dLbl>
              <c:idx val="4"/>
              <c:layout>
                <c:manualLayout>
                  <c:x val="-1.7601758956246184E-3"/>
                  <c:y val="0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B153-4C2C-AB4D-729F2A2E106D}"/>
                </c:ext>
              </c:extLst>
            </c:dLbl>
            <c:dLbl>
              <c:idx val="5"/>
              <c:layout>
                <c:manualLayout>
                  <c:x val="-5.2805276868738557E-3"/>
                  <c:y val="0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B153-4C2C-AB4D-729F2A2E106D}"/>
                </c:ext>
              </c:extLst>
            </c:dLbl>
            <c:dLbl>
              <c:idx val="6"/>
              <c:layout>
                <c:manualLayout>
                  <c:x val="-3.5203517912492368E-3"/>
                  <c:y val="0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B153-4C2C-AB4D-729F2A2E106D}"/>
                </c:ext>
              </c:extLst>
            </c:dLbl>
            <c:dLbl>
              <c:idx val="8"/>
              <c:layout>
                <c:manualLayout>
                  <c:x val="3.4249382250562343E-3"/>
                  <c:y val="-2.3450935334965203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7871-4A5A-8D94-3BBD0956D11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700" b="0" i="0" u="none" strike="noStrike" kern="1200" baseline="0">
                    <a:solidFill>
                      <a:schemeClr val="bg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fr-F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'Graph 4'!$A$4:$A$12</c:f>
              <c:strCache>
                <c:ptCount val="9"/>
                <c:pt idx="0">
                  <c:v>Gestion des déchets**</c:v>
                </c:pt>
                <c:pt idx="1">
                  <c:v>Gestions des eaux usées</c:v>
                </c:pt>
                <c:pt idx="2">
                  <c:v>Protection de l'air extérieur*</c:v>
                </c:pt>
                <c:pt idx="3">
                  <c:v>Autres activités </c:v>
                </c:pt>
                <c:pt idx="4">
                  <c:v>R&amp;D pour l'environnement</c:v>
                </c:pt>
                <c:pt idx="5">
                  <c:v>Protection de la biodiversité et des paysages</c:v>
                </c:pt>
                <c:pt idx="6">
                  <c:v>Protection et dépollution des sols et des eaux</c:v>
                </c:pt>
                <c:pt idx="7">
                  <c:v>Lutte contre le bruit et les vibrations</c:v>
                </c:pt>
                <c:pt idx="8">
                  <c:v>Gestion des déchets radioactifs</c:v>
                </c:pt>
              </c:strCache>
            </c:strRef>
          </c:cat>
          <c:val>
            <c:numRef>
              <c:f>'Graph 4'!$B$4:$B$12</c:f>
              <c:numCache>
                <c:formatCode>_-* #\ ##0.0_-;\-* #\ ##0.0_-;_-* "-"??_-;_-@_-</c:formatCode>
                <c:ptCount val="9"/>
                <c:pt idx="0">
                  <c:v>2.2645283053576626</c:v>
                </c:pt>
                <c:pt idx="1">
                  <c:v>5.2215553552389888</c:v>
                </c:pt>
                <c:pt idx="2">
                  <c:v>3.9216012653301324</c:v>
                </c:pt>
                <c:pt idx="3">
                  <c:v>0.73900652169974479</c:v>
                </c:pt>
                <c:pt idx="4">
                  <c:v>4.0305964521238691</c:v>
                </c:pt>
                <c:pt idx="5">
                  <c:v>0.91814579945006758</c:v>
                </c:pt>
                <c:pt idx="6">
                  <c:v>1.9048071265185216</c:v>
                </c:pt>
                <c:pt idx="7">
                  <c:v>1.4596939637196731</c:v>
                </c:pt>
                <c:pt idx="8">
                  <c:v>8.1460999999999992E-2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B153-4C2C-AB4D-729F2A2E106D}"/>
            </c:ext>
          </c:extLst>
        </c:ser>
        <c:ser>
          <c:idx val="1"/>
          <c:order val="1"/>
          <c:tx>
            <c:strRef>
              <c:f>'Graph 4'!$C$3</c:f>
              <c:strCache>
                <c:ptCount val="1"/>
                <c:pt idx="0">
                  <c:v>Dépenses courantes</c:v>
                </c:pt>
              </c:strCache>
            </c:strRef>
          </c:tx>
          <c:spPr>
            <a:solidFill>
              <a:srgbClr val="465F9D"/>
            </a:solidFill>
            <a:ln>
              <a:noFill/>
            </a:ln>
            <a:effectLst/>
          </c:spPr>
          <c:invertIfNegative val="0"/>
          <c:dLbls>
            <c:dLbl>
              <c:idx val="4"/>
              <c:layout>
                <c:manualLayout>
                  <c:x val="-1.0859420525929432E-2"/>
                  <c:y val="0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09D2-447A-9EF6-F485BB6D5784}"/>
                </c:ext>
              </c:extLst>
            </c:dLbl>
            <c:dLbl>
              <c:idx val="6"/>
              <c:layout>
                <c:manualLayout>
                  <c:x val="-8.8008794781231255E-3"/>
                  <c:y val="0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31AC-42B7-AAAB-EEBFC37F7679}"/>
                </c:ext>
              </c:extLst>
            </c:dLbl>
            <c:dLbl>
              <c:idx val="7"/>
              <c:layout>
                <c:manualLayout>
                  <c:x val="-1.7601758956246184E-3"/>
                  <c:y val="0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7871-4A5A-8D94-3BBD0956D114}"/>
                </c:ext>
              </c:extLst>
            </c:dLbl>
            <c:dLbl>
              <c:idx val="8"/>
              <c:layout>
                <c:manualLayout>
                  <c:x val="2.464246253874466E-2"/>
                  <c:y val="-2.3450092018530372E-3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700" b="0" i="0" u="none" strike="noStrike" kern="1200" baseline="0">
                      <a:solidFill>
                        <a:sysClr val="windowText" lastClr="000000"/>
                      </a:solidFill>
                      <a:latin typeface="Arial" panose="020B060402020202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fr-FR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7871-4A5A-8D94-3BBD0956D11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700" b="0" i="0" u="none" strike="noStrike" kern="1200" baseline="0">
                    <a:solidFill>
                      <a:schemeClr val="bg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fr-F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'Graph 4'!$A$4:$A$12</c:f>
              <c:strCache>
                <c:ptCount val="9"/>
                <c:pt idx="0">
                  <c:v>Gestion des déchets**</c:v>
                </c:pt>
                <c:pt idx="1">
                  <c:v>Gestions des eaux usées</c:v>
                </c:pt>
                <c:pt idx="2">
                  <c:v>Protection de l'air extérieur*</c:v>
                </c:pt>
                <c:pt idx="3">
                  <c:v>Autres activités </c:v>
                </c:pt>
                <c:pt idx="4">
                  <c:v>R&amp;D pour l'environnement</c:v>
                </c:pt>
                <c:pt idx="5">
                  <c:v>Protection de la biodiversité et des paysages</c:v>
                </c:pt>
                <c:pt idx="6">
                  <c:v>Protection et dépollution des sols et des eaux</c:v>
                </c:pt>
                <c:pt idx="7">
                  <c:v>Lutte contre le bruit et les vibrations</c:v>
                </c:pt>
                <c:pt idx="8">
                  <c:v>Gestion des déchets radioactifs</c:v>
                </c:pt>
              </c:strCache>
            </c:strRef>
          </c:cat>
          <c:val>
            <c:numRef>
              <c:f>'Graph 4'!$C$4:$C$12</c:f>
              <c:numCache>
                <c:formatCode>_-* #\ ##0.0_-;\-* #\ ##0.0_-;_-* "-"??_-;_-@_-</c:formatCode>
                <c:ptCount val="9"/>
                <c:pt idx="0">
                  <c:v>17.371068225912275</c:v>
                </c:pt>
                <c:pt idx="1">
                  <c:v>8.8472550354884767</c:v>
                </c:pt>
                <c:pt idx="2">
                  <c:v>3.8461959846372094</c:v>
                </c:pt>
                <c:pt idx="3">
                  <c:v>4.757488242587832</c:v>
                </c:pt>
                <c:pt idx="4">
                  <c:v>0.20441569719640382</c:v>
                </c:pt>
                <c:pt idx="5">
                  <c:v>2.3581296906920843</c:v>
                </c:pt>
                <c:pt idx="6">
                  <c:v>0.49262722218358806</c:v>
                </c:pt>
                <c:pt idx="7">
                  <c:v>0.89457756935621091</c:v>
                </c:pt>
                <c:pt idx="8">
                  <c:v>0.64379724448573272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B153-4C2C-AB4D-729F2A2E10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100"/>
        <c:axId val="1016121664"/>
        <c:axId val="1016112096"/>
      </c:barChart>
      <c:catAx>
        <c:axId val="101612166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7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fr-FR"/>
          </a:p>
        </c:txPr>
        <c:crossAx val="1016112096"/>
        <c:crossesAt val="0"/>
        <c:auto val="1"/>
        <c:lblAlgn val="ctr"/>
        <c:lblOffset val="100"/>
        <c:noMultiLvlLbl val="0"/>
      </c:catAx>
      <c:valAx>
        <c:axId val="1016112096"/>
        <c:scaling>
          <c:orientation val="minMax"/>
          <c:max val="22"/>
          <c:min val="0"/>
        </c:scaling>
        <c:delete val="1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0"/>
        <c:majorTickMark val="none"/>
        <c:minorTickMark val="none"/>
        <c:tickLblPos val="nextTo"/>
        <c:crossAx val="1016121664"/>
        <c:crosses val="autoZero"/>
        <c:crossBetween val="between"/>
      </c:valAx>
      <c:spPr>
        <a:noFill/>
        <a:ln>
          <a:noFill/>
        </a:ln>
        <a:effectLst>
          <a:glow rad="127000">
            <a:schemeClr val="accent1"/>
          </a:glow>
        </a:effectLst>
      </c:spPr>
    </c:plotArea>
    <c:legend>
      <c:legendPos val="b"/>
      <c:layout>
        <c:manualLayout>
          <c:xMode val="edge"/>
          <c:yMode val="edge"/>
          <c:x val="0.27343875169988641"/>
          <c:y val="0.92573693063799189"/>
          <c:w val="0.4751360602107666"/>
          <c:h val="3.985974661771030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70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25369974218029268"/>
          <c:y val="5.093172668490762E-2"/>
          <c:w val="0.74179022759960145"/>
          <c:h val="0.85243236449298765"/>
        </c:manualLayout>
      </c:layout>
      <c:barChart>
        <c:barDir val="bar"/>
        <c:grouping val="stacked"/>
        <c:varyColors val="0"/>
        <c:ser>
          <c:idx val="0"/>
          <c:order val="0"/>
          <c:tx>
            <c:strRef>
              <c:f>'Graph 5'!$B$3</c:f>
              <c:strCache>
                <c:ptCount val="1"/>
                <c:pt idx="0">
                  <c:v>Montant en 2000</c:v>
                </c:pt>
              </c:strCache>
            </c:strRef>
          </c:tx>
          <c:spPr>
            <a:solidFill>
              <a:srgbClr val="465F9D"/>
            </a:solidFill>
          </c:spPr>
          <c:invertIfNegative val="0"/>
          <c:dLbls>
            <c:dLbl>
              <c:idx val="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2ED9-4E7E-A415-B95B5302C3FF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700">
                    <a:solidFill>
                      <a:schemeClr val="bg1"/>
                    </a:solidFill>
                    <a:latin typeface="Arial" panose="020B0604020202020204" pitchFamily="34" charset="0"/>
                    <a:cs typeface="Arial" panose="020B0604020202020204" pitchFamily="34" charset="0"/>
                  </a:defRPr>
                </a:pPr>
                <a:endParaRPr lang="fr-F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'Graph 5'!$A$4:$A$12</c:f>
              <c:strCache>
                <c:ptCount val="9"/>
                <c:pt idx="0">
                  <c:v>Gestions des eaux usées</c:v>
                </c:pt>
                <c:pt idx="1">
                  <c:v>R&amp;D pour l'environnement</c:v>
                </c:pt>
                <c:pt idx="2">
                  <c:v>Protection de l'air extérieur**</c:v>
                </c:pt>
                <c:pt idx="3">
                  <c:v>Gestion des déchets*</c:v>
                </c:pt>
                <c:pt idx="4">
                  <c:v>Protection et dépollution des sols et des eaux</c:v>
                </c:pt>
                <c:pt idx="5">
                  <c:v>Lutte contre le bruit et les vibrations</c:v>
                </c:pt>
                <c:pt idx="6">
                  <c:v>Protection de la biodiversité et des paysages</c:v>
                </c:pt>
                <c:pt idx="7">
                  <c:v>Autres activités </c:v>
                </c:pt>
                <c:pt idx="8">
                  <c:v>Gestion des déchets radioactifs</c:v>
                </c:pt>
              </c:strCache>
            </c:strRef>
          </c:cat>
          <c:val>
            <c:numRef>
              <c:f>'Graph 5'!$B$4:$B$12</c:f>
              <c:numCache>
                <c:formatCode>0.0</c:formatCode>
                <c:ptCount val="9"/>
                <c:pt idx="0">
                  <c:v>3.825069113438353</c:v>
                </c:pt>
                <c:pt idx="1">
                  <c:v>2.8229894379753224</c:v>
                </c:pt>
                <c:pt idx="2">
                  <c:v>0.45087236736461173</c:v>
                </c:pt>
                <c:pt idx="3" formatCode="##0.0">
                  <c:v>1.2800291633386818</c:v>
                </c:pt>
                <c:pt idx="4">
                  <c:v>0.34894006035576369</c:v>
                </c:pt>
                <c:pt idx="5">
                  <c:v>0.55804645519476714</c:v>
                </c:pt>
                <c:pt idx="6">
                  <c:v>0.64620169523890014</c:v>
                </c:pt>
                <c:pt idx="7">
                  <c:v>0.3569990959493331</c:v>
                </c:pt>
                <c:pt idx="8">
                  <c:v>6.2867740963719665E-2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E8F-4C58-95E6-2DC6F885F04C}"/>
            </c:ext>
          </c:extLst>
        </c:ser>
        <c:ser>
          <c:idx val="1"/>
          <c:order val="1"/>
          <c:tx>
            <c:strRef>
              <c:f>'Graph 5'!$X$3</c:f>
              <c:strCache>
                <c:ptCount val="1"/>
                <c:pt idx="0">
                  <c:v>Évolution 2000-2021</c:v>
                </c:pt>
              </c:strCache>
            </c:strRef>
          </c:tx>
          <c:spPr>
            <a:solidFill>
              <a:srgbClr val="E5794A"/>
            </a:solidFill>
          </c:spPr>
          <c:invertIfNegative val="0"/>
          <c:dLbls>
            <c:dLbl>
              <c:idx val="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2ED9-4E7E-A415-B95B5302C3FF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700">
                    <a:solidFill>
                      <a:schemeClr val="bg1"/>
                    </a:solidFill>
                    <a:latin typeface="Arial" panose="020B0604020202020204" pitchFamily="34" charset="0"/>
                    <a:cs typeface="Arial" panose="020B0604020202020204" pitchFamily="34" charset="0"/>
                  </a:defRPr>
                </a:pPr>
                <a:endParaRPr lang="fr-F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'Graph 5'!$A$4:$A$12</c:f>
              <c:strCache>
                <c:ptCount val="9"/>
                <c:pt idx="0">
                  <c:v>Gestions des eaux usées</c:v>
                </c:pt>
                <c:pt idx="1">
                  <c:v>R&amp;D pour l'environnement</c:v>
                </c:pt>
                <c:pt idx="2">
                  <c:v>Protection de l'air extérieur**</c:v>
                </c:pt>
                <c:pt idx="3">
                  <c:v>Gestion des déchets*</c:v>
                </c:pt>
                <c:pt idx="4">
                  <c:v>Protection et dépollution des sols et des eaux</c:v>
                </c:pt>
                <c:pt idx="5">
                  <c:v>Lutte contre le bruit et les vibrations</c:v>
                </c:pt>
                <c:pt idx="6">
                  <c:v>Protection de la biodiversité et des paysages</c:v>
                </c:pt>
                <c:pt idx="7">
                  <c:v>Autres activités </c:v>
                </c:pt>
                <c:pt idx="8">
                  <c:v>Gestion des déchets radioactifs</c:v>
                </c:pt>
              </c:strCache>
            </c:strRef>
          </c:cat>
          <c:val>
            <c:numRef>
              <c:f>'Graph 5'!$X$4:$X$12</c:f>
              <c:numCache>
                <c:formatCode>0.0</c:formatCode>
                <c:ptCount val="9"/>
                <c:pt idx="0">
                  <c:v>1.3964862418006359</c:v>
                </c:pt>
                <c:pt idx="1">
                  <c:v>1.2076070141485467</c:v>
                </c:pt>
                <c:pt idx="2">
                  <c:v>3.4707288979655209</c:v>
                </c:pt>
                <c:pt idx="3">
                  <c:v>0.98449914201898081</c:v>
                </c:pt>
                <c:pt idx="4">
                  <c:v>1.5558670661627578</c:v>
                </c:pt>
                <c:pt idx="5">
                  <c:v>0.90164750852490594</c:v>
                </c:pt>
                <c:pt idx="6">
                  <c:v>0.27194410421116744</c:v>
                </c:pt>
                <c:pt idx="7">
                  <c:v>0.38200742575041169</c:v>
                </c:pt>
                <c:pt idx="8">
                  <c:v>1.8593259036280327E-2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AE8F-4C58-95E6-2DC6F885F04C}"/>
            </c:ext>
          </c:extLst>
        </c:ser>
        <c:ser>
          <c:idx val="2"/>
          <c:order val="2"/>
          <c:spPr>
            <a:noFill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700" b="1">
                    <a:latin typeface="Arial" panose="020B0604020202020204" pitchFamily="34" charset="0"/>
                    <a:cs typeface="Arial" panose="020B0604020202020204" pitchFamily="34" charset="0"/>
                  </a:defRPr>
                </a:pPr>
                <a:endParaRPr lang="fr-FR"/>
              </a:p>
            </c:txPr>
            <c:dLblPos val="inBase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'Graph 5'!$A$4:$A$12</c:f>
              <c:strCache>
                <c:ptCount val="9"/>
                <c:pt idx="0">
                  <c:v>Gestions des eaux usées</c:v>
                </c:pt>
                <c:pt idx="1">
                  <c:v>R&amp;D pour l'environnement</c:v>
                </c:pt>
                <c:pt idx="2">
                  <c:v>Protection de l'air extérieur**</c:v>
                </c:pt>
                <c:pt idx="3">
                  <c:v>Gestion des déchets*</c:v>
                </c:pt>
                <c:pt idx="4">
                  <c:v>Protection et dépollution des sols et des eaux</c:v>
                </c:pt>
                <c:pt idx="5">
                  <c:v>Lutte contre le bruit et les vibrations</c:v>
                </c:pt>
                <c:pt idx="6">
                  <c:v>Protection de la biodiversité et des paysages</c:v>
                </c:pt>
                <c:pt idx="7">
                  <c:v>Autres activités </c:v>
                </c:pt>
                <c:pt idx="8">
                  <c:v>Gestion des déchets radioactifs</c:v>
                </c:pt>
              </c:strCache>
            </c:strRef>
          </c:cat>
          <c:val>
            <c:numRef>
              <c:f>'Graph 5'!$W$4:$W$12</c:f>
              <c:numCache>
                <c:formatCode>0.0</c:formatCode>
                <c:ptCount val="9"/>
                <c:pt idx="0">
                  <c:v>5.2215553552389888</c:v>
                </c:pt>
                <c:pt idx="1">
                  <c:v>4.0305964521238691</c:v>
                </c:pt>
                <c:pt idx="2">
                  <c:v>3.9216012653301324</c:v>
                </c:pt>
                <c:pt idx="3">
                  <c:v>2.2645283053576626</c:v>
                </c:pt>
                <c:pt idx="4">
                  <c:v>1.9048071265185216</c:v>
                </c:pt>
                <c:pt idx="5">
                  <c:v>1.4596939637196731</c:v>
                </c:pt>
                <c:pt idx="6">
                  <c:v>0.91814579945006758</c:v>
                </c:pt>
                <c:pt idx="7">
                  <c:v>0.73900652169974479</c:v>
                </c:pt>
                <c:pt idx="8">
                  <c:v>8.1460999999999992E-2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D-AE8F-4C58-95E6-2DC6F885F04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100"/>
        <c:axId val="143482880"/>
        <c:axId val="177165952"/>
      </c:barChart>
      <c:catAx>
        <c:axId val="143482880"/>
        <c:scaling>
          <c:orientation val="minMax"/>
        </c:scaling>
        <c:delete val="0"/>
        <c:axPos val="l"/>
        <c:numFmt formatCode="General" sourceLinked="0"/>
        <c:majorTickMark val="out"/>
        <c:minorTickMark val="none"/>
        <c:tickLblPos val="nextTo"/>
        <c:txPr>
          <a:bodyPr rot="0" vert="horz" anchor="ctr" anchorCtr="0"/>
          <a:lstStyle/>
          <a:p>
            <a:pPr>
              <a:defRPr sz="700" b="0">
                <a:latin typeface="Arial" panose="020B0604020202020204" pitchFamily="34" charset="0"/>
                <a:cs typeface="Arial" panose="020B0604020202020204" pitchFamily="34" charset="0"/>
              </a:defRPr>
            </a:pPr>
            <a:endParaRPr lang="fr-FR"/>
          </a:p>
        </c:txPr>
        <c:crossAx val="177165952"/>
        <c:crosses val="autoZero"/>
        <c:auto val="1"/>
        <c:lblAlgn val="ctr"/>
        <c:lblOffset val="100"/>
        <c:noMultiLvlLbl val="0"/>
      </c:catAx>
      <c:valAx>
        <c:axId val="177165952"/>
        <c:scaling>
          <c:orientation val="minMax"/>
          <c:max val="6"/>
          <c:min val="0"/>
        </c:scaling>
        <c:delete val="1"/>
        <c:axPos val="b"/>
        <c:majorGridlines>
          <c:spPr>
            <a:ln>
              <a:solidFill>
                <a:schemeClr val="bg1">
                  <a:lumMod val="85000"/>
                </a:schemeClr>
              </a:solidFill>
              <a:prstDash val="sysDot"/>
            </a:ln>
          </c:spPr>
        </c:majorGridlines>
        <c:numFmt formatCode="0" sourceLinked="0"/>
        <c:majorTickMark val="out"/>
        <c:minorTickMark val="none"/>
        <c:tickLblPos val="nextTo"/>
        <c:crossAx val="143482880"/>
        <c:crosses val="autoZero"/>
        <c:crossBetween val="between"/>
        <c:majorUnit val="1"/>
      </c:valAx>
    </c:plotArea>
    <c:legend>
      <c:legendPos val="b"/>
      <c:legendEntry>
        <c:idx val="2"/>
        <c:delete val="1"/>
      </c:legendEntry>
      <c:layout>
        <c:manualLayout>
          <c:xMode val="edge"/>
          <c:yMode val="edge"/>
          <c:x val="0.2297300099858042"/>
          <c:y val="0.93879279497423884"/>
          <c:w val="0.43259028801954258"/>
          <c:h val="4.0826902417244605E-2"/>
        </c:manualLayout>
      </c:layout>
      <c:overlay val="0"/>
      <c:txPr>
        <a:bodyPr/>
        <a:lstStyle/>
        <a:p>
          <a:pPr>
            <a:defRPr sz="700" b="0">
              <a:latin typeface="Arial" panose="020B0604020202020204" pitchFamily="34" charset="0"/>
              <a:cs typeface="Arial" panose="020B0604020202020204" pitchFamily="34" charset="0"/>
            </a:defRPr>
          </a:pPr>
          <a:endParaRPr lang="fr-FR"/>
        </a:p>
      </c:txPr>
    </c:legend>
    <c:plotVisOnly val="1"/>
    <c:dispBlanksAs val="gap"/>
    <c:showDLblsOverMax val="0"/>
  </c:chart>
  <c:spPr>
    <a:ln>
      <a:noFill/>
    </a:ln>
  </c:sp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25618472222222222"/>
          <c:y val="5.3266616829365447E-2"/>
          <c:w val="0.72457100694444454"/>
          <c:h val="0.83731753179997104"/>
        </c:manualLayout>
      </c:layout>
      <c:barChart>
        <c:barDir val="bar"/>
        <c:grouping val="stacked"/>
        <c:varyColors val="0"/>
        <c:ser>
          <c:idx val="0"/>
          <c:order val="0"/>
          <c:tx>
            <c:strRef>
              <c:f>'Graph 6'!$B$3</c:f>
              <c:strCache>
                <c:ptCount val="1"/>
                <c:pt idx="0">
                  <c:v>2000</c:v>
                </c:pt>
              </c:strCache>
            </c:strRef>
          </c:tx>
          <c:spPr>
            <a:solidFill>
              <a:srgbClr val="465F9D"/>
            </a:solidFill>
          </c:spPr>
          <c:invertIfNegative val="0"/>
          <c:dLbls>
            <c:dLbl>
              <c:idx val="5"/>
              <c:layout>
                <c:manualLayout>
                  <c:x val="0"/>
                  <c:y val="-5.0722090868427026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8F7F-467A-8389-4EB789C53496}"/>
                </c:ext>
              </c:extLst>
            </c:dLbl>
            <c:dLbl>
              <c:idx val="6"/>
              <c:layout>
                <c:manualLayout>
                  <c:x val="0"/>
                  <c:y val="-2.5361045434213049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8F7F-467A-8389-4EB789C53496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700" b="0">
                    <a:solidFill>
                      <a:schemeClr val="bg1"/>
                    </a:solidFill>
                    <a:latin typeface="Arial" panose="020B0604020202020204" pitchFamily="34" charset="0"/>
                    <a:cs typeface="Arial" panose="020B0604020202020204" pitchFamily="34" charset="0"/>
                  </a:defRPr>
                </a:pPr>
                <a:endParaRPr lang="fr-F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'Graph 6'!$A$4:$A$12</c:f>
              <c:strCache>
                <c:ptCount val="9"/>
                <c:pt idx="0">
                  <c:v>Gestion des déchets**</c:v>
                </c:pt>
                <c:pt idx="1">
                  <c:v>Gestions des eaux usées</c:v>
                </c:pt>
                <c:pt idx="2">
                  <c:v>Autres activités </c:v>
                </c:pt>
                <c:pt idx="3">
                  <c:v>Protection de l'air extérieur*</c:v>
                </c:pt>
                <c:pt idx="4">
                  <c:v>Protection de la biodiversité et des paysages</c:v>
                </c:pt>
                <c:pt idx="5">
                  <c:v>Lutte contre le bruit et les vibrations</c:v>
                </c:pt>
                <c:pt idx="6">
                  <c:v>Gestion des déchets radioactifs</c:v>
                </c:pt>
                <c:pt idx="7">
                  <c:v>Protection et dépollution des sols et des eaux</c:v>
                </c:pt>
                <c:pt idx="8">
                  <c:v>R&amp;D pour l'environnement</c:v>
                </c:pt>
              </c:strCache>
            </c:strRef>
          </c:cat>
          <c:val>
            <c:numRef>
              <c:f>'Graph 6'!$B$4:$B$12</c:f>
              <c:numCache>
                <c:formatCode>0.0</c:formatCode>
                <c:ptCount val="9"/>
                <c:pt idx="0">
                  <c:v>7.7621810662532154</c:v>
                </c:pt>
                <c:pt idx="1">
                  <c:v>5.061797807835517</c:v>
                </c:pt>
                <c:pt idx="2">
                  <c:v>1.4990299281179986</c:v>
                </c:pt>
                <c:pt idx="3">
                  <c:v>1.1157336651857532</c:v>
                </c:pt>
                <c:pt idx="4">
                  <c:v>0.82780454025330008</c:v>
                </c:pt>
                <c:pt idx="5">
                  <c:v>0.72821948368559408</c:v>
                </c:pt>
                <c:pt idx="6">
                  <c:v>0.48160196186487031</c:v>
                </c:pt>
                <c:pt idx="7">
                  <c:v>0.38088086715656821</c:v>
                </c:pt>
                <c:pt idx="8">
                  <c:v>0.13439900184248316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070-4E90-90AB-5A5175DBDEA8}"/>
            </c:ext>
          </c:extLst>
        </c:ser>
        <c:ser>
          <c:idx val="1"/>
          <c:order val="1"/>
          <c:tx>
            <c:strRef>
              <c:f>'Graph 6'!$X$3</c:f>
              <c:strCache>
                <c:ptCount val="1"/>
                <c:pt idx="0">
                  <c:v>Évolution 2000-2021</c:v>
                </c:pt>
              </c:strCache>
            </c:strRef>
          </c:tx>
          <c:spPr>
            <a:solidFill>
              <a:srgbClr val="E5794A"/>
            </a:solidFill>
          </c:spPr>
          <c:invertIfNegative val="0"/>
          <c:dLbls>
            <c:dLbl>
              <c:idx val="4"/>
              <c:layout>
                <c:manualLayout>
                  <c:x val="-1.0340654571167789E-16"/>
                  <c:y val="-2.5361045434213049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8F7F-467A-8389-4EB789C53496}"/>
                </c:ext>
              </c:extLst>
            </c:dLbl>
            <c:dLbl>
              <c:idx val="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9070-4E90-90AB-5A5175DBDEA8}"/>
                </c:ext>
              </c:extLst>
            </c:dLbl>
            <c:dLbl>
              <c:idx val="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9070-4E90-90AB-5A5175DBDEA8}"/>
                </c:ext>
              </c:extLst>
            </c:dLbl>
            <c:dLbl>
              <c:idx val="7"/>
              <c:layout>
                <c:manualLayout>
                  <c:x val="5.8990349968379777E-3"/>
                  <c:y val="-2.1104521745714781E-4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9070-4E90-90AB-5A5175DBDEA8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700" b="0">
                    <a:solidFill>
                      <a:schemeClr val="bg1"/>
                    </a:solidFill>
                    <a:latin typeface="Arial" panose="020B0604020202020204" pitchFamily="34" charset="0"/>
                    <a:cs typeface="Arial" panose="020B0604020202020204" pitchFamily="34" charset="0"/>
                  </a:defRPr>
                </a:pPr>
                <a:endParaRPr lang="fr-F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'Graph 6'!$A$4:$A$12</c:f>
              <c:strCache>
                <c:ptCount val="9"/>
                <c:pt idx="0">
                  <c:v>Gestion des déchets**</c:v>
                </c:pt>
                <c:pt idx="1">
                  <c:v>Gestions des eaux usées</c:v>
                </c:pt>
                <c:pt idx="2">
                  <c:v>Autres activités </c:v>
                </c:pt>
                <c:pt idx="3">
                  <c:v>Protection de l'air extérieur*</c:v>
                </c:pt>
                <c:pt idx="4">
                  <c:v>Protection de la biodiversité et des paysages</c:v>
                </c:pt>
                <c:pt idx="5">
                  <c:v>Lutte contre le bruit et les vibrations</c:v>
                </c:pt>
                <c:pt idx="6">
                  <c:v>Gestion des déchets radioactifs</c:v>
                </c:pt>
                <c:pt idx="7">
                  <c:v>Protection et dépollution des sols et des eaux</c:v>
                </c:pt>
                <c:pt idx="8">
                  <c:v>R&amp;D pour l'environnement</c:v>
                </c:pt>
              </c:strCache>
            </c:strRef>
          </c:cat>
          <c:val>
            <c:numRef>
              <c:f>'Graph 6'!$X$4:$X$12</c:f>
              <c:numCache>
                <c:formatCode>0.0</c:formatCode>
                <c:ptCount val="9"/>
                <c:pt idx="0">
                  <c:v>9.6088871596590586</c:v>
                </c:pt>
                <c:pt idx="1">
                  <c:v>3.7854572276529597</c:v>
                </c:pt>
                <c:pt idx="2">
                  <c:v>3.2584583144698334</c:v>
                </c:pt>
                <c:pt idx="3">
                  <c:v>2.7304623194514561</c:v>
                </c:pt>
                <c:pt idx="4">
                  <c:v>1.5303251504387843</c:v>
                </c:pt>
                <c:pt idx="5">
                  <c:v>0.16635808567061683</c:v>
                </c:pt>
                <c:pt idx="6">
                  <c:v>0.16219528262086241</c:v>
                </c:pt>
                <c:pt idx="7">
                  <c:v>0.11174635502701985</c:v>
                </c:pt>
                <c:pt idx="8">
                  <c:v>7.001669535392066E-2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9070-4E90-90AB-5A5175DBDEA8}"/>
            </c:ext>
          </c:extLst>
        </c:ser>
        <c:ser>
          <c:idx val="2"/>
          <c:order val="2"/>
          <c:spPr>
            <a:noFill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700" b="1">
                    <a:latin typeface="Arial" panose="020B0604020202020204" pitchFamily="34" charset="0"/>
                    <a:cs typeface="Arial" panose="020B0604020202020204" pitchFamily="34" charset="0"/>
                  </a:defRPr>
                </a:pPr>
                <a:endParaRPr lang="fr-FR"/>
              </a:p>
            </c:txPr>
            <c:dLblPos val="inBase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'Graph 6'!$W$4:$W$12</c:f>
              <c:numCache>
                <c:formatCode>_-* #\ ##0.0_-;\-* #\ ##0.0_-;_-* "-"??_-;_-@_-</c:formatCode>
                <c:ptCount val="9"/>
                <c:pt idx="0">
                  <c:v>17.371068225912275</c:v>
                </c:pt>
                <c:pt idx="1">
                  <c:v>8.8472550354884767</c:v>
                </c:pt>
                <c:pt idx="2">
                  <c:v>4.757488242587832</c:v>
                </c:pt>
                <c:pt idx="3">
                  <c:v>3.8461959846372094</c:v>
                </c:pt>
                <c:pt idx="4">
                  <c:v>2.3581296906920843</c:v>
                </c:pt>
                <c:pt idx="5">
                  <c:v>0.89457756935621091</c:v>
                </c:pt>
                <c:pt idx="6">
                  <c:v>0.64379724448573272</c:v>
                </c:pt>
                <c:pt idx="7">
                  <c:v>0.49262722218358806</c:v>
                </c:pt>
                <c:pt idx="8">
                  <c:v>0.20441569719640382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9-9070-4E90-90AB-5A5175DBDEA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100"/>
        <c:axId val="143021056"/>
        <c:axId val="142805248"/>
      </c:barChart>
      <c:catAx>
        <c:axId val="143021056"/>
        <c:scaling>
          <c:orientation val="minMax"/>
        </c:scaling>
        <c:delete val="0"/>
        <c:axPos val="l"/>
        <c:numFmt formatCode="General" sourceLinked="0"/>
        <c:majorTickMark val="out"/>
        <c:minorTickMark val="none"/>
        <c:tickLblPos val="nextTo"/>
        <c:txPr>
          <a:bodyPr rot="0"/>
          <a:lstStyle/>
          <a:p>
            <a:pPr>
              <a:defRPr sz="700" b="0">
                <a:latin typeface="Arial" panose="020B0604020202020204" pitchFamily="34" charset="0"/>
                <a:cs typeface="Arial" panose="020B0604020202020204" pitchFamily="34" charset="0"/>
              </a:defRPr>
            </a:pPr>
            <a:endParaRPr lang="fr-FR"/>
          </a:p>
        </c:txPr>
        <c:crossAx val="142805248"/>
        <c:crosses val="autoZero"/>
        <c:auto val="1"/>
        <c:lblAlgn val="ctr"/>
        <c:lblOffset val="100"/>
        <c:noMultiLvlLbl val="0"/>
      </c:catAx>
      <c:valAx>
        <c:axId val="142805248"/>
        <c:scaling>
          <c:orientation val="minMax"/>
          <c:max val="20"/>
        </c:scaling>
        <c:delete val="1"/>
        <c:axPos val="b"/>
        <c:majorGridlines>
          <c:spPr>
            <a:ln>
              <a:solidFill>
                <a:schemeClr val="bg1">
                  <a:lumMod val="85000"/>
                </a:schemeClr>
              </a:solidFill>
            </a:ln>
          </c:spPr>
        </c:majorGridlines>
        <c:numFmt formatCode="0" sourceLinked="0"/>
        <c:majorTickMark val="out"/>
        <c:minorTickMark val="none"/>
        <c:tickLblPos val="nextTo"/>
        <c:crossAx val="143021056"/>
        <c:crosses val="autoZero"/>
        <c:crossBetween val="between"/>
        <c:majorUnit val="5"/>
        <c:minorUnit val="1"/>
      </c:valAx>
    </c:plotArea>
    <c:legend>
      <c:legendPos val="b"/>
      <c:legendEntry>
        <c:idx val="2"/>
        <c:delete val="1"/>
      </c:legendEntry>
      <c:layout>
        <c:manualLayout>
          <c:xMode val="edge"/>
          <c:yMode val="edge"/>
          <c:x val="0.24653065671617833"/>
          <c:y val="0.95779955871873645"/>
          <c:w val="0.52786218764857074"/>
          <c:h val="4.1609884759991889E-2"/>
        </c:manualLayout>
      </c:layout>
      <c:overlay val="0"/>
      <c:txPr>
        <a:bodyPr/>
        <a:lstStyle/>
        <a:p>
          <a:pPr>
            <a:defRPr sz="700" b="0">
              <a:latin typeface="Arial" panose="020B0604020202020204" pitchFamily="34" charset="0"/>
              <a:cs typeface="Arial" panose="020B0604020202020204" pitchFamily="34" charset="0"/>
            </a:defRPr>
          </a:pPr>
          <a:endParaRPr lang="fr-FR"/>
        </a:p>
      </c:txPr>
    </c:legend>
    <c:plotVisOnly val="1"/>
    <c:dispBlanksAs val="gap"/>
    <c:showDLblsOverMax val="0"/>
  </c:chart>
  <c:spPr>
    <a:ln>
      <a:noFill/>
    </a:ln>
  </c:spPr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_xlchart.v1.0</cx:f>
      </cx:strDim>
      <cx:numDim type="size">
        <cx:f>_xlchart.v1.1</cx:f>
      </cx:numDim>
    </cx:data>
  </cx:chartData>
  <cx:chart>
    <cx:plotArea>
      <cx:plotAreaRegion>
        <cx:series layoutId="treemap" uniqueId="{9353D239-5CE1-48CD-8C7F-9D86B8CD5255}">
          <cx:dataPt idx="0">
            <cx:spPr>
              <a:solidFill>
                <a:srgbClr val="E5794A"/>
              </a:solidFill>
            </cx:spPr>
          </cx:dataPt>
          <cx:dataPt idx="1">
            <cx:spPr>
              <a:solidFill>
                <a:srgbClr val="417DC4"/>
              </a:solidFill>
            </cx:spPr>
          </cx:dataPt>
          <cx:dataPt idx="2">
            <cx:spPr>
              <a:solidFill>
                <a:srgbClr val="6E445A"/>
              </a:solidFill>
            </cx:spPr>
          </cx:dataPt>
          <cx:dataPt idx="3">
            <cx:spPr>
              <a:solidFill>
                <a:srgbClr val="00A95F"/>
              </a:solidFill>
            </cx:spPr>
          </cx:dataPt>
          <cx:dataPt idx="4">
            <cx:spPr>
              <a:solidFill>
                <a:srgbClr val="465F9D"/>
              </a:solidFill>
            </cx:spPr>
          </cx:dataPt>
          <cx:dataPt idx="5">
            <cx:spPr>
              <a:solidFill>
                <a:srgbClr val="68A532"/>
              </a:solidFill>
            </cx:spPr>
          </cx:dataPt>
          <cx:dataPt idx="6">
            <cx:spPr>
              <a:solidFill>
                <a:srgbClr val="C08C65"/>
              </a:solidFill>
            </cx:spPr>
          </cx:dataPt>
          <cx:dataPt idx="7">
            <cx:spPr>
              <a:solidFill>
                <a:srgbClr val="D8C634"/>
              </a:solidFill>
            </cx:spPr>
          </cx:dataPt>
          <cx:dataPt idx="8">
            <cx:spPr>
              <a:solidFill>
                <a:srgbClr val="D0C3B7"/>
              </a:solidFill>
            </cx:spPr>
          </cx:dataPt>
          <cx:dataLabels>
            <cx:txPr>
              <a:bodyPr spcFirstLastPara="1" vertOverflow="ellipsis" wrap="square" lIns="0" tIns="0" rIns="0" bIns="0" anchor="ctr" anchorCtr="1">
                <a:spAutoFit/>
              </a:bodyPr>
              <a:lstStyle/>
              <a:p>
                <a:pPr>
                  <a:defRPr lang="fr-FR" sz="700" b="0" i="0" u="none" strike="noStrike" kern="1200" spc="0" baseline="0">
                    <a:solidFill>
                      <a:sysClr val="window" lastClr="FFFFFF"/>
                    </a:solidFill>
                    <a:latin typeface="Arial" panose="020B0604020202020204" pitchFamily="34" charset="0"/>
                    <a:ea typeface="Arial" panose="020B0604020202020204" pitchFamily="34" charset="0"/>
                    <a:cs typeface="Arial" panose="020B0604020202020204" pitchFamily="34" charset="0"/>
                  </a:defRPr>
                </a:pPr>
                <a:endParaRPr lang="fr-FR" sz="700" b="0" baseline="0">
                  <a:latin typeface="Arial" panose="020B0604020202020204" pitchFamily="34" charset="0"/>
                  <a:cs typeface="Arial" panose="020B0604020202020204" pitchFamily="34" charset="0"/>
                </a:endParaRPr>
              </a:p>
            </cx:txPr>
            <cx:visibility seriesName="0" categoryName="1" value="1"/>
            <cx:separator>
</cx:separator>
            <cx:dataLabel idx="4">
              <cx:txPr>
                <a:bodyPr spcFirstLastPara="1" vertOverflow="ellipsis" wrap="square" lIns="0" tIns="0" rIns="0" bIns="0" anchor="ctr" anchorCtr="1">
                  <a:spAutoFit/>
                </a:bodyPr>
                <a:lstStyle/>
                <a:p>
                  <a:pPr>
                    <a:defRPr/>
                  </a:pPr>
                  <a:r>
                    <a:rPr lang="fr-FR" sz="700" b="0" baseline="0">
                      <a:latin typeface="Arial" panose="020B0604020202020204" pitchFamily="34" charset="0"/>
                      <a:cs typeface="Arial" panose="020B0604020202020204" pitchFamily="34" charset="0"/>
                    </a:rPr>
                    <a:t>Recherche et développement pour l'environnement
4,2</a:t>
                  </a:r>
                </a:p>
              </cx:txPr>
              <cx:visibility seriesName="0" categoryName="1" value="1"/>
              <cx:separator>
</cx:separator>
            </cx:dataLabel>
            <cx:dataLabel idx="5">
              <cx:txPr>
                <a:bodyPr spcFirstLastPara="1" vertOverflow="ellipsis" wrap="square" lIns="0" tIns="0" rIns="0" bIns="0" anchor="ctr" anchorCtr="1">
                  <a:spAutoFit/>
                </a:bodyPr>
                <a:lstStyle/>
                <a:p>
                  <a:pPr>
                    <a:defRPr sz="700" baseline="0"/>
                  </a:pPr>
                  <a:r>
                    <a:rPr lang="fr-FR" sz="700" baseline="0"/>
                    <a:t>Protection de la biodiversité et des paysages
3,3</a:t>
                  </a:r>
                </a:p>
              </cx:txPr>
              <cx:visibility seriesName="0" categoryName="1" value="1"/>
              <cx:separator>
</cx:separator>
            </cx:dataLabel>
            <cx:dataLabel idx="7">
              <cx:txPr>
                <a:bodyPr spcFirstLastPara="1" vertOverflow="ellipsis" wrap="square" lIns="0" tIns="0" rIns="0" bIns="0" anchor="ctr" anchorCtr="1">
                  <a:spAutoFit/>
                </a:bodyPr>
                <a:lstStyle/>
                <a:p>
                  <a:pPr>
                    <a:defRPr/>
                  </a:pPr>
                  <a:r>
                    <a:rPr lang="fr-FR" sz="700" b="0" baseline="0">
                      <a:latin typeface="Arial" panose="020B0604020202020204" pitchFamily="34" charset="0"/>
                      <a:cs typeface="Arial" panose="020B0604020202020204" pitchFamily="34" charset="0"/>
                    </a:rPr>
                    <a:t>Lutte contre le bruit et les vibrations
2,4</a:t>
                  </a:r>
                </a:p>
              </cx:txPr>
              <cx:visibility seriesName="0" categoryName="1" value="1"/>
              <cx:separator>
</cx:separator>
            </cx:dataLabel>
            <cx:dataLabel idx="8">
              <cx:txPr>
                <a:bodyPr spcFirstLastPara="1" vertOverflow="ellipsis" wrap="square" lIns="0" tIns="0" rIns="0" bIns="0" anchor="ctr" anchorCtr="1">
                  <a:spAutoFit/>
                </a:bodyPr>
                <a:lstStyle/>
                <a:p>
                  <a:pPr>
                    <a:defRPr sz="500"/>
                  </a:pPr>
                  <a:r>
                    <a:rPr lang="fr-FR" sz="500" baseline="0">
                      <a:latin typeface="Arial" panose="020B0604020202020204" pitchFamily="34" charset="0"/>
                      <a:cs typeface="Arial" panose="020B0604020202020204" pitchFamily="34" charset="0"/>
                    </a:rPr>
                    <a:t>Gestion des déchets radioactifs
0,7</a:t>
                  </a:r>
                </a:p>
              </cx:txPr>
            </cx:dataLabel>
          </cx:dataLabels>
          <cx:dataId val="0"/>
          <cx:layoutPr>
            <cx:parentLabelLayout val="overlapping"/>
          </cx:layoutPr>
        </cx:series>
      </cx:plotAreaRegion>
    </cx:plotArea>
  </cx:chart>
  <cx:spPr>
    <a:ln>
      <a:noFill/>
    </a:ln>
  </cx:spPr>
  <cx:clrMapOvr bg1="lt1" tx1="dk1" bg2="lt2" tx2="dk2" accent1="accent1" accent2="accent2" accent3="accent3" accent4="accent4" accent5="accent5" accent6="accent6" hlink="hlink" folHlink="folHlink"/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416">
  <cs:axisTitle>
    <cs:lnRef idx="0"/>
    <cs:fillRef idx="0"/>
    <cs:effectRef idx="0"/>
    <cs:fontRef idx="minor">
      <a:schemeClr val="tx1">
        <a:lumMod val="65000"/>
        <a:lumOff val="35000"/>
      </a:schemeClr>
    </cs:fontRef>
    <cs:spPr>
      <a:solidFill>
        <a:schemeClr val="bg1">
          <a:lumMod val="65000"/>
        </a:schemeClr>
      </a:solidFill>
      <a:ln>
        <a:solidFill>
          <a:schemeClr val="bg1"/>
        </a:solidFill>
      </a:ln>
    </cs:spPr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bg1"/>
    </cs:fontRef>
    <cs:defRPr sz="1000" b="1" i="0" u="none" strike="noStrike" kern="1200" spc="0" baseline="0"/>
    <cs:bodyPr lIns="38100" tIns="19050" rIns="38100" bIns="19050">
      <a:spAutoFit/>
    </cs:bodyPr>
  </cs:dataLabel>
  <cs:dataLabelCallout>
    <cs:lnRef idx="0">
      <cs:styleClr val="auto"/>
    </cs:lnRef>
    <cs:fillRef idx="0"/>
    <cs:effectRef idx="0"/>
    <cs:fontRef idx="minor">
      <a:schemeClr val="tx1">
        <a:lumMod val="65000"/>
        <a:lumOff val="35000"/>
      </a:schemeClr>
    </cs:fontRef>
    <cs:spPr>
      <a:solidFill>
        <a:schemeClr val="lt1"/>
      </a:solidFill>
      <a:ln>
        <a:solidFill>
          <a:schemeClr val="phClr"/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>
        <a:solidFill>
          <a:schemeClr val="bg1"/>
        </a:solidFill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10000"/>
          </a:prstClr>
        </a:outerShdw>
      </a:effectLst>
      <a:scene3d>
        <a:camera prst="orthographicFront"/>
        <a:lightRig rig="threePt" dir="t"/>
      </a:scene3d>
      <a:sp3d>
        <a:bevelT w="127000" h="127000"/>
        <a:bevelB w="127000" h="127000"/>
      </a:sp3d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defRPr sz="900"/>
  </cs:dataTable>
  <cs:downBar>
    <cs:lnRef idx="0"/>
    <cs:fillRef idx="0"/>
    <cs:effectRef idx="0"/>
    <cs:fontRef idx="minor">
      <a:schemeClr val="tx1"/>
    </cs:fontRef>
    <cs:spPr>
      <a:solidFill>
        <a:schemeClr val="dk1"/>
      </a:solidFill>
    </cs:spPr>
  </cs:downBar>
  <cs:dropLine>
    <cs:lnRef idx="0"/>
    <cs:fillRef idx="0"/>
    <cs:effectRef idx="0"/>
    <cs:fontRef idx="minor">
      <a:schemeClr val="tx1"/>
    </cs:fontRef>
  </cs:dropLine>
  <cs:errorBar>
    <cs:lnRef idx="0"/>
    <cs:fillRef idx="0"/>
    <cs:effectRef idx="0"/>
    <cs:fontRef idx="minor">
      <a:schemeClr val="tx1"/>
    </cs:fontRef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  <a:lumOff val="10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</cs:hiLoLine>
  <cs:leaderLine>
    <cs:lnRef idx="0"/>
    <cs:fillRef idx="0"/>
    <cs:effectRef idx="0"/>
    <cs:fontRef idx="minor">
      <a:schemeClr val="tx1"/>
    </cs:fontRef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microsoft.com/office/2014/relationships/chartEx" Target="../charts/chartEx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143930</xdr:colOff>
      <xdr:row>18</xdr:row>
      <xdr:rowOff>101600</xdr:rowOff>
    </xdr:from>
    <xdr:to>
      <xdr:col>3</xdr:col>
      <xdr:colOff>68280</xdr:colOff>
      <xdr:row>39</xdr:row>
      <xdr:rowOff>95250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3" name="Graphique 2">
              <a:extLst>
                <a:ext uri="{FF2B5EF4-FFF2-40B4-BE49-F238E27FC236}">
                  <a16:creationId xmlns:a16="http://schemas.microsoft.com/office/drawing/2014/main" id="{00000000-0008-0000-0000-000003000000}"/>
                </a:ext>
              </a:extLst>
            </xdr:cNvPr>
            <xdr:cNvGraphicFramePr>
              <a:graphicFrameLocks noChangeAspect="1"/>
            </xdr:cNvGraphicFramePr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43930" y="3256280"/>
              <a:ext cx="5654590" cy="367411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fr-FR" sz="1100"/>
                <a:t>Ce graphique n’est pas disponible dans votre version d’Excel.
La modification de cette forme ou l’enregistrement de ce classeur dans un autre format de fichier endommagera le graphique de façon irréparable.</a:t>
              </a:r>
            </a:p>
          </xdr:txBody>
        </xdr:sp>
      </mc:Fallback>
    </mc:AlternateContent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514356</xdr:colOff>
      <xdr:row>31</xdr:row>
      <xdr:rowOff>19049</xdr:rowOff>
    </xdr:from>
    <xdr:to>
      <xdr:col>3</xdr:col>
      <xdr:colOff>657781</xdr:colOff>
      <xdr:row>50</xdr:row>
      <xdr:rowOff>168275</xdr:rowOff>
    </xdr:to>
    <xdr:graphicFrame macro="">
      <xdr:nvGraphicFramePr>
        <xdr:cNvPr id="3" name="Graphique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GraphicFramePr>
          <a:graphicFrameLocks noChangeAspect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635000</xdr:colOff>
      <xdr:row>20</xdr:row>
      <xdr:rowOff>158751</xdr:rowOff>
    </xdr:from>
    <xdr:to>
      <xdr:col>3</xdr:col>
      <xdr:colOff>1099100</xdr:colOff>
      <xdr:row>38</xdr:row>
      <xdr:rowOff>89058</xdr:rowOff>
    </xdr:to>
    <xdr:graphicFrame macro="">
      <xdr:nvGraphicFramePr>
        <xdr:cNvPr id="3" name="Graphique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GraphicFramePr>
          <a:graphicFrameLocks noChangeAspect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497684</xdr:colOff>
      <xdr:row>20</xdr:row>
      <xdr:rowOff>146045</xdr:rowOff>
    </xdr:from>
    <xdr:to>
      <xdr:col>2</xdr:col>
      <xdr:colOff>811470</xdr:colOff>
      <xdr:row>38</xdr:row>
      <xdr:rowOff>56495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>
          <a:graphicFrameLocks noChangeAspect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1173164</xdr:colOff>
      <xdr:row>20</xdr:row>
      <xdr:rowOff>95251</xdr:rowOff>
    </xdr:from>
    <xdr:to>
      <xdr:col>7</xdr:col>
      <xdr:colOff>86789</xdr:colOff>
      <xdr:row>40</xdr:row>
      <xdr:rowOff>24527</xdr:rowOff>
    </xdr:to>
    <xdr:graphicFrame macro="">
      <xdr:nvGraphicFramePr>
        <xdr:cNvPr id="7" name="Graphique 6">
          <a:extLst>
            <a:ext uri="{FF2B5EF4-FFF2-40B4-BE49-F238E27FC236}">
              <a16:creationId xmlns:a16="http://schemas.microsoft.com/office/drawing/2014/main" id="{00000000-0008-0000-0400-000007000000}"/>
            </a:ext>
          </a:extLst>
        </xdr:cNvPr>
        <xdr:cNvGraphicFramePr>
          <a:graphicFrameLocks noChangeAspect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1263801</xdr:colOff>
      <xdr:row>20</xdr:row>
      <xdr:rowOff>121711</xdr:rowOff>
    </xdr:from>
    <xdr:to>
      <xdr:col>6</xdr:col>
      <xdr:colOff>165801</xdr:colOff>
      <xdr:row>38</xdr:row>
      <xdr:rowOff>876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GraphicFramePr>
          <a:graphicFrameLocks noChangeAspect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257736</xdr:colOff>
      <xdr:row>2</xdr:row>
      <xdr:rowOff>123265</xdr:rowOff>
    </xdr:from>
    <xdr:to>
      <xdr:col>10</xdr:col>
      <xdr:colOff>386034</xdr:colOff>
      <xdr:row>31</xdr:row>
      <xdr:rowOff>61063</xdr:rowOff>
    </xdr:to>
    <xdr:pic>
      <xdr:nvPicPr>
        <xdr:cNvPr id="2" name="Image 1">
          <a:extLst>
            <a:ext uri="{FF2B5EF4-FFF2-40B4-BE49-F238E27FC236}">
              <a16:creationId xmlns:a16="http://schemas.microsoft.com/office/drawing/2014/main" id="{9F145258-B1C7-430C-A726-C85C9F55591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711824" y="504265"/>
          <a:ext cx="5462298" cy="5462298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Graphique%20dans%20Microsoft%20Word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Documents%20and%20Settings\slevasse\Bureau\Calcul%20CCF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V:\comptes\Publications\BILAN_ENVIRONNEMENTAL\2021_DATALAB_Bilan_Environnemental\2_Synth&#232;se\Synth&#232;se1erepartie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difications"/>
      <sheetName val="Sommaire "/>
      <sheetName val="E Quantités "/>
      <sheetName val="E évolutions Q"/>
      <sheetName val="E paramètres Q"/>
      <sheetName val="C Quantités OM mélanges"/>
      <sheetName val="C Collecte fraction séche"/>
      <sheetName val="C Encombrants "/>
      <sheetName val="C Déchèteries "/>
      <sheetName val="C Récap Q séparatif"/>
      <sheetName val="C Récapitulatif quantités DMA"/>
      <sheetName val="E coûts unitaires "/>
      <sheetName val="E  Evolutions des coûts"/>
      <sheetName val="C Evolution des coûts "/>
      <sheetName val="C Coûts moyens "/>
      <sheetName val="R Coût des services DMA (PQ)"/>
      <sheetName val="E Quantités val.  matière "/>
      <sheetName val="E Recettes unit val. matière "/>
      <sheetName val=" C recettes val. matière "/>
      <sheetName val="E Quantités val. énergie "/>
      <sheetName val="E Recettes val. énergie "/>
      <sheetName val="C recettes énergie "/>
      <sheetName val="R recettes tot valorisation "/>
      <sheetName val="R DMA coût net "/>
      <sheetName val="E TEOM  DGCP"/>
      <sheetName val="doc"/>
      <sheetName val="Essentiel_Chiffre"/>
      <sheetName val="PrésentationCompte"/>
      <sheetName val="SérieLongue"/>
      <sheetName val="Brique REE"/>
      <sheetName val="E  recettes TEOM &amp; redev "/>
      <sheetName val="C Séries TEOM REOM"/>
      <sheetName val="E Subventions "/>
      <sheetName val="E  population assujettie"/>
      <sheetName val="R DMA Dépense courante "/>
      <sheetName val="E DGCP 1999 données détaillées"/>
      <sheetName val="E DGCP 2000 détail"/>
      <sheetName val="E DGCP 2001 détail"/>
      <sheetName val="E DGCP 2002 détail"/>
      <sheetName val="E DGCP  1999 SECN"/>
      <sheetName val="E DGCP 2000 SECN"/>
      <sheetName val="E DGCP 2001 SECN"/>
      <sheetName val="E  DGCP 2002 SECN"/>
      <sheetName val="E  DGCP 2003 SECN"/>
      <sheetName val="E  DGCP 2004 SECN"/>
      <sheetName val="E  DGCP 2005 SECN"/>
      <sheetName val="E DGCP 2006 SECN"/>
      <sheetName val="E DGCP 2007 SECN"/>
      <sheetName val="E DGFiP 2009"/>
      <sheetName val="C SECN Recettes 1999 sq "/>
      <sheetName val="E DGFiP 2010"/>
      <sheetName val="C SECN Dépenses 1999 sq"/>
      <sheetName val="C Récap  SECN 1999 sq"/>
      <sheetName val="R Synthèse comptes colloc"/>
      <sheetName val="C taux délégation "/>
      <sheetName val="E Taux de tva "/>
      <sheetName val="E prestations de services 611"/>
      <sheetName val="C Partage régie délégation"/>
      <sheetName val="E Prod ent ancien calcul "/>
      <sheetName val="E évol prodent 2008 prov revEAP"/>
      <sheetName val="E évol prodent 2009 prov revEAP"/>
      <sheetName val="C calcul prod Ent"/>
      <sheetName val="C Rev calcul prod Ent EAP"/>
      <sheetName val="E Indices volume"/>
      <sheetName val="E Dépenses courantes Antipol"/>
      <sheetName val="E Résultats Antipol"/>
      <sheetName val="E Evolutions Sessi"/>
      <sheetName val="E Investissements industrie"/>
      <sheetName val="C Entreprises internes  PQ"/>
      <sheetName val=" E Investissements Antipol"/>
      <sheetName val="E Séries de prix "/>
      <sheetName val="C stock capital fixe"/>
      <sheetName val="C Dpse interne calculs anté "/>
      <sheetName val="dépense interne modif"/>
      <sheetName val="C Dépense interne"/>
      <sheetName val="E Arbitrage dépense interne"/>
      <sheetName val="E invests ent avt 2008"/>
      <sheetName val="E invests ent spécialisées"/>
      <sheetName val="C FBCF entreprises "/>
      <sheetName val="E Investissements DMA"/>
      <sheetName val="E Dépenses des ménages "/>
      <sheetName val="E  données div financement"/>
      <sheetName val="E Aides en capital "/>
      <sheetName val="CCF Nettoyage rues"/>
      <sheetName val="Nettoyage des rues"/>
      <sheetName val="Nettoyage des rues élmts analys"/>
      <sheetName val="C Financement complet anc calc"/>
      <sheetName val="R Tableaux rapport 2002"/>
      <sheetName val="R Tableaux  rapport 2003"/>
      <sheetName val="R Tableaux  rapport 2004"/>
      <sheetName val="R Tableaux rapport 2005"/>
      <sheetName val="R Tableaux rapport 2006"/>
      <sheetName val="C Financement complet (2)"/>
      <sheetName val="Données déchets"/>
      <sheetName val="OCDE-Eurostat racc provisoire"/>
      <sheetName val="C Financement complet"/>
      <sheetName val="graphique nettoyage"/>
      <sheetName val="R Tableaux rapport 2007"/>
      <sheetName val="R Tableau Seriee 2009"/>
      <sheetName val="R Tableau Seriee 2010"/>
      <sheetName val="Indice de prix production Insee"/>
      <sheetName val="eurostat"/>
      <sheetName val="R Tableau Seriee 2003"/>
      <sheetName val="R Tableau Seriee 2004"/>
      <sheetName val="R Tableau Seriee 2005"/>
      <sheetName val="graphique septembre 2009"/>
      <sheetName val="production propre des colloc"/>
      <sheetName val="Transferts "/>
      <sheetName val="décomposition des coûts de prod"/>
      <sheetName val="données Syctom "/>
      <sheetName val="capital fixe"/>
      <sheetName val="C Financement complet_graphe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>
        <row r="3">
          <cell r="B3">
            <v>2000</v>
          </cell>
        </row>
      </sheetData>
      <sheetData sheetId="30">
        <row r="23">
          <cell r="C23">
            <v>2927</v>
          </cell>
        </row>
      </sheetData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>
        <row r="35">
          <cell r="L35">
            <v>152.13333333333333</v>
          </cell>
        </row>
      </sheetData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>
        <row r="14">
          <cell r="L14">
            <v>2181.2003999999997</v>
          </cell>
        </row>
      </sheetData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éthode"/>
      <sheetName val="Liste"/>
      <sheetName val="MIP"/>
      <sheetName val="CCF"/>
      <sheetName val="CI"/>
      <sheetName val="RS"/>
      <sheetName val="EBE"/>
      <sheetName val="VA"/>
      <sheetName val="ratio"/>
      <sheetName val="FBCF val"/>
      <sheetName val="FBCF vol"/>
      <sheetName val="IP FBCF"/>
      <sheetName val="E  recettes TEOM &amp; redev "/>
      <sheetName val="C taux délégation "/>
      <sheetName val="E DGCP 2001 détail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p totale"/>
      <sheetName val="Financeurs"/>
      <sheetName val="Dep Ivt-courante"/>
      <sheetName val="Dep Investissement"/>
      <sheetName val="Dep courante"/>
      <sheetName val="financeurs_2"/>
      <sheetName val="Evolution"/>
      <sheetName val="Evolution (2)"/>
      <sheetName val="cepa_2"/>
      <sheetName val="Europe (EU)"/>
    </sheetNames>
    <sheetDataSet>
      <sheetData sheetId="0">
        <row r="5">
          <cell r="A5" t="str">
            <v>Protection de l'air et du climat</v>
          </cell>
          <cell r="C5">
            <v>6.6446779741688569E-2</v>
          </cell>
        </row>
        <row r="6">
          <cell r="A6" t="str">
            <v>Gestion des eaux usées</v>
          </cell>
          <cell r="C6">
            <v>0.24917542403133211</v>
          </cell>
        </row>
        <row r="7">
          <cell r="A7" t="str">
            <v>Lutte contre le bruit et les vibrations</v>
          </cell>
          <cell r="C7">
            <v>3.7856982597183515E-2</v>
          </cell>
        </row>
        <row r="8">
          <cell r="A8" t="str">
            <v>Protection de la biodiversité et des paysages</v>
          </cell>
          <cell r="C8">
            <v>4.6143597042839282E-2</v>
          </cell>
        </row>
        <row r="9">
          <cell r="A9" t="str">
            <v>Gestion des déchets</v>
          </cell>
          <cell r="C9">
            <v>0.3802232396329957</v>
          </cell>
        </row>
        <row r="10">
          <cell r="A10" t="str">
            <v>déchets radioactifs</v>
          </cell>
          <cell r="C10">
            <v>1.2920207171994998E-2</v>
          </cell>
        </row>
        <row r="11">
          <cell r="A11" t="str">
            <v>Recherche et développement pour l'environnement</v>
          </cell>
          <cell r="C11">
            <v>7.8031698062015764E-2</v>
          </cell>
        </row>
        <row r="12">
          <cell r="A12" t="str">
            <v xml:space="preserve">Autres activités de protection de l'environnement </v>
          </cell>
          <cell r="C12">
            <v>8.3058474677110708E-2</v>
          </cell>
        </row>
        <row r="13">
          <cell r="A13" t="str">
            <v>Protection et assainissement des sols, des eaux souterraines et des eaux de surface</v>
          </cell>
          <cell r="C13">
            <v>4.6143597042839282E-2</v>
          </cell>
        </row>
      </sheetData>
      <sheetData sheetId="1">
        <row r="4">
          <cell r="B4" t="str">
            <v>Entreprises</v>
          </cell>
        </row>
      </sheetData>
      <sheetData sheetId="2">
        <row r="32">
          <cell r="B32" t="str">
            <v>Dépenses d'investissement</v>
          </cell>
        </row>
      </sheetData>
      <sheetData sheetId="3">
        <row r="4">
          <cell r="B4" t="str">
            <v>Montant en 2000</v>
          </cell>
        </row>
      </sheetData>
      <sheetData sheetId="4">
        <row r="3">
          <cell r="B3" t="str">
            <v>Montant en 2000</v>
          </cell>
        </row>
      </sheetData>
      <sheetData sheetId="5" refreshError="1"/>
      <sheetData sheetId="6" refreshError="1"/>
      <sheetData sheetId="7">
        <row r="23">
          <cell r="B23">
            <v>2000</v>
          </cell>
        </row>
      </sheetData>
      <sheetData sheetId="8" refreshError="1"/>
      <sheetData sheetId="9"/>
    </sheetDataSet>
  </externalBook>
</externalLink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figures_partie_1_depenses_environnement.xlsx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3CFECA-FADE-4DDE-85A5-7620B966FD6D}">
  <dimension ref="A1:A9"/>
  <sheetViews>
    <sheetView showGridLines="0" tabSelected="1" workbookViewId="0"/>
  </sheetViews>
  <sheetFormatPr baseColWidth="10" defaultRowHeight="14.4" x14ac:dyDescent="0.3"/>
  <sheetData>
    <row r="1" spans="1:1" ht="15.6" x14ac:dyDescent="0.3">
      <c r="A1" s="106" t="s">
        <v>87</v>
      </c>
    </row>
    <row r="3" spans="1:1" x14ac:dyDescent="0.3">
      <c r="A3" s="107" t="s">
        <v>80</v>
      </c>
    </row>
    <row r="4" spans="1:1" x14ac:dyDescent="0.3">
      <c r="A4" s="107" t="s">
        <v>81</v>
      </c>
    </row>
    <row r="5" spans="1:1" x14ac:dyDescent="0.3">
      <c r="A5" s="107" t="s">
        <v>62</v>
      </c>
    </row>
    <row r="6" spans="1:1" x14ac:dyDescent="0.3">
      <c r="A6" s="107" t="s">
        <v>66</v>
      </c>
    </row>
    <row r="7" spans="1:1" x14ac:dyDescent="0.3">
      <c r="A7" s="107" t="s">
        <v>72</v>
      </c>
    </row>
    <row r="8" spans="1:1" x14ac:dyDescent="0.3">
      <c r="A8" s="107" t="s">
        <v>73</v>
      </c>
    </row>
    <row r="9" spans="1:1" x14ac:dyDescent="0.3">
      <c r="A9" s="107" t="s">
        <v>69</v>
      </c>
    </row>
  </sheetData>
  <hyperlinks>
    <hyperlink ref="A3" r:id="rId1" location="'Graph 1'!A1" xr:uid="{BABFEC9E-CBAD-410B-9C74-4C45A2D2798B}"/>
    <hyperlink ref="A4" location="'Graph 2'!A1" display="Graphique 2 : évolutions comparées des dépenses de protection de l'environnement et du PIB" xr:uid="{451A5EAE-6EDE-493F-A5D7-FFA0898BC06A}"/>
    <hyperlink ref="A5" location="'Graph 3'!A1" display="Graphique 3 : financement des dépenses de protection de l'environnement par domaine et acteur économique en 2021" xr:uid="{023E3F7C-7DEE-42C1-A49C-6580F03E3FA9}"/>
    <hyperlink ref="A6" location="'Graph 4'!A1" display="Graphique 4 : répartition des dépenses de protection de l'environnement par nature et par domaine en 2021" xr:uid="{A29351EA-6012-4B46-9D6C-6C99E31CF894}"/>
    <hyperlink ref="A7" location="'Graph 5'!A1" display="Graphique 5 : répartition des dépenses d'investissement de protection de l'environnement par domaine et évolution entre 2000 et 2021" xr:uid="{641D1ECD-4F88-4A8A-97BE-52A85CFF51E8}"/>
    <hyperlink ref="A8" location="'Graph 6'!A1" display="Graphique 6 : répartition des dépenses courantes de protection de l'environnement par domaine et évolution entre 2000 et 2021" xr:uid="{FD3510D2-268A-43A6-B7DA-707E1FA5F7C1}"/>
    <hyperlink ref="A9" location="'Carte 1'!A1" display="Carte 1 : les dépenses de protection de l'environnement dans l'Union européenne, en 2020" xr:uid="{314A4B64-A569-476A-8FEF-2E00FF71872A}"/>
  </hyperlinks>
  <pageMargins left="0.7" right="0.7" top="0.75" bottom="0.75" header="0.3" footer="0.3"/>
  <pageSetup paperSize="9"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Feuil1"/>
  <dimension ref="A1:D19"/>
  <sheetViews>
    <sheetView showGridLines="0" zoomScaleNormal="100" workbookViewId="0"/>
  </sheetViews>
  <sheetFormatPr baseColWidth="10" defaultColWidth="11.44140625" defaultRowHeight="13.8" x14ac:dyDescent="0.25"/>
  <cols>
    <col min="1" max="1" width="58.5546875" style="6" customWidth="1"/>
    <col min="2" max="2" width="13.5546875" style="6" bestFit="1" customWidth="1"/>
    <col min="3" max="16384" width="11.44140625" style="6"/>
  </cols>
  <sheetData>
    <row r="1" spans="1:4" x14ac:dyDescent="0.25">
      <c r="A1" s="3" t="s">
        <v>80</v>
      </c>
    </row>
    <row r="2" spans="1:4" x14ac:dyDescent="0.25">
      <c r="A2" s="40" t="s">
        <v>20</v>
      </c>
    </row>
    <row r="3" spans="1:4" x14ac:dyDescent="0.25">
      <c r="A3" s="19"/>
      <c r="B3" s="49">
        <v>2021</v>
      </c>
      <c r="C3" s="50"/>
    </row>
    <row r="4" spans="1:4" x14ac:dyDescent="0.25">
      <c r="A4" s="29" t="s">
        <v>28</v>
      </c>
      <c r="B4" s="51">
        <v>19.635596531269929</v>
      </c>
      <c r="C4" s="13"/>
    </row>
    <row r="5" spans="1:4" x14ac:dyDescent="0.25">
      <c r="A5" s="29" t="s">
        <v>0</v>
      </c>
      <c r="B5" s="51">
        <v>14.068810390727471</v>
      </c>
      <c r="C5" s="13"/>
    </row>
    <row r="6" spans="1:4" x14ac:dyDescent="0.25">
      <c r="A6" s="29" t="s">
        <v>59</v>
      </c>
      <c r="B6" s="51">
        <v>7.7677972499673364</v>
      </c>
      <c r="C6" s="13"/>
    </row>
    <row r="7" spans="1:4" x14ac:dyDescent="0.25">
      <c r="A7" s="29" t="s">
        <v>4</v>
      </c>
      <c r="B7" s="51">
        <v>5.4964947642875783</v>
      </c>
      <c r="C7" s="13"/>
      <c r="D7" s="13"/>
    </row>
    <row r="8" spans="1:4" x14ac:dyDescent="0.25">
      <c r="A8" s="29" t="s">
        <v>3</v>
      </c>
      <c r="B8" s="51">
        <v>4.2350121493202746</v>
      </c>
      <c r="C8" s="13"/>
    </row>
    <row r="9" spans="1:4" x14ac:dyDescent="0.25">
      <c r="A9" s="29" t="s">
        <v>2</v>
      </c>
      <c r="B9" s="51">
        <v>3.2762754901421527</v>
      </c>
      <c r="C9" s="13"/>
    </row>
    <row r="10" spans="1:4" x14ac:dyDescent="0.25">
      <c r="A10" s="29" t="s">
        <v>29</v>
      </c>
      <c r="B10" s="51">
        <v>2.3974343487021086</v>
      </c>
      <c r="C10" s="13"/>
    </row>
    <row r="11" spans="1:4" x14ac:dyDescent="0.25">
      <c r="A11" s="29" t="s">
        <v>1</v>
      </c>
      <c r="B11" s="51">
        <v>2.3542715330758841</v>
      </c>
      <c r="C11" s="13"/>
    </row>
    <row r="12" spans="1:4" x14ac:dyDescent="0.25">
      <c r="A12" s="29" t="s">
        <v>6</v>
      </c>
      <c r="B12" s="51">
        <v>0.72525824448573273</v>
      </c>
      <c r="C12" s="13"/>
    </row>
    <row r="13" spans="1:4" x14ac:dyDescent="0.25">
      <c r="A13" s="79" t="s">
        <v>19</v>
      </c>
      <c r="B13" s="48">
        <f>SUM(B4:B12)</f>
        <v>59.956950701978464</v>
      </c>
      <c r="C13" s="13"/>
    </row>
    <row r="14" spans="1:4" x14ac:dyDescent="0.25">
      <c r="A14" s="84" t="s">
        <v>79</v>
      </c>
      <c r="B14" s="72"/>
      <c r="C14" s="13"/>
    </row>
    <row r="15" spans="1:4" x14ac:dyDescent="0.25">
      <c r="A15" s="83" t="s">
        <v>78</v>
      </c>
      <c r="B15" s="72"/>
      <c r="C15" s="13"/>
    </row>
    <row r="16" spans="1:4" x14ac:dyDescent="0.25">
      <c r="A16" s="83" t="s">
        <v>82</v>
      </c>
      <c r="B16" s="72"/>
      <c r="C16" s="13"/>
    </row>
    <row r="17" spans="1:3" x14ac:dyDescent="0.25">
      <c r="A17" s="34" t="s">
        <v>83</v>
      </c>
      <c r="B17" s="43"/>
      <c r="C17" s="13"/>
    </row>
    <row r="18" spans="1:3" x14ac:dyDescent="0.25">
      <c r="A18" s="81" t="s">
        <v>60</v>
      </c>
      <c r="B18" s="17"/>
      <c r="C18" s="17"/>
    </row>
    <row r="19" spans="1:3" x14ac:dyDescent="0.25">
      <c r="A19" s="34"/>
      <c r="B19" s="17"/>
      <c r="C19" s="17"/>
    </row>
  </sheetData>
  <pageMargins left="0.7" right="0.7" top="0.75" bottom="0.75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Feuil2"/>
  <dimension ref="A1:AD33"/>
  <sheetViews>
    <sheetView showGridLines="0" zoomScaleNormal="100" workbookViewId="0"/>
  </sheetViews>
  <sheetFormatPr baseColWidth="10" defaultColWidth="10.88671875" defaultRowHeight="13.8" x14ac:dyDescent="0.25"/>
  <cols>
    <col min="1" max="1" width="61.44140625" style="6" customWidth="1"/>
    <col min="2" max="21" width="11.5546875" style="6" bestFit="1" customWidth="1"/>
    <col min="22" max="23" width="11.88671875" style="6" customWidth="1"/>
    <col min="24" max="24" width="10.88671875" style="6"/>
    <col min="25" max="25" width="10" style="6" customWidth="1"/>
    <col min="26" max="16384" width="10.88671875" style="6"/>
  </cols>
  <sheetData>
    <row r="1" spans="1:30" x14ac:dyDescent="0.25">
      <c r="A1" s="1" t="s">
        <v>81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</row>
    <row r="2" spans="1:30" x14ac:dyDescent="0.25">
      <c r="A2" s="70" t="s">
        <v>58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7"/>
      <c r="X2" s="7"/>
      <c r="Y2" s="7"/>
      <c r="Z2" s="7"/>
    </row>
    <row r="3" spans="1:30" x14ac:dyDescent="0.25">
      <c r="A3" s="70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7"/>
      <c r="X3" s="7"/>
      <c r="Y3" s="7"/>
      <c r="Z3" s="7"/>
    </row>
    <row r="4" spans="1:30" x14ac:dyDescent="0.25">
      <c r="A4" s="19" t="s">
        <v>5</v>
      </c>
      <c r="B4" s="8">
        <v>2000</v>
      </c>
      <c r="C4" s="8">
        <v>2001</v>
      </c>
      <c r="D4" s="9">
        <v>2002</v>
      </c>
      <c r="E4" s="9">
        <v>2003</v>
      </c>
      <c r="F4" s="9">
        <v>2004</v>
      </c>
      <c r="G4" s="9">
        <v>2005</v>
      </c>
      <c r="H4" s="9">
        <v>2006</v>
      </c>
      <c r="I4" s="9">
        <v>2007</v>
      </c>
      <c r="J4" s="9">
        <v>2008</v>
      </c>
      <c r="K4" s="9">
        <v>2009</v>
      </c>
      <c r="L4" s="9">
        <v>2010</v>
      </c>
      <c r="M4" s="9">
        <v>2011</v>
      </c>
      <c r="N4" s="9">
        <v>2012</v>
      </c>
      <c r="O4" s="9">
        <v>2013</v>
      </c>
      <c r="P4" s="9">
        <v>2014</v>
      </c>
      <c r="Q4" s="9">
        <v>2015</v>
      </c>
      <c r="R4" s="8">
        <v>2016</v>
      </c>
      <c r="S4" s="8">
        <v>2017</v>
      </c>
      <c r="T4" s="8">
        <v>2018</v>
      </c>
      <c r="U4" s="8">
        <v>2019</v>
      </c>
      <c r="V4" s="8">
        <v>2020</v>
      </c>
      <c r="W4" s="8">
        <v>2021</v>
      </c>
      <c r="Y4" s="10"/>
      <c r="Z4" s="11"/>
      <c r="AA4" s="11"/>
      <c r="AB4" s="11"/>
    </row>
    <row r="5" spans="1:30" x14ac:dyDescent="0.25">
      <c r="A5" s="12" t="s">
        <v>59</v>
      </c>
      <c r="B5" s="2">
        <v>1566.6060325503643</v>
      </c>
      <c r="C5" s="2">
        <v>1415.8268174190348</v>
      </c>
      <c r="D5" s="2">
        <v>1445.305602847518</v>
      </c>
      <c r="E5" s="2">
        <v>1479.0943929315124</v>
      </c>
      <c r="F5" s="2">
        <v>1589.1316786475143</v>
      </c>
      <c r="G5" s="2">
        <v>1915.7132320478183</v>
      </c>
      <c r="H5" s="2">
        <v>2203.9681314394443</v>
      </c>
      <c r="I5" s="2">
        <v>2152.1351618833355</v>
      </c>
      <c r="J5" s="2">
        <v>2583.5906024308792</v>
      </c>
      <c r="K5" s="2">
        <v>2590.0998584945796</v>
      </c>
      <c r="L5" s="2">
        <v>2520.0944424635009</v>
      </c>
      <c r="M5" s="2">
        <v>2290.3907740639684</v>
      </c>
      <c r="N5" s="2">
        <v>2343.9984324630295</v>
      </c>
      <c r="O5" s="2">
        <v>2504.6810935086369</v>
      </c>
      <c r="P5" s="2">
        <v>2435.582816249128</v>
      </c>
      <c r="Q5" s="2">
        <v>2497.1423970446581</v>
      </c>
      <c r="R5" s="2">
        <v>2595.9225737524257</v>
      </c>
      <c r="S5" s="2">
        <v>2913.464076708432</v>
      </c>
      <c r="T5" s="2">
        <v>3615.0060484822402</v>
      </c>
      <c r="U5" s="2">
        <v>4702.6500062211398</v>
      </c>
      <c r="V5" s="2">
        <v>6145.3930228837198</v>
      </c>
      <c r="W5" s="2">
        <v>7767.797249967336</v>
      </c>
      <c r="X5" s="15">
        <f t="shared" ref="X5:X13" si="0">W5/V5-1</f>
        <v>0.26400333079466809</v>
      </c>
      <c r="Y5" s="15"/>
      <c r="Z5" s="15"/>
      <c r="AA5" s="15"/>
      <c r="AB5" s="16"/>
      <c r="AC5" s="15"/>
      <c r="AD5" s="13"/>
    </row>
    <row r="6" spans="1:30" x14ac:dyDescent="0.25">
      <c r="A6" s="12" t="s">
        <v>0</v>
      </c>
      <c r="B6" s="2">
        <v>8886.8669212738696</v>
      </c>
      <c r="C6" s="2">
        <v>9361.4651610252349</v>
      </c>
      <c r="D6" s="2">
        <v>9887.266436486314</v>
      </c>
      <c r="E6" s="2">
        <v>10053.731479623884</v>
      </c>
      <c r="F6" s="2">
        <v>10180.078339578458</v>
      </c>
      <c r="G6" s="2">
        <v>10942.693760196131</v>
      </c>
      <c r="H6" s="2">
        <v>11491.063758627597</v>
      </c>
      <c r="I6" s="2">
        <v>11907.834723274511</v>
      </c>
      <c r="J6" s="2">
        <v>12345.554339705423</v>
      </c>
      <c r="K6" s="2">
        <v>12351.151577126309</v>
      </c>
      <c r="L6" s="2">
        <v>12394.313764470195</v>
      </c>
      <c r="M6" s="2">
        <v>12602.8872910753</v>
      </c>
      <c r="N6" s="2">
        <v>12615.409671147821</v>
      </c>
      <c r="O6" s="2">
        <v>12899.955089848871</v>
      </c>
      <c r="P6" s="2">
        <v>12600.043235847486</v>
      </c>
      <c r="Q6" s="2">
        <v>12566.034176874011</v>
      </c>
      <c r="R6" s="2">
        <v>12635.391940996647</v>
      </c>
      <c r="S6" s="2">
        <v>13313.375688703507</v>
      </c>
      <c r="T6" s="2">
        <v>13411.732026537427</v>
      </c>
      <c r="U6" s="2">
        <v>13775.036376393055</v>
      </c>
      <c r="V6" s="2">
        <v>13135.324631664695</v>
      </c>
      <c r="W6" s="2">
        <v>14068.810390727471</v>
      </c>
      <c r="X6" s="15">
        <f t="shared" si="0"/>
        <v>7.1066820595546476E-2</v>
      </c>
      <c r="Y6" s="15"/>
      <c r="Z6" s="15"/>
      <c r="AA6" s="15"/>
      <c r="AD6" s="13"/>
    </row>
    <row r="7" spans="1:30" x14ac:dyDescent="0.25">
      <c r="A7" s="12" t="s">
        <v>28</v>
      </c>
      <c r="B7" s="2">
        <v>9042.2102295918939</v>
      </c>
      <c r="C7" s="2">
        <v>9424.7571156705126</v>
      </c>
      <c r="D7" s="2">
        <v>10068.884025088797</v>
      </c>
      <c r="E7" s="2">
        <v>10382.040157457124</v>
      </c>
      <c r="F7" s="2">
        <v>10748.932773892458</v>
      </c>
      <c r="G7" s="2">
        <v>11996.518675131872</v>
      </c>
      <c r="H7" s="2">
        <v>13072.009982897855</v>
      </c>
      <c r="I7" s="2">
        <v>13997.811364532357</v>
      </c>
      <c r="J7" s="2">
        <v>13740.726099735173</v>
      </c>
      <c r="K7" s="2">
        <v>13252.60720471163</v>
      </c>
      <c r="L7" s="2">
        <v>13806.777594788309</v>
      </c>
      <c r="M7" s="2">
        <v>14521.870909472444</v>
      </c>
      <c r="N7" s="2">
        <v>15010.754267057153</v>
      </c>
      <c r="O7" s="2">
        <v>15437.898495234411</v>
      </c>
      <c r="P7" s="2">
        <v>15871.011191165975</v>
      </c>
      <c r="Q7" s="2">
        <v>15766.58331985364</v>
      </c>
      <c r="R7" s="2">
        <v>16197.642060238866</v>
      </c>
      <c r="S7" s="2">
        <v>16556.456350687284</v>
      </c>
      <c r="T7" s="2">
        <v>17639.464740053932</v>
      </c>
      <c r="U7" s="2">
        <v>18571.34797268482</v>
      </c>
      <c r="V7" s="2">
        <v>18398.752271481328</v>
      </c>
      <c r="W7" s="2">
        <v>19635.59653126993</v>
      </c>
      <c r="X7" s="15">
        <f t="shared" si="0"/>
        <v>6.7224355300753214E-2</v>
      </c>
      <c r="Y7" s="15"/>
      <c r="Z7" s="15"/>
      <c r="AA7" s="15"/>
      <c r="AD7" s="13"/>
    </row>
    <row r="8" spans="1:30" x14ac:dyDescent="0.25">
      <c r="A8" s="12" t="s">
        <v>29</v>
      </c>
      <c r="B8" s="2">
        <v>729.82092751233165</v>
      </c>
      <c r="C8" s="2">
        <v>682.21254888216799</v>
      </c>
      <c r="D8" s="2">
        <v>782.32223125668781</v>
      </c>
      <c r="E8" s="2">
        <v>957.29808152381031</v>
      </c>
      <c r="F8" s="2">
        <v>1016.9972961725186</v>
      </c>
      <c r="G8" s="2">
        <v>1137.5570268685549</v>
      </c>
      <c r="H8" s="2">
        <v>1455.0481268299038</v>
      </c>
      <c r="I8" s="2">
        <v>1530.7617617014682</v>
      </c>
      <c r="J8" s="2">
        <v>1660.2822344092017</v>
      </c>
      <c r="K8" s="2">
        <v>1518.1580715419309</v>
      </c>
      <c r="L8" s="2">
        <v>1523.0721394602501</v>
      </c>
      <c r="M8" s="2">
        <v>1551.6141640064566</v>
      </c>
      <c r="N8" s="2">
        <v>1662.5430863066599</v>
      </c>
      <c r="O8" s="2">
        <v>1650.6723496766551</v>
      </c>
      <c r="P8" s="2">
        <v>1524.3170701966976</v>
      </c>
      <c r="Q8" s="2">
        <v>1580.0595988530081</v>
      </c>
      <c r="R8" s="2">
        <v>1591.3905520728867</v>
      </c>
      <c r="S8" s="2">
        <v>1885.6947749569711</v>
      </c>
      <c r="T8" s="2">
        <v>2247.1456301154822</v>
      </c>
      <c r="U8" s="2">
        <v>2495.0053547543621</v>
      </c>
      <c r="V8" s="2">
        <v>2340.7174643616449</v>
      </c>
      <c r="W8" s="2">
        <v>2397.4343487021088</v>
      </c>
      <c r="X8" s="15">
        <f t="shared" si="0"/>
        <v>2.4230555461733916E-2</v>
      </c>
      <c r="Y8" s="15"/>
      <c r="Z8" s="15"/>
      <c r="AA8" s="15"/>
      <c r="AD8" s="13"/>
    </row>
    <row r="9" spans="1:30" x14ac:dyDescent="0.25">
      <c r="A9" s="12" t="s">
        <v>1</v>
      </c>
      <c r="B9" s="2">
        <v>1286.2659388803611</v>
      </c>
      <c r="C9" s="2">
        <v>1401.7480620171393</v>
      </c>
      <c r="D9" s="2">
        <v>1307.5778401853213</v>
      </c>
      <c r="E9" s="2">
        <v>1314.3301184196523</v>
      </c>
      <c r="F9" s="2">
        <v>1296.2566198329671</v>
      </c>
      <c r="G9" s="2">
        <v>1631.2713341288916</v>
      </c>
      <c r="H9" s="2">
        <v>1601.1569352054596</v>
      </c>
      <c r="I9" s="2">
        <v>1881.5223802587393</v>
      </c>
      <c r="J9" s="2">
        <v>2311.9576656951995</v>
      </c>
      <c r="K9" s="2">
        <v>2092.6092365262725</v>
      </c>
      <c r="L9" s="2">
        <v>1956.2693261970046</v>
      </c>
      <c r="M9" s="2">
        <v>1980.6481715470507</v>
      </c>
      <c r="N9" s="2">
        <v>2058.5766343357595</v>
      </c>
      <c r="O9" s="2">
        <v>1992.246645456835</v>
      </c>
      <c r="P9" s="2">
        <v>1951.6583357586715</v>
      </c>
      <c r="Q9" s="2">
        <v>1926.096345405495</v>
      </c>
      <c r="R9" s="2">
        <v>1958.3038443735279</v>
      </c>
      <c r="S9" s="2">
        <v>2040.5418759251784</v>
      </c>
      <c r="T9" s="2">
        <v>2060.037427850089</v>
      </c>
      <c r="U9" s="2">
        <v>2135.5216672690785</v>
      </c>
      <c r="V9" s="2">
        <v>2011.129812624461</v>
      </c>
      <c r="W9" s="2">
        <v>2354.2715330758842</v>
      </c>
      <c r="X9" s="15">
        <f t="shared" si="0"/>
        <v>0.17062136829627828</v>
      </c>
      <c r="Y9" s="15"/>
      <c r="Z9" s="15"/>
      <c r="AA9" s="15"/>
      <c r="AD9" s="13"/>
    </row>
    <row r="10" spans="1:30" x14ac:dyDescent="0.25">
      <c r="A10" s="12" t="s">
        <v>2</v>
      </c>
      <c r="B10" s="2">
        <v>1474.0062354922006</v>
      </c>
      <c r="C10" s="2">
        <v>1522.1114459963187</v>
      </c>
      <c r="D10" s="2">
        <v>1491.9597234284406</v>
      </c>
      <c r="E10" s="2">
        <v>1548.5180808892933</v>
      </c>
      <c r="F10" s="2">
        <v>1648.4864380240651</v>
      </c>
      <c r="G10" s="2">
        <v>1742.262287220919</v>
      </c>
      <c r="H10" s="2">
        <v>1822.3356334126702</v>
      </c>
      <c r="I10" s="2">
        <v>1861.156650729795</v>
      </c>
      <c r="J10" s="2">
        <v>2071.179736056652</v>
      </c>
      <c r="K10" s="2">
        <v>2146.1825274076537</v>
      </c>
      <c r="L10" s="2">
        <v>2283.7042047337877</v>
      </c>
      <c r="M10" s="2">
        <v>2380.1399020857602</v>
      </c>
      <c r="N10" s="2">
        <v>2500.1036283034618</v>
      </c>
      <c r="O10" s="2">
        <v>2590.5135657655251</v>
      </c>
      <c r="P10" s="2">
        <v>2520.9046645600374</v>
      </c>
      <c r="Q10" s="2">
        <v>2545.6710060712126</v>
      </c>
      <c r="R10" s="2">
        <v>2615.0851955891226</v>
      </c>
      <c r="S10" s="2">
        <v>2648.8812695801103</v>
      </c>
      <c r="T10" s="2">
        <v>2857.8793312369462</v>
      </c>
      <c r="U10" s="2">
        <v>2953.0957598554382</v>
      </c>
      <c r="V10" s="2">
        <v>2873.0475536764793</v>
      </c>
      <c r="W10" s="2">
        <v>3276.2754901421526</v>
      </c>
      <c r="X10" s="15">
        <f t="shared" si="0"/>
        <v>0.1403485076150881</v>
      </c>
      <c r="Y10" s="15"/>
      <c r="Z10" s="15"/>
      <c r="AA10" s="15"/>
      <c r="AD10" s="13"/>
    </row>
    <row r="11" spans="1:30" x14ac:dyDescent="0.25">
      <c r="A11" s="12" t="s">
        <v>6</v>
      </c>
      <c r="B11" s="2">
        <v>544.46970282859002</v>
      </c>
      <c r="C11" s="2">
        <v>548.66222087360381</v>
      </c>
      <c r="D11" s="2">
        <v>559.63367875775748</v>
      </c>
      <c r="E11" s="2">
        <v>584.702</v>
      </c>
      <c r="F11" s="2">
        <v>635.452</v>
      </c>
      <c r="G11" s="2">
        <v>666.22199999999998</v>
      </c>
      <c r="H11" s="2">
        <v>709.67199999999991</v>
      </c>
      <c r="I11" s="2">
        <v>675.52955967979005</v>
      </c>
      <c r="J11" s="2">
        <v>664.17541839424439</v>
      </c>
      <c r="K11" s="2">
        <v>681.33551646000001</v>
      </c>
      <c r="L11" s="2">
        <v>728.72508207999999</v>
      </c>
      <c r="M11" s="2">
        <v>714.07047005000004</v>
      </c>
      <c r="N11" s="2">
        <v>679.53940762424816</v>
      </c>
      <c r="O11" s="2">
        <v>641.73199999999997</v>
      </c>
      <c r="P11" s="2">
        <v>653.32800978413945</v>
      </c>
      <c r="Q11" s="2">
        <v>638.00160000000005</v>
      </c>
      <c r="R11" s="2">
        <v>635.85095820637139</v>
      </c>
      <c r="S11" s="2">
        <v>632.181547607639</v>
      </c>
      <c r="T11" s="2">
        <v>676.57166114362599</v>
      </c>
      <c r="U11" s="2">
        <v>710.94592367848998</v>
      </c>
      <c r="V11" s="2">
        <v>667.15018249339596</v>
      </c>
      <c r="W11" s="2">
        <v>725.25824448573269</v>
      </c>
      <c r="X11" s="15">
        <f t="shared" si="0"/>
        <v>8.7098922427278014E-2</v>
      </c>
      <c r="Y11" s="15"/>
      <c r="Z11" s="15"/>
      <c r="AA11" s="15"/>
      <c r="AD11" s="13"/>
    </row>
    <row r="12" spans="1:30" x14ac:dyDescent="0.25">
      <c r="A12" s="12" t="s">
        <v>3</v>
      </c>
      <c r="B12" s="2">
        <v>2957.3884398178056</v>
      </c>
      <c r="C12" s="2">
        <v>2149.8882190216741</v>
      </c>
      <c r="D12" s="2">
        <v>2219.555772901992</v>
      </c>
      <c r="E12" s="2">
        <v>2308.2243866112049</v>
      </c>
      <c r="F12" s="2">
        <v>2371.0130204847574</v>
      </c>
      <c r="G12" s="2">
        <v>2718.4579965076277</v>
      </c>
      <c r="H12" s="2">
        <v>2370.7843125582767</v>
      </c>
      <c r="I12" s="2">
        <v>2429.3630061211511</v>
      </c>
      <c r="J12" s="2">
        <v>2902.6178221040605</v>
      </c>
      <c r="K12" s="2">
        <v>3232.7929159234759</v>
      </c>
      <c r="L12" s="2">
        <v>3343.251485549411</v>
      </c>
      <c r="M12" s="2">
        <v>3862.6473056402942</v>
      </c>
      <c r="N12" s="2">
        <v>3938.0992679590336</v>
      </c>
      <c r="O12" s="2">
        <v>4109.7624922661435</v>
      </c>
      <c r="P12" s="2">
        <v>4084.53389651922</v>
      </c>
      <c r="Q12" s="2">
        <v>4021.2961401436028</v>
      </c>
      <c r="R12" s="2">
        <v>3859.8335971587958</v>
      </c>
      <c r="S12" s="2">
        <v>3757.8880833359858</v>
      </c>
      <c r="T12" s="2">
        <v>3537.7762010424435</v>
      </c>
      <c r="U12" s="2">
        <v>3645.6793820630432</v>
      </c>
      <c r="V12" s="2">
        <v>3448.6673167462759</v>
      </c>
      <c r="W12" s="2">
        <v>4235.0121493202741</v>
      </c>
      <c r="X12" s="15">
        <f t="shared" si="0"/>
        <v>0.22801411686062356</v>
      </c>
      <c r="Y12" s="15"/>
      <c r="Z12" s="15"/>
      <c r="AA12" s="15"/>
      <c r="AD12" s="13"/>
    </row>
    <row r="13" spans="1:30" x14ac:dyDescent="0.25">
      <c r="A13" s="12" t="s">
        <v>4</v>
      </c>
      <c r="B13" s="2">
        <v>1856.0290240673316</v>
      </c>
      <c r="C13" s="2">
        <v>2269.6144479745635</v>
      </c>
      <c r="D13" s="2">
        <v>2599.0383139577284</v>
      </c>
      <c r="E13" s="2">
        <v>2625.9408135991321</v>
      </c>
      <c r="F13" s="2">
        <v>2705.8442148000613</v>
      </c>
      <c r="G13" s="2">
        <v>2838.7095834693259</v>
      </c>
      <c r="H13" s="2">
        <v>2849.0007949438345</v>
      </c>
      <c r="I13" s="2">
        <v>3450.0483393337258</v>
      </c>
      <c r="J13" s="2">
        <v>3840.0646090145328</v>
      </c>
      <c r="K13" s="2">
        <v>3803.8857900586463</v>
      </c>
      <c r="L13" s="2">
        <v>4823.7776311449816</v>
      </c>
      <c r="M13" s="2">
        <v>4870.1150558591917</v>
      </c>
      <c r="N13" s="2">
        <v>4766.3168726765334</v>
      </c>
      <c r="O13" s="2">
        <v>4855.7644144051528</v>
      </c>
      <c r="P13" s="2">
        <v>4783.8364177061812</v>
      </c>
      <c r="Q13" s="2">
        <v>4637.5180311312233</v>
      </c>
      <c r="R13" s="2">
        <v>4606.0290661491663</v>
      </c>
      <c r="S13" s="2">
        <v>4602.1913640457396</v>
      </c>
      <c r="T13" s="2">
        <v>4816.3622988505485</v>
      </c>
      <c r="U13" s="2">
        <v>4976.6941209951265</v>
      </c>
      <c r="V13" s="2">
        <v>4907.6668876796139</v>
      </c>
      <c r="W13" s="2">
        <v>5496.4947642875786</v>
      </c>
      <c r="X13" s="15">
        <f t="shared" si="0"/>
        <v>0.11998122327458294</v>
      </c>
      <c r="Y13" s="15"/>
      <c r="Z13" s="15"/>
      <c r="AA13" s="15"/>
      <c r="AD13" s="13"/>
    </row>
    <row r="14" spans="1:30" x14ac:dyDescent="0.25">
      <c r="A14" s="4" t="s">
        <v>7</v>
      </c>
      <c r="B14" s="35">
        <v>28343.663452014745</v>
      </c>
      <c r="C14" s="35">
        <v>28776.286038880251</v>
      </c>
      <c r="D14" s="35">
        <v>30361.543624910555</v>
      </c>
      <c r="E14" s="35">
        <v>31253.879511055617</v>
      </c>
      <c r="F14" s="35">
        <v>32192.192381432797</v>
      </c>
      <c r="G14" s="35">
        <v>35589.405895571137</v>
      </c>
      <c r="H14" s="35">
        <v>37575.039675915039</v>
      </c>
      <c r="I14" s="35">
        <v>39886.162947514873</v>
      </c>
      <c r="J14" s="35">
        <v>42120.148527545367</v>
      </c>
      <c r="K14" s="35">
        <v>41668.822698250493</v>
      </c>
      <c r="L14" s="35">
        <v>43379.985670887443</v>
      </c>
      <c r="M14" s="35">
        <v>44774.384043800463</v>
      </c>
      <c r="N14" s="35">
        <v>45575.3412678737</v>
      </c>
      <c r="O14" s="35">
        <v>46683.226146162226</v>
      </c>
      <c r="P14" s="35">
        <v>46425.215637787544</v>
      </c>
      <c r="Q14" s="35">
        <v>46178.402615376857</v>
      </c>
      <c r="R14" s="35">
        <v>46695.449788537808</v>
      </c>
      <c r="S14" s="35">
        <v>48350.675031550854</v>
      </c>
      <c r="T14" s="35">
        <v>50861.975365312741</v>
      </c>
      <c r="U14" s="35">
        <v>53965.976563914548</v>
      </c>
      <c r="V14" s="35">
        <v>53927.849143611616</v>
      </c>
      <c r="W14" s="35">
        <v>59956.950701978472</v>
      </c>
      <c r="X14" s="15">
        <f>W14/V14-1</f>
        <v>0.11179940706166791</v>
      </c>
      <c r="Y14" s="15"/>
      <c r="Z14" s="15"/>
      <c r="AA14" s="15"/>
    </row>
    <row r="15" spans="1:30" x14ac:dyDescent="0.25">
      <c r="A15" s="4" t="s">
        <v>8</v>
      </c>
      <c r="B15" s="35">
        <f>B14/B21</f>
        <v>34987.905317356199</v>
      </c>
      <c r="C15" s="35">
        <f>C14/C21</f>
        <v>34823.330055412567</v>
      </c>
      <c r="D15" s="35">
        <f t="shared" ref="D15:V15" si="1">D14/D21</f>
        <v>35997.891448693015</v>
      </c>
      <c r="E15" s="35">
        <f t="shared" si="1"/>
        <v>36378.508100149731</v>
      </c>
      <c r="F15" s="35">
        <f t="shared" si="1"/>
        <v>36869.700276561605</v>
      </c>
      <c r="G15" s="35">
        <f t="shared" si="1"/>
        <v>39984.874454054785</v>
      </c>
      <c r="H15" s="35">
        <f t="shared" si="1"/>
        <v>41355.687224199508</v>
      </c>
      <c r="I15" s="35">
        <f t="shared" si="1"/>
        <v>42801.367447907352</v>
      </c>
      <c r="J15" s="35">
        <f t="shared" si="1"/>
        <v>44129.42537569991</v>
      </c>
      <c r="K15" s="35">
        <f t="shared" si="1"/>
        <v>43626.960541124747</v>
      </c>
      <c r="L15" s="35">
        <f t="shared" si="1"/>
        <v>44936.516217525575</v>
      </c>
      <c r="M15" s="35">
        <f t="shared" si="1"/>
        <v>45944.239810232801</v>
      </c>
      <c r="N15" s="35">
        <f t="shared" si="1"/>
        <v>46228.261347811087</v>
      </c>
      <c r="O15" s="35">
        <f t="shared" si="1"/>
        <v>46986.095468470361</v>
      </c>
      <c r="P15" s="35">
        <f t="shared" si="1"/>
        <v>46457.653107610771</v>
      </c>
      <c r="Q15" s="35">
        <f t="shared" si="1"/>
        <v>45690.761791341538</v>
      </c>
      <c r="R15" s="35">
        <f t="shared" si="1"/>
        <v>45962.271182094155</v>
      </c>
      <c r="S15" s="35">
        <f t="shared" si="1"/>
        <v>47343.095502941935</v>
      </c>
      <c r="T15" s="35">
        <f t="shared" si="1"/>
        <v>49310.922477896471</v>
      </c>
      <c r="U15" s="35">
        <f t="shared" si="1"/>
        <v>51659.637520731958</v>
      </c>
      <c r="V15" s="35">
        <f t="shared" si="1"/>
        <v>50357.986058299386</v>
      </c>
      <c r="W15" s="35">
        <f>W14/W21</f>
        <v>55051.561487708088</v>
      </c>
      <c r="X15" s="14"/>
      <c r="Y15" s="15"/>
      <c r="Z15" s="15"/>
      <c r="AA15" s="15"/>
    </row>
    <row r="16" spans="1:30" x14ac:dyDescent="0.25">
      <c r="A16" s="39" t="s">
        <v>9</v>
      </c>
      <c r="B16" s="36"/>
      <c r="C16" s="36"/>
      <c r="D16" s="36"/>
      <c r="E16" s="36"/>
      <c r="F16" s="36"/>
      <c r="G16" s="36"/>
      <c r="H16" s="36"/>
      <c r="I16" s="36"/>
      <c r="J16" s="36"/>
      <c r="K16" s="36"/>
      <c r="L16" s="36"/>
      <c r="M16" s="36"/>
      <c r="N16" s="36"/>
      <c r="O16" s="36"/>
      <c r="P16" s="36"/>
      <c r="Q16" s="36"/>
      <c r="R16" s="36"/>
      <c r="S16" s="36"/>
      <c r="T16" s="36"/>
      <c r="U16" s="36"/>
      <c r="V16" s="36"/>
      <c r="W16" s="13"/>
      <c r="X16" s="14"/>
      <c r="Y16" s="15"/>
      <c r="Z16" s="15"/>
      <c r="AA16" s="15"/>
    </row>
    <row r="17" spans="1:27" x14ac:dyDescent="0.25">
      <c r="A17" s="39"/>
      <c r="B17" s="36"/>
      <c r="C17" s="36"/>
      <c r="D17" s="36"/>
      <c r="E17" s="36"/>
      <c r="F17" s="36"/>
      <c r="G17" s="36"/>
      <c r="H17" s="36"/>
      <c r="I17" s="36"/>
      <c r="J17" s="36"/>
      <c r="K17" s="36"/>
      <c r="L17" s="36"/>
      <c r="M17" s="36"/>
      <c r="N17" s="36"/>
      <c r="O17" s="36"/>
      <c r="P17" s="36"/>
      <c r="Q17" s="36"/>
      <c r="R17" s="36"/>
      <c r="S17" s="36"/>
      <c r="T17" s="36"/>
      <c r="U17" s="36"/>
      <c r="V17" s="36"/>
      <c r="W17" s="13"/>
      <c r="X17" s="14"/>
      <c r="Y17" s="15"/>
      <c r="Z17" s="15"/>
      <c r="AA17" s="15"/>
    </row>
    <row r="18" spans="1:27" s="18" customFormat="1" ht="13.2" x14ac:dyDescent="0.25">
      <c r="A18" s="19" t="s">
        <v>5</v>
      </c>
      <c r="B18" s="22">
        <v>2000</v>
      </c>
      <c r="C18" s="22">
        <v>2001</v>
      </c>
      <c r="D18" s="22">
        <v>2002</v>
      </c>
      <c r="E18" s="22">
        <v>2003</v>
      </c>
      <c r="F18" s="22">
        <v>2004</v>
      </c>
      <c r="G18" s="22">
        <v>2005</v>
      </c>
      <c r="H18" s="22">
        <v>2006</v>
      </c>
      <c r="I18" s="22">
        <v>2007</v>
      </c>
      <c r="J18" s="22">
        <v>2008</v>
      </c>
      <c r="K18" s="22">
        <v>2009</v>
      </c>
      <c r="L18" s="22">
        <v>2010</v>
      </c>
      <c r="M18" s="22">
        <v>2011</v>
      </c>
      <c r="N18" s="22">
        <v>2012</v>
      </c>
      <c r="O18" s="22">
        <v>2013</v>
      </c>
      <c r="P18" s="22">
        <v>2014</v>
      </c>
      <c r="Q18" s="22">
        <v>2015</v>
      </c>
      <c r="R18" s="22">
        <v>2016</v>
      </c>
      <c r="S18" s="22">
        <v>2017</v>
      </c>
      <c r="T18" s="22">
        <v>2018</v>
      </c>
      <c r="U18" s="22">
        <v>2019</v>
      </c>
      <c r="V18" s="33">
        <v>2020</v>
      </c>
      <c r="W18" s="33">
        <v>2021</v>
      </c>
      <c r="X18" s="24"/>
      <c r="Y18" s="25"/>
      <c r="Z18" s="25"/>
      <c r="AA18" s="25"/>
    </row>
    <row r="19" spans="1:27" x14ac:dyDescent="0.25">
      <c r="A19" s="12" t="s">
        <v>10</v>
      </c>
      <c r="B19" s="52">
        <v>1477413</v>
      </c>
      <c r="C19" s="52">
        <v>1536948</v>
      </c>
      <c r="D19" s="52">
        <v>1586519</v>
      </c>
      <c r="E19" s="52">
        <v>1629363</v>
      </c>
      <c r="F19" s="52">
        <v>1702780</v>
      </c>
      <c r="G19" s="52">
        <v>1764682</v>
      </c>
      <c r="H19" s="52">
        <v>1845503</v>
      </c>
      <c r="I19" s="52">
        <v>1938742</v>
      </c>
      <c r="J19" s="52">
        <v>1990778</v>
      </c>
      <c r="K19" s="52">
        <v>1934889</v>
      </c>
      <c r="L19" s="52">
        <v>1993768</v>
      </c>
      <c r="M19" s="52">
        <v>2056852</v>
      </c>
      <c r="N19" s="52">
        <v>2087299</v>
      </c>
      <c r="O19" s="52">
        <v>2115678</v>
      </c>
      <c r="P19" s="52">
        <v>2148264</v>
      </c>
      <c r="Q19" s="52">
        <v>2196889</v>
      </c>
      <c r="R19" s="52">
        <v>2232556</v>
      </c>
      <c r="S19" s="52">
        <v>2295696</v>
      </c>
      <c r="T19" s="52">
        <v>2361804</v>
      </c>
      <c r="U19" s="52">
        <v>2436091</v>
      </c>
      <c r="V19" s="52">
        <v>2308986</v>
      </c>
      <c r="W19" s="52">
        <v>2499377</v>
      </c>
      <c r="X19" s="14"/>
      <c r="Y19" s="15"/>
      <c r="Z19" s="15"/>
      <c r="AA19" s="15"/>
    </row>
    <row r="20" spans="1:27" x14ac:dyDescent="0.25">
      <c r="A20" s="20" t="s">
        <v>11</v>
      </c>
      <c r="B20" s="52">
        <v>1823744</v>
      </c>
      <c r="C20" s="52">
        <v>1859922</v>
      </c>
      <c r="D20" s="52">
        <v>1881042</v>
      </c>
      <c r="E20" s="52">
        <v>1896526</v>
      </c>
      <c r="F20" s="52">
        <v>1950193</v>
      </c>
      <c r="G20" s="52">
        <v>1982629</v>
      </c>
      <c r="H20" s="52">
        <v>2031190</v>
      </c>
      <c r="I20" s="52">
        <v>2080441</v>
      </c>
      <c r="J20" s="52">
        <v>2085745</v>
      </c>
      <c r="K20" s="52">
        <v>2025815</v>
      </c>
      <c r="L20" s="52">
        <v>2065307</v>
      </c>
      <c r="M20" s="52">
        <v>2110593</v>
      </c>
      <c r="N20" s="52">
        <v>2117202</v>
      </c>
      <c r="O20" s="52">
        <v>2129404</v>
      </c>
      <c r="P20" s="52">
        <v>2149765</v>
      </c>
      <c r="Q20" s="52">
        <v>2173690</v>
      </c>
      <c r="R20" s="52">
        <v>2197502</v>
      </c>
      <c r="S20" s="52">
        <v>2247856</v>
      </c>
      <c r="T20" s="52">
        <v>2289780</v>
      </c>
      <c r="U20" s="52">
        <v>2331980</v>
      </c>
      <c r="V20" s="52">
        <v>2156138</v>
      </c>
      <c r="W20" s="52">
        <v>2294890</v>
      </c>
      <c r="X20" s="14"/>
      <c r="Y20" s="15"/>
      <c r="Z20" s="15"/>
      <c r="AA20" s="15"/>
    </row>
    <row r="21" spans="1:27" x14ac:dyDescent="0.25">
      <c r="A21" s="20" t="s">
        <v>30</v>
      </c>
      <c r="B21" s="53">
        <f>B19/B20</f>
        <v>0.81009889545901181</v>
      </c>
      <c r="C21" s="53">
        <f t="shared" ref="C21:W21" si="2">C19/C20</f>
        <v>0.82635078245216731</v>
      </c>
      <c r="D21" s="53">
        <f t="shared" si="2"/>
        <v>0.84342561197463961</v>
      </c>
      <c r="E21" s="53">
        <f t="shared" si="2"/>
        <v>0.85913032565859893</v>
      </c>
      <c r="F21" s="53">
        <f t="shared" si="2"/>
        <v>0.87313409493316818</v>
      </c>
      <c r="G21" s="53">
        <f t="shared" si="2"/>
        <v>0.89007171790587147</v>
      </c>
      <c r="H21" s="53">
        <f t="shared" si="2"/>
        <v>0.9085821611961461</v>
      </c>
      <c r="I21" s="53">
        <f t="shared" si="2"/>
        <v>0.93188992141569982</v>
      </c>
      <c r="J21" s="53">
        <f t="shared" si="2"/>
        <v>0.95446854720974994</v>
      </c>
      <c r="K21" s="53">
        <f t="shared" si="2"/>
        <v>0.95511633589444245</v>
      </c>
      <c r="L21" s="53">
        <f t="shared" si="2"/>
        <v>0.96536156610131085</v>
      </c>
      <c r="M21" s="53">
        <f t="shared" si="2"/>
        <v>0.97453748780555982</v>
      </c>
      <c r="N21" s="53">
        <f t="shared" si="2"/>
        <v>0.98587617053072873</v>
      </c>
      <c r="O21" s="53">
        <f t="shared" si="2"/>
        <v>0.99355406489327525</v>
      </c>
      <c r="P21" s="53">
        <f t="shared" si="2"/>
        <v>0.99930178414849991</v>
      </c>
      <c r="Q21" s="53">
        <f t="shared" si="2"/>
        <v>1.0106726350123523</v>
      </c>
      <c r="R21" s="53">
        <f t="shared" si="2"/>
        <v>1.0159517488493754</v>
      </c>
      <c r="S21" s="53">
        <f t="shared" si="2"/>
        <v>1.0212825020819838</v>
      </c>
      <c r="T21" s="53">
        <f t="shared" si="2"/>
        <v>1.0314545502187984</v>
      </c>
      <c r="U21" s="53">
        <f t="shared" si="2"/>
        <v>1.0446448940385424</v>
      </c>
      <c r="V21" s="53">
        <f t="shared" si="2"/>
        <v>1.0708897111409381</v>
      </c>
      <c r="W21" s="53">
        <f t="shared" si="2"/>
        <v>1.0891053601697684</v>
      </c>
    </row>
    <row r="22" spans="1:27" x14ac:dyDescent="0.25">
      <c r="A22" s="21"/>
      <c r="B22" s="37"/>
      <c r="C22" s="37"/>
      <c r="D22" s="37"/>
      <c r="E22" s="37"/>
      <c r="F22" s="37"/>
      <c r="G22" s="37"/>
      <c r="H22" s="37"/>
      <c r="I22" s="37"/>
      <c r="J22" s="37"/>
      <c r="K22" s="37"/>
      <c r="L22" s="37"/>
      <c r="M22" s="37"/>
      <c r="N22" s="37"/>
      <c r="O22" s="37"/>
      <c r="P22" s="37"/>
      <c r="Q22" s="37"/>
      <c r="R22" s="37"/>
      <c r="S22" s="37"/>
      <c r="T22" s="37"/>
      <c r="U22" s="37"/>
      <c r="V22" s="37"/>
      <c r="W22" s="37"/>
      <c r="Y22" s="15"/>
    </row>
    <row r="23" spans="1:27" s="18" customFormat="1" ht="13.2" x14ac:dyDescent="0.25">
      <c r="A23" s="19" t="s">
        <v>12</v>
      </c>
      <c r="B23" s="22">
        <v>2000</v>
      </c>
      <c r="C23" s="22">
        <v>2001</v>
      </c>
      <c r="D23" s="22">
        <v>2002</v>
      </c>
      <c r="E23" s="22">
        <v>2003</v>
      </c>
      <c r="F23" s="22">
        <v>2004</v>
      </c>
      <c r="G23" s="22">
        <v>2005</v>
      </c>
      <c r="H23" s="22">
        <v>2006</v>
      </c>
      <c r="I23" s="22">
        <v>2007</v>
      </c>
      <c r="J23" s="22">
        <v>2008</v>
      </c>
      <c r="K23" s="22">
        <v>2009</v>
      </c>
      <c r="L23" s="22">
        <v>2010</v>
      </c>
      <c r="M23" s="22">
        <v>2011</v>
      </c>
      <c r="N23" s="22">
        <v>2012</v>
      </c>
      <c r="O23" s="22">
        <v>2013</v>
      </c>
      <c r="P23" s="22">
        <v>2014</v>
      </c>
      <c r="Q23" s="22">
        <v>2015</v>
      </c>
      <c r="R23" s="22">
        <v>2016</v>
      </c>
      <c r="S23" s="22">
        <v>2017</v>
      </c>
      <c r="T23" s="22">
        <v>2018</v>
      </c>
      <c r="U23" s="22">
        <v>2019</v>
      </c>
      <c r="V23" s="22">
        <v>2020</v>
      </c>
      <c r="W23" s="33">
        <v>2021</v>
      </c>
      <c r="Y23" s="25"/>
    </row>
    <row r="24" spans="1:27" x14ac:dyDescent="0.25">
      <c r="A24" s="12" t="s">
        <v>13</v>
      </c>
      <c r="B24" s="54">
        <v>100</v>
      </c>
      <c r="C24" s="55">
        <f t="shared" ref="C24:U24" si="3">C14/$B14*$B24</f>
        <v>101.52634675329789</v>
      </c>
      <c r="D24" s="55">
        <f t="shared" si="3"/>
        <v>107.11933436661087</v>
      </c>
      <c r="E24" s="55">
        <f t="shared" si="3"/>
        <v>110.26760730477841</v>
      </c>
      <c r="F24" s="55">
        <f t="shared" si="3"/>
        <v>113.57809281052724</v>
      </c>
      <c r="G24" s="55">
        <f t="shared" si="3"/>
        <v>125.56388822434081</v>
      </c>
      <c r="H24" s="55">
        <f t="shared" si="3"/>
        <v>132.56945327314102</v>
      </c>
      <c r="I24" s="55">
        <f t="shared" si="3"/>
        <v>140.72338607548508</v>
      </c>
      <c r="J24" s="55">
        <f t="shared" si="3"/>
        <v>148.60516742605955</v>
      </c>
      <c r="K24" s="55">
        <f t="shared" si="3"/>
        <v>147.01283328739413</v>
      </c>
      <c r="L24" s="55">
        <f t="shared" si="3"/>
        <v>153.05003089783679</v>
      </c>
      <c r="M24" s="55">
        <f t="shared" si="3"/>
        <v>157.96964326648387</v>
      </c>
      <c r="N24" s="55">
        <f t="shared" si="3"/>
        <v>160.79552082260585</v>
      </c>
      <c r="O24" s="55">
        <f t="shared" si="3"/>
        <v>164.70427764285301</v>
      </c>
      <c r="P24" s="55">
        <f t="shared" si="3"/>
        <v>163.79398420526869</v>
      </c>
      <c r="Q24" s="55">
        <f t="shared" si="3"/>
        <v>162.92319690274323</v>
      </c>
      <c r="R24" s="55">
        <f t="shared" si="3"/>
        <v>164.7474041864499</v>
      </c>
      <c r="S24" s="55">
        <f t="shared" si="3"/>
        <v>170.58724647012403</v>
      </c>
      <c r="T24" s="55">
        <f t="shared" si="3"/>
        <v>179.44742905736601</v>
      </c>
      <c r="U24" s="55">
        <f t="shared" si="3"/>
        <v>190.39873464232267</v>
      </c>
      <c r="V24" s="55">
        <f t="shared" ref="V24:W24" si="4">V14/$B14*$B24</f>
        <v>190.2642163209085</v>
      </c>
      <c r="W24" s="55">
        <f t="shared" si="4"/>
        <v>211.53564289063897</v>
      </c>
      <c r="X24" s="14"/>
      <c r="Y24" s="15"/>
      <c r="Z24" s="15"/>
      <c r="AA24" s="15"/>
    </row>
    <row r="25" spans="1:27" x14ac:dyDescent="0.25">
      <c r="A25" s="12" t="s">
        <v>14</v>
      </c>
      <c r="B25" s="54">
        <v>100</v>
      </c>
      <c r="C25" s="55">
        <f t="shared" ref="C25:U25" si="5">C15/$B15*$B25</f>
        <v>99.52962242108849</v>
      </c>
      <c r="D25" s="55">
        <f t="shared" si="5"/>
        <v>102.88667218621916</v>
      </c>
      <c r="E25" s="55">
        <f t="shared" si="5"/>
        <v>103.97452425396759</v>
      </c>
      <c r="F25" s="55">
        <f t="shared" si="5"/>
        <v>105.37841560429717</v>
      </c>
      <c r="G25" s="55">
        <f t="shared" si="5"/>
        <v>114.28198999446752</v>
      </c>
      <c r="H25" s="55">
        <f t="shared" si="5"/>
        <v>118.19995180930276</v>
      </c>
      <c r="I25" s="55">
        <f t="shared" si="5"/>
        <v>122.33189457808207</v>
      </c>
      <c r="J25" s="55">
        <f t="shared" si="5"/>
        <v>126.12765747313529</v>
      </c>
      <c r="K25" s="55">
        <f t="shared" si="5"/>
        <v>124.69154739447359</v>
      </c>
      <c r="L25" s="55">
        <f t="shared" si="5"/>
        <v>128.43442844014513</v>
      </c>
      <c r="M25" s="55">
        <f t="shared" si="5"/>
        <v>131.31463399565556</v>
      </c>
      <c r="N25" s="55">
        <f t="shared" si="5"/>
        <v>132.12640462039599</v>
      </c>
      <c r="O25" s="55">
        <f t="shared" si="5"/>
        <v>134.29239344935093</v>
      </c>
      <c r="P25" s="55">
        <f t="shared" si="5"/>
        <v>132.78203620999528</v>
      </c>
      <c r="Q25" s="55">
        <f t="shared" si="5"/>
        <v>130.59016073384663</v>
      </c>
      <c r="R25" s="55">
        <f t="shared" si="5"/>
        <v>131.36617000988048</v>
      </c>
      <c r="S25" s="55">
        <f t="shared" si="5"/>
        <v>135.31274614332739</v>
      </c>
      <c r="T25" s="55">
        <f t="shared" si="5"/>
        <v>140.937052477489</v>
      </c>
      <c r="U25" s="55">
        <f t="shared" si="5"/>
        <v>147.64998662296463</v>
      </c>
      <c r="V25" s="55">
        <f t="shared" ref="V25:W25" si="6">V15/$B15*$B25</f>
        <v>143.92969685246823</v>
      </c>
      <c r="W25" s="55">
        <f t="shared" si="6"/>
        <v>157.34454803271421</v>
      </c>
      <c r="X25" s="14"/>
      <c r="Y25" s="15"/>
      <c r="Z25" s="15"/>
      <c r="AA25" s="15"/>
    </row>
    <row r="26" spans="1:27" x14ac:dyDescent="0.25">
      <c r="A26" s="12" t="s">
        <v>10</v>
      </c>
      <c r="B26" s="54">
        <v>100</v>
      </c>
      <c r="C26" s="55">
        <f t="shared" ref="C26:U26" si="7">C19/$B19*$B26</f>
        <v>104.02967890495074</v>
      </c>
      <c r="D26" s="55">
        <f t="shared" si="7"/>
        <v>107.38493569502907</v>
      </c>
      <c r="E26" s="55">
        <f t="shared" si="7"/>
        <v>110.28486956592367</v>
      </c>
      <c r="F26" s="55">
        <f t="shared" si="7"/>
        <v>115.25416386616337</v>
      </c>
      <c r="G26" s="55">
        <f t="shared" si="7"/>
        <v>119.44405525063067</v>
      </c>
      <c r="H26" s="55">
        <f t="shared" si="7"/>
        <v>124.91449581125929</v>
      </c>
      <c r="I26" s="55">
        <f t="shared" si="7"/>
        <v>131.22545963789406</v>
      </c>
      <c r="J26" s="55">
        <f t="shared" si="7"/>
        <v>134.74756212379341</v>
      </c>
      <c r="K26" s="55">
        <f t="shared" si="7"/>
        <v>130.96466593972031</v>
      </c>
      <c r="L26" s="55">
        <f t="shared" si="7"/>
        <v>134.94994290695968</v>
      </c>
      <c r="M26" s="55">
        <f t="shared" si="7"/>
        <v>139.21983900236427</v>
      </c>
      <c r="N26" s="55">
        <f t="shared" si="7"/>
        <v>141.28067101074649</v>
      </c>
      <c r="O26" s="55">
        <f t="shared" si="7"/>
        <v>143.20152861792877</v>
      </c>
      <c r="P26" s="55">
        <f t="shared" si="7"/>
        <v>145.40714072503761</v>
      </c>
      <c r="Q26" s="55">
        <f t="shared" si="7"/>
        <v>148.69836667201386</v>
      </c>
      <c r="R26" s="55">
        <f t="shared" si="7"/>
        <v>151.11251897742878</v>
      </c>
      <c r="S26" s="55">
        <f t="shared" si="7"/>
        <v>155.38620548215022</v>
      </c>
      <c r="T26" s="55">
        <f t="shared" si="7"/>
        <v>159.86078368066345</v>
      </c>
      <c r="U26" s="55">
        <f t="shared" si="7"/>
        <v>164.88896469707524</v>
      </c>
      <c r="V26" s="55">
        <f t="shared" ref="V26:W26" si="8">V19/$B19*$B26</f>
        <v>156.28575083608985</v>
      </c>
      <c r="W26" s="55">
        <f t="shared" si="8"/>
        <v>169.17253334037267</v>
      </c>
      <c r="X26" s="14"/>
      <c r="Y26" s="15"/>
      <c r="Z26" s="15"/>
      <c r="AA26" s="15"/>
    </row>
    <row r="27" spans="1:27" x14ac:dyDescent="0.25">
      <c r="A27" s="20" t="s">
        <v>11</v>
      </c>
      <c r="B27" s="54">
        <v>100</v>
      </c>
      <c r="C27" s="55">
        <f t="shared" ref="C27:U27" si="9">C20/$B20*$B27</f>
        <v>101.98372139949467</v>
      </c>
      <c r="D27" s="55">
        <f t="shared" si="9"/>
        <v>103.14177867069063</v>
      </c>
      <c r="E27" s="55">
        <f t="shared" si="9"/>
        <v>103.99080134053902</v>
      </c>
      <c r="F27" s="55">
        <f t="shared" si="9"/>
        <v>106.93348408548569</v>
      </c>
      <c r="G27" s="55">
        <f t="shared" si="9"/>
        <v>108.71202317869175</v>
      </c>
      <c r="H27" s="55">
        <f t="shared" si="9"/>
        <v>111.37473241858507</v>
      </c>
      <c r="I27" s="55">
        <f t="shared" si="9"/>
        <v>114.07527591591801</v>
      </c>
      <c r="J27" s="55">
        <f t="shared" si="9"/>
        <v>114.36610620788883</v>
      </c>
      <c r="K27" s="55">
        <f t="shared" si="9"/>
        <v>111.08000903635597</v>
      </c>
      <c r="L27" s="55">
        <f t="shared" si="9"/>
        <v>113.24544453607524</v>
      </c>
      <c r="M27" s="55">
        <f t="shared" si="9"/>
        <v>115.72857813377315</v>
      </c>
      <c r="N27" s="55">
        <f t="shared" si="9"/>
        <v>116.09096452133633</v>
      </c>
      <c r="O27" s="55">
        <f t="shared" si="9"/>
        <v>116.76002772318922</v>
      </c>
      <c r="P27" s="55">
        <f t="shared" si="9"/>
        <v>117.87646731120158</v>
      </c>
      <c r="Q27" s="55">
        <f t="shared" si="9"/>
        <v>119.18832906372825</v>
      </c>
      <c r="R27" s="55">
        <f t="shared" si="9"/>
        <v>120.49399477119596</v>
      </c>
      <c r="S27" s="55">
        <f t="shared" si="9"/>
        <v>123.25501824817518</v>
      </c>
      <c r="T27" s="55">
        <f t="shared" si="9"/>
        <v>125.55380579730489</v>
      </c>
      <c r="U27" s="55">
        <f t="shared" si="9"/>
        <v>127.86772704941045</v>
      </c>
      <c r="V27" s="55">
        <f t="shared" ref="V27:W27" si="10">V20/$B20*$B27</f>
        <v>118.22591328607524</v>
      </c>
      <c r="W27" s="55">
        <f t="shared" si="10"/>
        <v>125.83399863138686</v>
      </c>
      <c r="X27" s="14"/>
      <c r="Y27" s="15"/>
      <c r="Z27" s="15"/>
      <c r="AA27" s="15"/>
    </row>
    <row r="28" spans="1:27" x14ac:dyDescent="0.25">
      <c r="A28" s="38" t="s">
        <v>82</v>
      </c>
      <c r="B28" s="74"/>
      <c r="C28" s="75"/>
      <c r="D28" s="75"/>
      <c r="E28" s="75"/>
      <c r="F28" s="75"/>
      <c r="G28" s="75"/>
      <c r="H28" s="75"/>
      <c r="I28" s="75"/>
      <c r="J28" s="75"/>
      <c r="K28" s="75"/>
      <c r="L28" s="75"/>
      <c r="M28" s="75"/>
      <c r="N28" s="75"/>
      <c r="O28" s="75"/>
      <c r="P28" s="75"/>
      <c r="Q28" s="75"/>
      <c r="R28" s="75"/>
      <c r="S28" s="75"/>
      <c r="T28" s="75"/>
      <c r="U28" s="75"/>
      <c r="V28" s="75"/>
      <c r="W28" s="13"/>
      <c r="X28" s="14"/>
      <c r="Y28" s="15"/>
      <c r="Z28" s="15"/>
      <c r="AA28" s="15"/>
    </row>
    <row r="29" spans="1:27" x14ac:dyDescent="0.25">
      <c r="A29" s="38" t="s">
        <v>83</v>
      </c>
      <c r="B29" s="74"/>
      <c r="C29" s="75"/>
      <c r="D29" s="75"/>
      <c r="E29" s="75"/>
      <c r="F29" s="75"/>
      <c r="G29" s="75"/>
      <c r="H29" s="75"/>
      <c r="I29" s="75"/>
      <c r="J29" s="75"/>
      <c r="K29" s="75"/>
      <c r="L29" s="75"/>
      <c r="M29" s="75"/>
      <c r="N29" s="75"/>
      <c r="O29" s="75"/>
      <c r="P29" s="75"/>
      <c r="Q29" s="75"/>
      <c r="R29" s="75"/>
      <c r="S29" s="75"/>
      <c r="T29" s="75"/>
      <c r="U29" s="75"/>
      <c r="V29" s="75"/>
      <c r="W29" s="13"/>
      <c r="X29" s="14"/>
      <c r="Y29" s="15"/>
      <c r="Z29" s="15"/>
      <c r="AA29" s="15"/>
    </row>
    <row r="30" spans="1:27" x14ac:dyDescent="0.25">
      <c r="A30" s="38" t="s">
        <v>61</v>
      </c>
      <c r="B30" s="15"/>
      <c r="C30" s="15"/>
      <c r="D30" s="15"/>
      <c r="E30" s="15"/>
      <c r="F30" s="15"/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4"/>
      <c r="Y30" s="15"/>
      <c r="Z30" s="15"/>
      <c r="AA30" s="15"/>
    </row>
    <row r="31" spans="1:27" ht="11.4" customHeight="1" x14ac:dyDescent="0.25">
      <c r="A31" s="83"/>
    </row>
    <row r="32" spans="1:27" x14ac:dyDescent="0.25">
      <c r="A32" s="34"/>
    </row>
    <row r="33" spans="22:22" x14ac:dyDescent="0.25">
      <c r="V33" s="13"/>
    </row>
  </sheetData>
  <pageMargins left="0.7" right="0.7" top="0.75" bottom="0.75" header="0.3" footer="0.3"/>
  <pageSetup paperSize="9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Feuil3"/>
  <dimension ref="A1:K18"/>
  <sheetViews>
    <sheetView showGridLines="0" zoomScaleNormal="100" workbookViewId="0"/>
  </sheetViews>
  <sheetFormatPr baseColWidth="10" defaultColWidth="11.44140625" defaultRowHeight="13.8" x14ac:dyDescent="0.25"/>
  <cols>
    <col min="1" max="1" width="49.109375" style="6" customWidth="1"/>
    <col min="2" max="2" width="15.109375" style="6" customWidth="1"/>
    <col min="3" max="3" width="11.44140625" style="6"/>
    <col min="4" max="4" width="16" style="6" customWidth="1"/>
    <col min="5" max="5" width="18.5546875" style="6" customWidth="1"/>
    <col min="6" max="6" width="18" style="6" customWidth="1"/>
    <col min="7" max="7" width="16.44140625" style="6" customWidth="1"/>
    <col min="8" max="8" width="9" style="6" customWidth="1"/>
    <col min="9" max="9" width="9.33203125" style="6" customWidth="1"/>
    <col min="10" max="16384" width="11.44140625" style="6"/>
  </cols>
  <sheetData>
    <row r="1" spans="1:11" x14ac:dyDescent="0.25">
      <c r="A1" s="3" t="s">
        <v>62</v>
      </c>
    </row>
    <row r="2" spans="1:11" x14ac:dyDescent="0.25">
      <c r="A2" s="42" t="s">
        <v>20</v>
      </c>
    </row>
    <row r="3" spans="1:11" ht="26.4" x14ac:dyDescent="0.25">
      <c r="A3" s="18"/>
      <c r="B3" s="58" t="s">
        <v>17</v>
      </c>
      <c r="C3" s="57" t="s">
        <v>15</v>
      </c>
      <c r="D3" s="57" t="s">
        <v>16</v>
      </c>
      <c r="E3" s="57" t="s">
        <v>18</v>
      </c>
      <c r="F3" s="57" t="s">
        <v>19</v>
      </c>
    </row>
    <row r="4" spans="1:11" x14ac:dyDescent="0.25">
      <c r="A4" s="20" t="s">
        <v>84</v>
      </c>
      <c r="B4" s="56">
        <v>5.3192976861190946</v>
      </c>
      <c r="C4" s="46">
        <v>7.6160957290385207</v>
      </c>
      <c r="D4" s="46">
        <v>6.698276397840182</v>
      </c>
      <c r="E4" s="46">
        <v>1.9267182721448006E-3</v>
      </c>
      <c r="F4" s="47">
        <f t="shared" ref="F4:F12" si="0">SUM(B4:E4)</f>
        <v>19.635596531269943</v>
      </c>
      <c r="G4" s="13"/>
      <c r="H4" s="13"/>
      <c r="I4" s="13"/>
      <c r="J4" s="13"/>
      <c r="K4" s="13"/>
    </row>
    <row r="5" spans="1:11" x14ac:dyDescent="0.25">
      <c r="A5" s="20" t="s">
        <v>0</v>
      </c>
      <c r="B5" s="46">
        <v>4.8930049937448139</v>
      </c>
      <c r="C5" s="46">
        <v>2.7372918937588393</v>
      </c>
      <c r="D5" s="46">
        <v>6.4385135032238159</v>
      </c>
      <c r="E5" s="46">
        <v>0</v>
      </c>
      <c r="F5" s="47">
        <f t="shared" si="0"/>
        <v>14.068810390727469</v>
      </c>
      <c r="G5" s="14"/>
      <c r="H5" s="13"/>
      <c r="I5" s="13"/>
      <c r="J5" s="13"/>
      <c r="K5" s="13"/>
    </row>
    <row r="6" spans="1:11" x14ac:dyDescent="0.25">
      <c r="A6" s="20" t="s">
        <v>85</v>
      </c>
      <c r="B6" s="46">
        <v>2.0184675110933474</v>
      </c>
      <c r="C6" s="46">
        <v>4.1652222438923747</v>
      </c>
      <c r="D6" s="46">
        <v>1.5791074285823776</v>
      </c>
      <c r="E6" s="46">
        <v>5.0000663992413241E-3</v>
      </c>
      <c r="F6" s="47">
        <f t="shared" si="0"/>
        <v>7.7677972499673418</v>
      </c>
      <c r="G6" s="14"/>
      <c r="H6" s="13"/>
      <c r="I6" s="13"/>
      <c r="J6" s="13"/>
      <c r="K6" s="13"/>
    </row>
    <row r="7" spans="1:11" x14ac:dyDescent="0.25">
      <c r="A7" s="20" t="s">
        <v>64</v>
      </c>
      <c r="B7" s="46">
        <v>5.1589183146382833</v>
      </c>
      <c r="C7" s="46">
        <v>0.10304062857542401</v>
      </c>
      <c r="D7" s="46">
        <v>0.20700677782855142</v>
      </c>
      <c r="E7" s="46">
        <v>2.7529043245320281E-2</v>
      </c>
      <c r="F7" s="47">
        <f t="shared" si="0"/>
        <v>5.4964947642875792</v>
      </c>
      <c r="G7" s="14"/>
      <c r="H7" s="13"/>
      <c r="I7" s="13"/>
      <c r="J7" s="13"/>
      <c r="K7" s="13"/>
    </row>
    <row r="8" spans="1:11" x14ac:dyDescent="0.25">
      <c r="A8" s="20" t="s">
        <v>63</v>
      </c>
      <c r="B8" s="46">
        <v>1.3150092128396829</v>
      </c>
      <c r="C8" s="46">
        <v>2.7061425189430484</v>
      </c>
      <c r="D8" s="46">
        <v>0</v>
      </c>
      <c r="E8" s="46">
        <v>0.21386041753754279</v>
      </c>
      <c r="F8" s="47">
        <f t="shared" si="0"/>
        <v>4.2350121493202737</v>
      </c>
      <c r="G8" s="14"/>
      <c r="H8" s="13"/>
      <c r="I8" s="13"/>
      <c r="J8" s="13"/>
      <c r="K8" s="13"/>
    </row>
    <row r="9" spans="1:11" x14ac:dyDescent="0.25">
      <c r="A9" s="20" t="s">
        <v>2</v>
      </c>
      <c r="B9" s="46">
        <v>2.0296619864597636</v>
      </c>
      <c r="C9" s="46">
        <v>0.58698816266795728</v>
      </c>
      <c r="D9" s="46">
        <v>0.44978909518198973</v>
      </c>
      <c r="E9" s="46">
        <v>0.20983624583244248</v>
      </c>
      <c r="F9" s="47">
        <f t="shared" si="0"/>
        <v>3.2762754901421531</v>
      </c>
      <c r="G9" s="14"/>
      <c r="H9" s="13"/>
      <c r="I9" s="13"/>
      <c r="J9" s="13"/>
      <c r="K9" s="13"/>
    </row>
    <row r="10" spans="1:11" x14ac:dyDescent="0.25">
      <c r="A10" s="20" t="s">
        <v>29</v>
      </c>
      <c r="B10" s="46">
        <v>0.57106231394225437</v>
      </c>
      <c r="C10" s="46">
        <v>1.45778324280303</v>
      </c>
      <c r="D10" s="46">
        <v>1.1617996772592178E-2</v>
      </c>
      <c r="E10" s="46">
        <v>0.35697079518423286</v>
      </c>
      <c r="F10" s="47">
        <f t="shared" si="0"/>
        <v>2.397434348702109</v>
      </c>
      <c r="H10" s="13"/>
      <c r="I10" s="13"/>
      <c r="J10" s="13"/>
      <c r="K10" s="13"/>
    </row>
    <row r="11" spans="1:11" x14ac:dyDescent="0.25">
      <c r="A11" s="20" t="s">
        <v>1</v>
      </c>
      <c r="B11" s="46">
        <v>9.8068105196546421E-2</v>
      </c>
      <c r="C11" s="46">
        <v>0.40140672490526857</v>
      </c>
      <c r="D11" s="46">
        <v>1.8547967029740691</v>
      </c>
      <c r="E11" s="46">
        <v>0</v>
      </c>
      <c r="F11" s="47">
        <f t="shared" si="0"/>
        <v>2.3542715330758841</v>
      </c>
      <c r="G11" s="14"/>
      <c r="H11" s="13"/>
      <c r="I11" s="13"/>
      <c r="J11" s="13"/>
      <c r="K11" s="13"/>
    </row>
    <row r="12" spans="1:11" x14ac:dyDescent="0.25">
      <c r="A12" s="20" t="s">
        <v>6</v>
      </c>
      <c r="B12" s="46">
        <v>0.15998345999999997</v>
      </c>
      <c r="C12" s="46">
        <v>0.56527478448573265</v>
      </c>
      <c r="D12" s="46">
        <v>0</v>
      </c>
      <c r="E12" s="46">
        <v>0</v>
      </c>
      <c r="F12" s="47">
        <f t="shared" si="0"/>
        <v>0.72525824448573262</v>
      </c>
      <c r="H12" s="13"/>
      <c r="I12" s="13"/>
      <c r="J12" s="13"/>
      <c r="K12" s="13"/>
    </row>
    <row r="13" spans="1:11" s="3" customFormat="1" x14ac:dyDescent="0.25">
      <c r="A13" s="41" t="s">
        <v>19</v>
      </c>
      <c r="B13" s="47">
        <f>SUM(B4:B12)</f>
        <v>21.563473584033783</v>
      </c>
      <c r="C13" s="47">
        <f>SUM(C4:C12)</f>
        <v>20.339245929070195</v>
      </c>
      <c r="D13" s="47">
        <f>SUM(D4:D12)</f>
        <v>17.239107902403578</v>
      </c>
      <c r="E13" s="47">
        <f t="shared" ref="E13:F13" si="1">SUM(E4:E12)</f>
        <v>0.81512328647092458</v>
      </c>
      <c r="F13" s="47">
        <f t="shared" si="1"/>
        <v>59.956950701978485</v>
      </c>
      <c r="G13" s="26"/>
      <c r="H13" s="13"/>
      <c r="I13" s="13"/>
      <c r="J13" s="13"/>
      <c r="K13" s="13"/>
    </row>
    <row r="14" spans="1:11" s="3" customFormat="1" x14ac:dyDescent="0.25">
      <c r="A14" s="80" t="s">
        <v>77</v>
      </c>
      <c r="B14" s="76"/>
      <c r="C14" s="6"/>
      <c r="D14" s="76"/>
      <c r="E14" s="76"/>
      <c r="F14" s="76"/>
      <c r="G14" s="26"/>
      <c r="H14" s="27"/>
      <c r="I14" s="28"/>
      <c r="J14" s="14"/>
    </row>
    <row r="15" spans="1:11" s="3" customFormat="1" x14ac:dyDescent="0.25">
      <c r="A15" s="80" t="s">
        <v>76</v>
      </c>
      <c r="B15" s="76"/>
      <c r="C15" s="6"/>
      <c r="D15" s="76"/>
      <c r="E15" s="76"/>
      <c r="F15" s="76"/>
      <c r="G15" s="26"/>
      <c r="H15" s="27"/>
      <c r="I15" s="28"/>
      <c r="J15" s="14"/>
    </row>
    <row r="16" spans="1:11" s="3" customFormat="1" x14ac:dyDescent="0.25">
      <c r="A16" s="38" t="s">
        <v>82</v>
      </c>
      <c r="B16" s="76"/>
      <c r="C16" s="6"/>
      <c r="D16" s="76"/>
      <c r="E16" s="76"/>
      <c r="F16" s="76"/>
      <c r="G16" s="26"/>
      <c r="H16" s="27"/>
      <c r="I16" s="28"/>
      <c r="J16" s="14"/>
    </row>
    <row r="17" spans="1:1" x14ac:dyDescent="0.25">
      <c r="A17" s="38" t="s">
        <v>83</v>
      </c>
    </row>
    <row r="18" spans="1:1" x14ac:dyDescent="0.25">
      <c r="A18" s="81" t="s">
        <v>60</v>
      </c>
    </row>
  </sheetData>
  <sortState xmlns:xlrd2="http://schemas.microsoft.com/office/spreadsheetml/2017/richdata2" ref="A4:F12">
    <sortCondition descending="1" ref="F4:F12"/>
  </sortState>
  <pageMargins left="0.7" right="0.7" top="0.75" bottom="0.75" header="0.3" footer="0.3"/>
  <pageSetup paperSize="9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Feuil4"/>
  <dimension ref="A1:H19"/>
  <sheetViews>
    <sheetView showGridLines="0" zoomScaleNormal="100" workbookViewId="0"/>
  </sheetViews>
  <sheetFormatPr baseColWidth="10" defaultColWidth="11.44140625" defaultRowHeight="13.8" x14ac:dyDescent="0.25"/>
  <cols>
    <col min="1" max="1" width="45" style="6" customWidth="1"/>
    <col min="2" max="4" width="32.5546875" style="6" customWidth="1"/>
    <col min="5" max="5" width="11.44140625" style="6"/>
    <col min="6" max="6" width="13.88671875" style="6" customWidth="1"/>
    <col min="7" max="7" width="11.44140625" style="6"/>
    <col min="8" max="8" width="16.109375" style="6" customWidth="1"/>
    <col min="9" max="15" width="11.44140625" style="6"/>
    <col min="16" max="16" width="14.88671875" style="6" customWidth="1"/>
    <col min="17" max="16384" width="11.44140625" style="6"/>
  </cols>
  <sheetData>
    <row r="1" spans="1:8" x14ac:dyDescent="0.25">
      <c r="A1" s="3" t="s">
        <v>66</v>
      </c>
    </row>
    <row r="2" spans="1:8" x14ac:dyDescent="0.25">
      <c r="A2" s="19" t="s">
        <v>20</v>
      </c>
    </row>
    <row r="3" spans="1:8" x14ac:dyDescent="0.25">
      <c r="A3" s="18"/>
      <c r="B3" s="57" t="s">
        <v>21</v>
      </c>
      <c r="C3" s="57" t="s">
        <v>23</v>
      </c>
      <c r="D3" s="57" t="s">
        <v>19</v>
      </c>
    </row>
    <row r="4" spans="1:8" x14ac:dyDescent="0.25">
      <c r="A4" s="20" t="s">
        <v>84</v>
      </c>
      <c r="B4" s="44">
        <v>2.2645283053576626</v>
      </c>
      <c r="C4" s="45">
        <v>17.371068225912275</v>
      </c>
      <c r="D4" s="45">
        <f t="shared" ref="D4:D12" si="0">SUM(B4:C4)</f>
        <v>19.635596531269936</v>
      </c>
      <c r="F4" s="13"/>
    </row>
    <row r="5" spans="1:8" x14ac:dyDescent="0.25">
      <c r="A5" s="20" t="s">
        <v>22</v>
      </c>
      <c r="B5" s="44">
        <v>5.2215553552389888</v>
      </c>
      <c r="C5" s="44">
        <v>8.8472550354884767</v>
      </c>
      <c r="D5" s="45">
        <f t="shared" si="0"/>
        <v>14.068810390727466</v>
      </c>
    </row>
    <row r="6" spans="1:8" x14ac:dyDescent="0.25">
      <c r="A6" s="20" t="s">
        <v>85</v>
      </c>
      <c r="B6" s="44">
        <v>3.9216012653301324</v>
      </c>
      <c r="C6" s="44">
        <v>3.8461959846372094</v>
      </c>
      <c r="D6" s="45">
        <f t="shared" si="0"/>
        <v>7.7677972499673418</v>
      </c>
    </row>
    <row r="7" spans="1:8" x14ac:dyDescent="0.25">
      <c r="A7" s="20" t="s">
        <v>65</v>
      </c>
      <c r="B7" s="44">
        <v>0.73900652169974479</v>
      </c>
      <c r="C7" s="44">
        <v>4.757488242587832</v>
      </c>
      <c r="D7" s="45">
        <f t="shared" si="0"/>
        <v>5.4964947642875766</v>
      </c>
    </row>
    <row r="8" spans="1:8" x14ac:dyDescent="0.25">
      <c r="A8" s="20" t="s">
        <v>63</v>
      </c>
      <c r="B8" s="44">
        <v>4.0305964521238691</v>
      </c>
      <c r="C8" s="44">
        <v>0.20441569719640382</v>
      </c>
      <c r="D8" s="45">
        <f t="shared" si="0"/>
        <v>4.2350121493202728</v>
      </c>
    </row>
    <row r="9" spans="1:8" x14ac:dyDescent="0.25">
      <c r="A9" s="20" t="s">
        <v>2</v>
      </c>
      <c r="B9" s="44">
        <v>0.91814579945006758</v>
      </c>
      <c r="C9" s="44">
        <v>2.3581296906920843</v>
      </c>
      <c r="D9" s="45">
        <f t="shared" si="0"/>
        <v>3.2762754901421518</v>
      </c>
    </row>
    <row r="10" spans="1:8" x14ac:dyDescent="0.25">
      <c r="A10" s="20" t="s">
        <v>29</v>
      </c>
      <c r="B10" s="44">
        <v>1.9048071265185216</v>
      </c>
      <c r="C10" s="45">
        <v>0.49262722218358806</v>
      </c>
      <c r="D10" s="45">
        <f t="shared" si="0"/>
        <v>2.3974343487021095</v>
      </c>
    </row>
    <row r="11" spans="1:8" x14ac:dyDescent="0.25">
      <c r="A11" s="20" t="s">
        <v>1</v>
      </c>
      <c r="B11" s="44">
        <v>1.4596939637196731</v>
      </c>
      <c r="C11" s="44">
        <v>0.89457756935621091</v>
      </c>
      <c r="D11" s="45">
        <f t="shared" si="0"/>
        <v>2.3542715330758841</v>
      </c>
    </row>
    <row r="12" spans="1:8" x14ac:dyDescent="0.25">
      <c r="A12" s="20" t="s">
        <v>6</v>
      </c>
      <c r="B12" s="44">
        <v>8.1460999999999992E-2</v>
      </c>
      <c r="C12" s="44">
        <v>0.64379724448573272</v>
      </c>
      <c r="D12" s="45">
        <f t="shared" si="0"/>
        <v>0.72525824448573273</v>
      </c>
    </row>
    <row r="13" spans="1:8" x14ac:dyDescent="0.25">
      <c r="A13" s="41" t="s">
        <v>19</v>
      </c>
      <c r="B13" s="82">
        <f>SUM(B4:B12)</f>
        <v>20.541395789438656</v>
      </c>
      <c r="C13" s="82">
        <f>SUM(C4:C12)</f>
        <v>39.415554912539804</v>
      </c>
      <c r="D13" s="82">
        <f t="shared" ref="D13" si="1">SUM(B13:C13)</f>
        <v>59.956950701978457</v>
      </c>
      <c r="G13" s="13" t="s">
        <v>31</v>
      </c>
      <c r="H13" s="13" t="s">
        <v>31</v>
      </c>
    </row>
    <row r="14" spans="1:8" x14ac:dyDescent="0.25">
      <c r="A14" s="80" t="s">
        <v>77</v>
      </c>
      <c r="B14" s="77"/>
      <c r="C14" s="77"/>
      <c r="D14" s="77"/>
      <c r="G14" s="13"/>
      <c r="H14" s="13"/>
    </row>
    <row r="15" spans="1:8" x14ac:dyDescent="0.25">
      <c r="A15" s="80" t="s">
        <v>76</v>
      </c>
      <c r="B15" s="77"/>
      <c r="C15" s="77"/>
      <c r="D15" s="77"/>
      <c r="G15" s="13"/>
      <c r="H15" s="13"/>
    </row>
    <row r="16" spans="1:8" x14ac:dyDescent="0.25">
      <c r="A16" s="38" t="s">
        <v>82</v>
      </c>
      <c r="B16" s="77"/>
      <c r="C16" s="77"/>
      <c r="D16" s="77"/>
      <c r="G16" s="13"/>
      <c r="H16" s="13"/>
    </row>
    <row r="17" spans="1:8" x14ac:dyDescent="0.25">
      <c r="A17" s="38" t="s">
        <v>83</v>
      </c>
      <c r="B17" s="77"/>
      <c r="C17" s="77"/>
      <c r="D17" s="77"/>
      <c r="G17" s="13"/>
      <c r="H17" s="13"/>
    </row>
    <row r="18" spans="1:8" x14ac:dyDescent="0.25">
      <c r="A18" s="81" t="s">
        <v>60</v>
      </c>
    </row>
    <row r="19" spans="1:8" x14ac:dyDescent="0.25">
      <c r="A19" s="81"/>
    </row>
  </sheetData>
  <sortState xmlns:xlrd2="http://schemas.microsoft.com/office/spreadsheetml/2017/richdata2" ref="A4:D12">
    <sortCondition descending="1" ref="D4:D12"/>
  </sortState>
  <pageMargins left="0.7" right="0.7" top="0.75" bottom="0.75" header="0.3" footer="0.3"/>
  <pageSetup paperSize="9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Feuil5"/>
  <dimension ref="A1:AB31"/>
  <sheetViews>
    <sheetView showGridLines="0" zoomScaleNormal="100" workbookViewId="0"/>
  </sheetViews>
  <sheetFormatPr baseColWidth="10" defaultColWidth="11.44140625" defaultRowHeight="13.8" x14ac:dyDescent="0.25"/>
  <cols>
    <col min="1" max="1" width="40" style="6" customWidth="1"/>
    <col min="2" max="2" width="11.109375" style="6" bestFit="1" customWidth="1"/>
    <col min="3" max="23" width="9.33203125" style="6" customWidth="1"/>
    <col min="24" max="24" width="12.5546875" style="6" customWidth="1"/>
    <col min="25" max="16384" width="11.44140625" style="6"/>
  </cols>
  <sheetData>
    <row r="1" spans="1:28" ht="15" customHeight="1" x14ac:dyDescent="0.25">
      <c r="A1" s="32" t="s">
        <v>72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</row>
    <row r="2" spans="1:28" x14ac:dyDescent="0.25">
      <c r="A2" s="85" t="s">
        <v>20</v>
      </c>
      <c r="B2" s="17"/>
      <c r="C2" s="17"/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7"/>
      <c r="R2" s="17"/>
      <c r="S2" s="17"/>
      <c r="T2" s="17"/>
      <c r="U2" s="17"/>
      <c r="V2" s="17"/>
      <c r="W2" s="17"/>
      <c r="X2" s="17"/>
    </row>
    <row r="3" spans="1:28" ht="27.75" customHeight="1" x14ac:dyDescent="0.25">
      <c r="A3" s="59"/>
      <c r="B3" s="62" t="s">
        <v>24</v>
      </c>
      <c r="C3" s="63">
        <v>2001</v>
      </c>
      <c r="D3" s="63">
        <v>2002</v>
      </c>
      <c r="E3" s="63">
        <v>2003</v>
      </c>
      <c r="F3" s="63">
        <v>2004</v>
      </c>
      <c r="G3" s="63">
        <v>2005</v>
      </c>
      <c r="H3" s="63">
        <v>2006</v>
      </c>
      <c r="I3" s="63">
        <v>2007</v>
      </c>
      <c r="J3" s="63">
        <v>2008</v>
      </c>
      <c r="K3" s="63">
        <v>2009</v>
      </c>
      <c r="L3" s="63">
        <v>2010</v>
      </c>
      <c r="M3" s="63">
        <v>2011</v>
      </c>
      <c r="N3" s="63">
        <v>2012</v>
      </c>
      <c r="O3" s="63">
        <v>2013</v>
      </c>
      <c r="P3" s="63">
        <v>2014</v>
      </c>
      <c r="Q3" s="63">
        <v>2015</v>
      </c>
      <c r="R3" s="63">
        <v>2016</v>
      </c>
      <c r="S3" s="63">
        <v>2017</v>
      </c>
      <c r="T3" s="63">
        <v>2018</v>
      </c>
      <c r="U3" s="63">
        <v>2019</v>
      </c>
      <c r="V3" s="63">
        <v>2020</v>
      </c>
      <c r="W3" s="63">
        <v>2021</v>
      </c>
      <c r="X3" s="62" t="s">
        <v>67</v>
      </c>
    </row>
    <row r="4" spans="1:28" s="92" customFormat="1" ht="14.25" customHeight="1" x14ac:dyDescent="0.3">
      <c r="A4" s="88" t="s">
        <v>22</v>
      </c>
      <c r="B4" s="89">
        <v>3.825069113438353</v>
      </c>
      <c r="C4" s="90">
        <v>4.0546772154326698</v>
      </c>
      <c r="D4" s="90">
        <v>4.4261094835608166</v>
      </c>
      <c r="E4" s="90">
        <v>4.589368243844973</v>
      </c>
      <c r="F4" s="90">
        <v>4.5613422626567264</v>
      </c>
      <c r="G4" s="90">
        <v>4.8379589525558027</v>
      </c>
      <c r="H4" s="90">
        <v>5.2779395851464024</v>
      </c>
      <c r="I4" s="90">
        <v>5.5612946959459117</v>
      </c>
      <c r="J4" s="90">
        <v>5.5439204951887442</v>
      </c>
      <c r="K4" s="90">
        <v>5.367557434686324</v>
      </c>
      <c r="L4" s="90">
        <v>5.2122264732128745</v>
      </c>
      <c r="M4" s="90">
        <v>5.0799381558765244</v>
      </c>
      <c r="N4" s="90">
        <v>4.9763547962885459</v>
      </c>
      <c r="O4" s="90">
        <v>5.0164088992807798</v>
      </c>
      <c r="P4" s="90">
        <v>4.7082077335456685</v>
      </c>
      <c r="Q4" s="90">
        <v>4.4254990767468732</v>
      </c>
      <c r="R4" s="90">
        <v>4.4940883650819856</v>
      </c>
      <c r="S4" s="90">
        <v>4.8304927143746417</v>
      </c>
      <c r="T4" s="90">
        <v>4.881988048506015</v>
      </c>
      <c r="U4" s="90">
        <v>5.0848762205829088</v>
      </c>
      <c r="V4" s="90">
        <v>4.4965965816452993</v>
      </c>
      <c r="W4" s="90">
        <v>5.2215553552389888</v>
      </c>
      <c r="X4" s="89">
        <f t="shared" ref="X4:X12" si="0">W4-B4</f>
        <v>1.3964862418006359</v>
      </c>
      <c r="Y4" s="91">
        <f>+W4/V4-1</f>
        <v>0.161223885761268</v>
      </c>
      <c r="Z4" s="100">
        <f>+W4-V4</f>
        <v>0.72495877359368954</v>
      </c>
      <c r="AB4" s="93"/>
    </row>
    <row r="5" spans="1:28" s="92" customFormat="1" ht="14.25" customHeight="1" x14ac:dyDescent="0.3">
      <c r="A5" s="88" t="s">
        <v>63</v>
      </c>
      <c r="B5" s="89">
        <v>2.8229894379753224</v>
      </c>
      <c r="C5" s="90">
        <v>2.0555302016190611</v>
      </c>
      <c r="D5" s="90">
        <v>2.1202881188244729</v>
      </c>
      <c r="E5" s="90">
        <v>2.2073778600135072</v>
      </c>
      <c r="F5" s="90">
        <v>2.2676908261258855</v>
      </c>
      <c r="G5" s="90">
        <v>2.5955018717639993</v>
      </c>
      <c r="H5" s="90">
        <v>2.2631980513979753</v>
      </c>
      <c r="I5" s="90">
        <v>2.2989457681481111</v>
      </c>
      <c r="J5" s="90">
        <v>2.7986873240317469</v>
      </c>
      <c r="K5" s="90">
        <v>3.1148190580752795</v>
      </c>
      <c r="L5" s="90">
        <v>3.2014831857737285</v>
      </c>
      <c r="M5" s="90">
        <v>3.6439114767855298</v>
      </c>
      <c r="N5" s="90">
        <v>3.7752205900992779</v>
      </c>
      <c r="O5" s="90">
        <v>3.9008836802452524</v>
      </c>
      <c r="P5" s="90">
        <v>3.8680541126232324</v>
      </c>
      <c r="Q5" s="90">
        <v>3.8480154797533905</v>
      </c>
      <c r="R5" s="90">
        <v>3.6698994361523556</v>
      </c>
      <c r="S5" s="90">
        <v>3.6096491619305078</v>
      </c>
      <c r="T5" s="90">
        <v>3.411905696113704</v>
      </c>
      <c r="U5" s="90">
        <v>3.5063537963646652</v>
      </c>
      <c r="V5" s="90">
        <v>3.2578284408318408</v>
      </c>
      <c r="W5" s="90">
        <v>4.0305964521238691</v>
      </c>
      <c r="X5" s="89">
        <f t="shared" si="0"/>
        <v>1.2076070141485467</v>
      </c>
      <c r="Y5" s="91">
        <f t="shared" ref="Y5:Y11" si="1">+W5/V5-1</f>
        <v>0.23720340875123336</v>
      </c>
      <c r="Z5" s="100">
        <f>+W5-V5</f>
        <v>0.77276801129202832</v>
      </c>
      <c r="AB5" s="93"/>
    </row>
    <row r="6" spans="1:28" s="92" customFormat="1" ht="14.25" customHeight="1" x14ac:dyDescent="0.3">
      <c r="A6" s="88" t="s">
        <v>59</v>
      </c>
      <c r="B6" s="94">
        <v>0.45087236736461173</v>
      </c>
      <c r="C6" s="95">
        <v>0.43549820237105547</v>
      </c>
      <c r="D6" s="95">
        <v>0.42752342965784712</v>
      </c>
      <c r="E6" s="95">
        <v>0.42294150117271057</v>
      </c>
      <c r="F6" s="95">
        <v>0.47717315078817724</v>
      </c>
      <c r="G6" s="95">
        <v>0.66811725878356865</v>
      </c>
      <c r="H6" s="95">
        <v>0.83899773409696876</v>
      </c>
      <c r="I6" s="95">
        <v>0.73727156447127007</v>
      </c>
      <c r="J6" s="95">
        <v>0.9489273086540394</v>
      </c>
      <c r="K6" s="95">
        <v>0.80160367220384598</v>
      </c>
      <c r="L6" s="95">
        <v>0.73915710875560592</v>
      </c>
      <c r="M6" s="95">
        <v>0.70402529686019577</v>
      </c>
      <c r="N6" s="95">
        <v>0.82981455258863945</v>
      </c>
      <c r="O6" s="95">
        <v>0.87098721792393152</v>
      </c>
      <c r="P6" s="95">
        <v>0.84427747726002111</v>
      </c>
      <c r="Q6" s="95">
        <v>0.88664363053755602</v>
      </c>
      <c r="R6" s="95">
        <v>0.88044115140682111</v>
      </c>
      <c r="S6" s="95">
        <v>1.0743848088856436</v>
      </c>
      <c r="T6" s="95">
        <v>1.3254249221973802</v>
      </c>
      <c r="U6" s="95">
        <v>1.7451302916353948</v>
      </c>
      <c r="V6" s="90">
        <v>2.8092063606944833</v>
      </c>
      <c r="W6" s="90">
        <v>3.9216012653301324</v>
      </c>
      <c r="X6" s="89">
        <f t="shared" si="0"/>
        <v>3.4707288979655209</v>
      </c>
      <c r="Y6" s="91">
        <f t="shared" si="1"/>
        <v>0.39598191154623708</v>
      </c>
      <c r="Z6" s="100">
        <f t="shared" ref="Z6:Z12" si="2">+W6-V6</f>
        <v>1.1123949046356492</v>
      </c>
      <c r="AB6" s="93"/>
    </row>
    <row r="7" spans="1:28" s="92" customFormat="1" ht="14.25" customHeight="1" x14ac:dyDescent="0.3">
      <c r="A7" s="88" t="s">
        <v>28</v>
      </c>
      <c r="B7" s="96">
        <v>1.2800291633386818</v>
      </c>
      <c r="C7" s="90">
        <v>1.3634773050291418</v>
      </c>
      <c r="D7" s="90">
        <v>1.4319805946271809</v>
      </c>
      <c r="E7" s="90">
        <v>1.4490253897393677</v>
      </c>
      <c r="F7" s="90">
        <v>1.6516834123020669</v>
      </c>
      <c r="G7" s="90">
        <v>1.9808101772474858</v>
      </c>
      <c r="H7" s="90">
        <v>2.0585738728130165</v>
      </c>
      <c r="I7" s="90">
        <v>1.8656086409131818</v>
      </c>
      <c r="J7" s="90">
        <v>1.6729926105165707</v>
      </c>
      <c r="K7" s="90">
        <v>1.9149992438717529</v>
      </c>
      <c r="L7" s="90">
        <v>1.9982260083144909</v>
      </c>
      <c r="M7" s="90">
        <v>2.0138852570223134</v>
      </c>
      <c r="N7" s="90">
        <v>1.9108871087066859</v>
      </c>
      <c r="O7" s="90">
        <v>1.9513575084634187</v>
      </c>
      <c r="P7" s="90">
        <v>1.9592022158955293</v>
      </c>
      <c r="Q7" s="90">
        <v>1.8015530835839837</v>
      </c>
      <c r="R7" s="90">
        <v>1.8097481175886514</v>
      </c>
      <c r="S7" s="90">
        <v>1.8185447734453544</v>
      </c>
      <c r="T7" s="90">
        <v>1.8991006447359673</v>
      </c>
      <c r="U7" s="90">
        <v>2.2877445456573695</v>
      </c>
      <c r="V7" s="90">
        <v>2.0278432337917138</v>
      </c>
      <c r="W7" s="90">
        <v>2.2645283053576626</v>
      </c>
      <c r="X7" s="89">
        <f t="shared" si="0"/>
        <v>0.98449914201898081</v>
      </c>
      <c r="Y7" s="91">
        <f t="shared" si="1"/>
        <v>0.11671763754804099</v>
      </c>
      <c r="Z7" s="100">
        <f t="shared" si="2"/>
        <v>0.23668507156594876</v>
      </c>
    </row>
    <row r="8" spans="1:28" s="92" customFormat="1" ht="14.25" customHeight="1" x14ac:dyDescent="0.3">
      <c r="A8" s="88" t="s">
        <v>29</v>
      </c>
      <c r="B8" s="94">
        <v>0.34894006035576369</v>
      </c>
      <c r="C8" s="95">
        <v>0.43509063014885335</v>
      </c>
      <c r="D8" s="95">
        <v>0.5357427871969126</v>
      </c>
      <c r="E8" s="95">
        <v>0.60346660595012103</v>
      </c>
      <c r="F8" s="95">
        <v>0.68447802766902111</v>
      </c>
      <c r="G8" s="95">
        <v>0.77093887280613571</v>
      </c>
      <c r="H8" s="95">
        <v>1.0779897269041463</v>
      </c>
      <c r="I8" s="95">
        <v>1.2206848307401972</v>
      </c>
      <c r="J8" s="95">
        <v>1.2913001821847307</v>
      </c>
      <c r="K8" s="95">
        <v>1.1277221728601861</v>
      </c>
      <c r="L8" s="95">
        <v>1.1217608530896603</v>
      </c>
      <c r="M8" s="95">
        <v>1.1070498405877305</v>
      </c>
      <c r="N8" s="95">
        <v>1.2165178824353873</v>
      </c>
      <c r="O8" s="95">
        <v>1.2000484759108963</v>
      </c>
      <c r="P8" s="95">
        <v>1.0861071008120209</v>
      </c>
      <c r="Q8" s="95">
        <v>1.2125848604005305</v>
      </c>
      <c r="R8" s="95">
        <v>1.2000015560515198</v>
      </c>
      <c r="S8" s="95">
        <v>1.4595161812289204</v>
      </c>
      <c r="T8" s="95">
        <v>1.7830270294914996</v>
      </c>
      <c r="U8" s="95">
        <v>1.9892491974174744</v>
      </c>
      <c r="V8" s="90">
        <v>1.8777837225478196</v>
      </c>
      <c r="W8" s="90">
        <v>1.9048071265185216</v>
      </c>
      <c r="X8" s="89">
        <f t="shared" si="0"/>
        <v>1.5558670661627578</v>
      </c>
      <c r="Y8" s="91">
        <f t="shared" si="1"/>
        <v>1.4391116317717279E-2</v>
      </c>
      <c r="Z8" s="100">
        <f t="shared" si="2"/>
        <v>2.702340397070202E-2</v>
      </c>
    </row>
    <row r="9" spans="1:28" s="92" customFormat="1" ht="14.25" customHeight="1" x14ac:dyDescent="0.3">
      <c r="A9" s="88" t="s">
        <v>1</v>
      </c>
      <c r="B9" s="89">
        <v>0.55804645519476714</v>
      </c>
      <c r="C9" s="90">
        <v>0.68240493677944547</v>
      </c>
      <c r="D9" s="90">
        <v>0.61206720348926325</v>
      </c>
      <c r="E9" s="90">
        <v>0.63945474927360801</v>
      </c>
      <c r="F9" s="90">
        <v>0.60279379508680819</v>
      </c>
      <c r="G9" s="90">
        <v>0.91980737634754917</v>
      </c>
      <c r="H9" s="90">
        <v>0.86560629920198218</v>
      </c>
      <c r="I9" s="90">
        <v>1.1150737473905192</v>
      </c>
      <c r="J9" s="90">
        <v>1.5135988883616729</v>
      </c>
      <c r="K9" s="90">
        <v>1.3049077996752498</v>
      </c>
      <c r="L9" s="90">
        <v>1.1753875193391059</v>
      </c>
      <c r="M9" s="90">
        <v>1.1800011002186226</v>
      </c>
      <c r="N9" s="90">
        <v>1.2399036211462977</v>
      </c>
      <c r="O9" s="90">
        <v>1.1670449592794798</v>
      </c>
      <c r="P9" s="90">
        <v>1.12667434856264</v>
      </c>
      <c r="Q9" s="90">
        <v>1.1053207659008273</v>
      </c>
      <c r="R9" s="90">
        <v>1.1649234754745736</v>
      </c>
      <c r="S9" s="90">
        <v>1.2451027919694388</v>
      </c>
      <c r="T9" s="90">
        <v>1.2327475977222926</v>
      </c>
      <c r="U9" s="90">
        <v>1.2897018800127016</v>
      </c>
      <c r="V9" s="97">
        <v>1.1572270500062753</v>
      </c>
      <c r="W9" s="97">
        <v>1.4596939637196731</v>
      </c>
      <c r="X9" s="89">
        <f t="shared" si="0"/>
        <v>0.90164750852490594</v>
      </c>
      <c r="Y9" s="91">
        <f t="shared" si="1"/>
        <v>0.26137214275431742</v>
      </c>
      <c r="Z9" s="100">
        <f t="shared" si="2"/>
        <v>0.30246691371339773</v>
      </c>
    </row>
    <row r="10" spans="1:28" s="92" customFormat="1" ht="14.25" customHeight="1" x14ac:dyDescent="0.3">
      <c r="A10" s="88" t="s">
        <v>2</v>
      </c>
      <c r="B10" s="89">
        <v>0.64620169523890014</v>
      </c>
      <c r="C10" s="90">
        <v>0.63638091035286415</v>
      </c>
      <c r="D10" s="90">
        <v>0.52792109798240794</v>
      </c>
      <c r="E10" s="90">
        <v>0.52169991001352201</v>
      </c>
      <c r="F10" s="90">
        <v>0.56995537663861662</v>
      </c>
      <c r="G10" s="90">
        <v>0.60662674230063174</v>
      </c>
      <c r="H10" s="90">
        <v>0.6377411395739504</v>
      </c>
      <c r="I10" s="90">
        <v>0.59312228101328568</v>
      </c>
      <c r="J10" s="90">
        <v>0.60296680964827942</v>
      </c>
      <c r="K10" s="90">
        <v>0.60432933150084145</v>
      </c>
      <c r="L10" s="90">
        <v>0.63071627708302391</v>
      </c>
      <c r="M10" s="90">
        <v>0.63671485726617183</v>
      </c>
      <c r="N10" s="90">
        <v>0.68575838239793097</v>
      </c>
      <c r="O10" s="90">
        <v>0.77939876840405575</v>
      </c>
      <c r="P10" s="90">
        <v>0.6850497124566447</v>
      </c>
      <c r="Q10" s="90">
        <v>0.69862885808607023</v>
      </c>
      <c r="R10" s="90">
        <v>0.71765830542821518</v>
      </c>
      <c r="S10" s="90">
        <v>0.72162436047884904</v>
      </c>
      <c r="T10" s="90">
        <v>0.81594963728659264</v>
      </c>
      <c r="U10" s="90">
        <v>0.83351532402220896</v>
      </c>
      <c r="V10" s="90">
        <v>0.77359044117792186</v>
      </c>
      <c r="W10" s="90">
        <v>0.91814579945006758</v>
      </c>
      <c r="X10" s="89">
        <f t="shared" si="0"/>
        <v>0.27194410421116744</v>
      </c>
      <c r="Y10" s="91">
        <f t="shared" si="1"/>
        <v>0.1868629064909797</v>
      </c>
      <c r="Z10" s="100">
        <f t="shared" si="2"/>
        <v>0.14455535827214572</v>
      </c>
    </row>
    <row r="11" spans="1:28" s="92" customFormat="1" ht="14.25" customHeight="1" x14ac:dyDescent="0.3">
      <c r="A11" s="88" t="s">
        <v>65</v>
      </c>
      <c r="B11" s="94">
        <v>0.3569990959493331</v>
      </c>
      <c r="C11" s="95">
        <v>0.36644729306266149</v>
      </c>
      <c r="D11" s="95">
        <v>0.43003262400034936</v>
      </c>
      <c r="E11" s="95">
        <v>0.44085078427669405</v>
      </c>
      <c r="F11" s="95">
        <v>0.49713085598631485</v>
      </c>
      <c r="G11" s="95">
        <v>0.66129885234084373</v>
      </c>
      <c r="H11" s="95">
        <v>0.33004649243299911</v>
      </c>
      <c r="I11" s="95">
        <v>0.35565511950573836</v>
      </c>
      <c r="J11" s="95">
        <v>0.44286751274345443</v>
      </c>
      <c r="K11" s="95">
        <v>0.37527501015778608</v>
      </c>
      <c r="L11" s="95">
        <v>0.38168422596774193</v>
      </c>
      <c r="M11" s="95">
        <v>0.49202829033854967</v>
      </c>
      <c r="N11" s="95">
        <v>0.48718892620703602</v>
      </c>
      <c r="O11" s="95">
        <v>0.51313511939793799</v>
      </c>
      <c r="P11" s="95">
        <v>0.500836781463327</v>
      </c>
      <c r="Q11" s="95">
        <v>0.47940428090864329</v>
      </c>
      <c r="R11" s="95">
        <v>0.39665545103952432</v>
      </c>
      <c r="S11" s="95">
        <v>0.43735272596715741</v>
      </c>
      <c r="T11" s="95">
        <v>0.52500519040254423</v>
      </c>
      <c r="U11" s="95">
        <v>0.64881224215285371</v>
      </c>
      <c r="V11" s="90">
        <v>0.57097189032716533</v>
      </c>
      <c r="W11" s="90">
        <v>0.73900652169974479</v>
      </c>
      <c r="X11" s="89">
        <f t="shared" si="0"/>
        <v>0.38200742575041169</v>
      </c>
      <c r="Y11" s="91">
        <f t="shared" si="1"/>
        <v>0.29429580373264264</v>
      </c>
      <c r="Z11" s="100">
        <f t="shared" si="2"/>
        <v>0.16803463137257946</v>
      </c>
    </row>
    <row r="12" spans="1:28" s="92" customFormat="1" ht="14.25" customHeight="1" x14ac:dyDescent="0.3">
      <c r="A12" s="88" t="s">
        <v>6</v>
      </c>
      <c r="B12" s="94">
        <v>6.2867740963719665E-2</v>
      </c>
      <c r="C12" s="95">
        <v>5.9389929376005735E-2</v>
      </c>
      <c r="D12" s="95">
        <v>4.5981932773109253E-2</v>
      </c>
      <c r="E12" s="95">
        <v>5.8299999999999998E-2</v>
      </c>
      <c r="F12" s="95">
        <v>6.9600000000000009E-2</v>
      </c>
      <c r="G12" s="95">
        <v>7.4900000000000008E-2</v>
      </c>
      <c r="H12" s="95">
        <v>9.5000000000000001E-2</v>
      </c>
      <c r="I12" s="95">
        <v>7.4087559679790027E-2</v>
      </c>
      <c r="J12" s="95">
        <v>8.4950717619999991E-2</v>
      </c>
      <c r="K12" s="95">
        <v>9.8639915459999991E-2</v>
      </c>
      <c r="L12" s="95">
        <v>8.3797947910000004E-2</v>
      </c>
      <c r="M12" s="95">
        <v>6.8393788379999987E-2</v>
      </c>
      <c r="N12" s="95">
        <v>6.6679409000000009E-2</v>
      </c>
      <c r="O12" s="95">
        <v>6.3780000000000003E-2</v>
      </c>
      <c r="P12" s="95">
        <v>6.4792000000000002E-2</v>
      </c>
      <c r="Q12" s="95">
        <v>9.3280000000000002E-2</v>
      </c>
      <c r="R12" s="95">
        <v>9.2061999999999991E-2</v>
      </c>
      <c r="S12" s="95">
        <v>8.4051000000000001E-2</v>
      </c>
      <c r="T12" s="95">
        <v>0.10254200000000001</v>
      </c>
      <c r="U12" s="95">
        <v>9.964444319999996E-2</v>
      </c>
      <c r="V12" s="98">
        <v>6.0324474399999987E-2</v>
      </c>
      <c r="W12" s="98">
        <v>8.1460999999999992E-2</v>
      </c>
      <c r="X12" s="89">
        <f t="shared" si="0"/>
        <v>1.8593259036280327E-2</v>
      </c>
      <c r="Y12" s="91">
        <f>+W12/V12-1</f>
        <v>0.35038060107822511</v>
      </c>
      <c r="Z12" s="100">
        <f t="shared" si="2"/>
        <v>2.1136525600000004E-2</v>
      </c>
    </row>
    <row r="13" spans="1:28" s="92" customFormat="1" ht="14.25" customHeight="1" x14ac:dyDescent="0.3">
      <c r="A13" s="99" t="s">
        <v>19</v>
      </c>
      <c r="B13" s="89">
        <f t="shared" ref="B13:X13" si="3">SUM(B4:B12)</f>
        <v>10.352015129819453</v>
      </c>
      <c r="C13" s="89">
        <f t="shared" si="3"/>
        <v>10.088896624171758</v>
      </c>
      <c r="D13" s="89">
        <f t="shared" si="3"/>
        <v>10.557647272112359</v>
      </c>
      <c r="E13" s="89">
        <f t="shared" si="3"/>
        <v>10.932485044284503</v>
      </c>
      <c r="F13" s="89">
        <f t="shared" si="3"/>
        <v>11.381847707253618</v>
      </c>
      <c r="G13" s="89">
        <f t="shared" si="3"/>
        <v>13.115960104146017</v>
      </c>
      <c r="H13" s="89">
        <f t="shared" si="3"/>
        <v>13.44509290156744</v>
      </c>
      <c r="I13" s="89">
        <f t="shared" si="3"/>
        <v>13.821744207808004</v>
      </c>
      <c r="J13" s="89">
        <f t="shared" si="3"/>
        <v>14.900211848949239</v>
      </c>
      <c r="K13" s="89">
        <f t="shared" si="3"/>
        <v>14.709853638491266</v>
      </c>
      <c r="L13" s="89">
        <f t="shared" si="3"/>
        <v>14.544439599446234</v>
      </c>
      <c r="M13" s="89">
        <f t="shared" si="3"/>
        <v>14.925948063335637</v>
      </c>
      <c r="N13" s="89">
        <f t="shared" si="3"/>
        <v>15.188325268869798</v>
      </c>
      <c r="O13" s="89">
        <f t="shared" si="3"/>
        <v>15.463044628905751</v>
      </c>
      <c r="P13" s="89">
        <f t="shared" si="3"/>
        <v>14.843201482619085</v>
      </c>
      <c r="Q13" s="89">
        <f t="shared" si="3"/>
        <v>14.550930035917876</v>
      </c>
      <c r="R13" s="89">
        <f t="shared" si="3"/>
        <v>14.425477858223646</v>
      </c>
      <c r="S13" s="89">
        <f t="shared" si="3"/>
        <v>15.280718518280514</v>
      </c>
      <c r="T13" s="89">
        <f t="shared" si="3"/>
        <v>15.977690766455995</v>
      </c>
      <c r="U13" s="89">
        <f t="shared" si="3"/>
        <v>17.485027941045576</v>
      </c>
      <c r="V13" s="89">
        <f t="shared" si="3"/>
        <v>17.03137219542252</v>
      </c>
      <c r="W13" s="89">
        <f t="shared" si="3"/>
        <v>20.54139578943866</v>
      </c>
      <c r="X13" s="89">
        <f t="shared" si="3"/>
        <v>10.189380659619207</v>
      </c>
      <c r="Y13" s="91"/>
    </row>
    <row r="14" spans="1:28" ht="17.25" customHeight="1" x14ac:dyDescent="0.25">
      <c r="A14" s="80" t="s">
        <v>77</v>
      </c>
      <c r="B14" s="78"/>
      <c r="C14" s="78"/>
      <c r="D14" s="78"/>
      <c r="E14" s="78"/>
      <c r="F14" s="78"/>
      <c r="G14" s="78"/>
      <c r="H14" s="78"/>
      <c r="I14" s="78"/>
      <c r="J14" s="78"/>
      <c r="K14" s="78"/>
      <c r="L14" s="78"/>
      <c r="M14" s="78"/>
      <c r="N14" s="78"/>
      <c r="O14" s="78"/>
      <c r="P14" s="78"/>
      <c r="Q14" s="78"/>
      <c r="R14" s="78"/>
      <c r="S14" s="78"/>
      <c r="T14" s="78"/>
      <c r="U14" s="78"/>
      <c r="V14" s="78"/>
      <c r="W14" s="78"/>
      <c r="X14" s="78"/>
      <c r="Y14" s="15"/>
    </row>
    <row r="15" spans="1:28" s="30" customFormat="1" ht="15" customHeight="1" x14ac:dyDescent="0.25">
      <c r="A15" s="80" t="s">
        <v>76</v>
      </c>
      <c r="W15" s="101"/>
    </row>
    <row r="16" spans="1:28" s="30" customFormat="1" ht="15" customHeight="1" x14ac:dyDescent="0.25">
      <c r="A16" s="38" t="s">
        <v>82</v>
      </c>
      <c r="W16" s="101"/>
    </row>
    <row r="17" spans="1:23" s="30" customFormat="1" ht="15" customHeight="1" x14ac:dyDescent="0.25">
      <c r="A17" s="38" t="s">
        <v>83</v>
      </c>
      <c r="W17" s="101"/>
    </row>
    <row r="18" spans="1:23" s="30" customFormat="1" x14ac:dyDescent="0.25">
      <c r="A18" s="81" t="s">
        <v>60</v>
      </c>
      <c r="W18" s="101"/>
    </row>
    <row r="19" spans="1:23" s="30" customFormat="1" x14ac:dyDescent="0.25">
      <c r="A19" s="60"/>
      <c r="W19" s="101"/>
    </row>
    <row r="20" spans="1:23" s="30" customFormat="1" x14ac:dyDescent="0.25">
      <c r="A20" s="69"/>
      <c r="B20" s="87"/>
      <c r="C20" s="87"/>
      <c r="D20" s="87"/>
      <c r="E20" s="87"/>
      <c r="F20" s="87"/>
      <c r="G20" s="87"/>
      <c r="H20" s="87"/>
      <c r="I20" s="87"/>
      <c r="J20" s="87"/>
      <c r="K20" s="87"/>
      <c r="L20" s="87"/>
      <c r="M20" s="87"/>
      <c r="N20" s="87"/>
      <c r="O20" s="87"/>
      <c r="P20" s="87"/>
      <c r="Q20" s="87"/>
      <c r="R20" s="87"/>
      <c r="S20" s="87"/>
      <c r="T20" s="87"/>
      <c r="U20" s="87"/>
      <c r="V20" s="87"/>
      <c r="W20" s="101"/>
    </row>
    <row r="21" spans="1:23" x14ac:dyDescent="0.25">
      <c r="W21" s="101"/>
    </row>
    <row r="22" spans="1:23" x14ac:dyDescent="0.25">
      <c r="N22" s="30"/>
      <c r="O22" s="30"/>
      <c r="P22" s="30"/>
      <c r="Q22" s="30"/>
      <c r="R22" s="30"/>
      <c r="S22" s="30"/>
      <c r="T22" s="30"/>
      <c r="U22" s="30"/>
      <c r="V22" s="30"/>
      <c r="W22" s="101"/>
    </row>
    <row r="23" spans="1:23" x14ac:dyDescent="0.25">
      <c r="W23" s="101"/>
    </row>
    <row r="24" spans="1:23" x14ac:dyDescent="0.25">
      <c r="N24" s="30"/>
      <c r="O24" s="30"/>
      <c r="P24" s="30"/>
      <c r="Q24" s="30"/>
      <c r="R24" s="30"/>
      <c r="S24" s="30"/>
      <c r="T24" s="30"/>
      <c r="U24" s="30"/>
      <c r="V24" s="30"/>
      <c r="W24" s="101"/>
    </row>
    <row r="25" spans="1:23" x14ac:dyDescent="0.25">
      <c r="W25" s="101"/>
    </row>
    <row r="26" spans="1:23" x14ac:dyDescent="0.25">
      <c r="N26" s="30"/>
      <c r="O26" s="30"/>
      <c r="P26" s="30"/>
      <c r="Q26" s="30"/>
      <c r="R26" s="30"/>
      <c r="S26" s="30"/>
      <c r="T26" s="30"/>
      <c r="U26" s="30"/>
      <c r="V26" s="30"/>
      <c r="W26" s="101"/>
    </row>
    <row r="27" spans="1:23" x14ac:dyDescent="0.25">
      <c r="W27" s="101"/>
    </row>
    <row r="28" spans="1:23" x14ac:dyDescent="0.25">
      <c r="N28" s="30"/>
      <c r="O28" s="30"/>
      <c r="P28" s="30"/>
      <c r="Q28" s="30"/>
      <c r="R28" s="30"/>
      <c r="S28" s="30"/>
      <c r="T28" s="30"/>
      <c r="U28" s="30"/>
      <c r="V28" s="30"/>
      <c r="W28" s="101"/>
    </row>
    <row r="29" spans="1:23" x14ac:dyDescent="0.25">
      <c r="W29" s="101"/>
    </row>
    <row r="30" spans="1:23" x14ac:dyDescent="0.25">
      <c r="N30" s="30"/>
      <c r="O30" s="30"/>
      <c r="P30" s="30"/>
      <c r="Q30" s="30"/>
      <c r="R30" s="30"/>
      <c r="S30" s="30"/>
      <c r="T30" s="30"/>
      <c r="U30" s="30"/>
      <c r="V30" s="30"/>
      <c r="W30" s="101"/>
    </row>
    <row r="31" spans="1:23" x14ac:dyDescent="0.25">
      <c r="W31" s="101"/>
    </row>
  </sheetData>
  <sortState xmlns:xlrd2="http://schemas.microsoft.com/office/spreadsheetml/2017/richdata2" ref="A4:X12">
    <sortCondition descending="1" ref="W4:W12"/>
  </sortState>
  <pageMargins left="0.7" right="0.7" top="0.75" bottom="0.75" header="0.3" footer="0.3"/>
  <pageSetup paperSize="9" orientation="portrait" r:id="rId1"/>
  <ignoredErrors>
    <ignoredError sqref="H13" formulaRange="1"/>
  </ignoredErrors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Feuil6"/>
  <dimension ref="A1:AA20"/>
  <sheetViews>
    <sheetView zoomScaleNormal="100" workbookViewId="0"/>
  </sheetViews>
  <sheetFormatPr baseColWidth="10" defaultColWidth="11.44140625" defaultRowHeight="13.8" x14ac:dyDescent="0.25"/>
  <cols>
    <col min="1" max="1" width="54.5546875" style="6" customWidth="1"/>
    <col min="2" max="23" width="8.6640625" style="6" customWidth="1"/>
    <col min="24" max="16384" width="11.44140625" style="6"/>
  </cols>
  <sheetData>
    <row r="1" spans="1:27" x14ac:dyDescent="0.25">
      <c r="A1" s="32" t="s">
        <v>73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</row>
    <row r="2" spans="1:27" s="18" customFormat="1" ht="13.2" x14ac:dyDescent="0.25">
      <c r="A2" s="64" t="s">
        <v>20</v>
      </c>
      <c r="B2" s="21"/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21"/>
      <c r="P2" s="21"/>
      <c r="Q2" s="21"/>
      <c r="R2" s="21"/>
      <c r="S2" s="21"/>
      <c r="T2" s="21"/>
      <c r="U2" s="21"/>
      <c r="V2" s="21"/>
      <c r="W2" s="21"/>
    </row>
    <row r="3" spans="1:27" s="18" customFormat="1" ht="32.25" customHeight="1" x14ac:dyDescent="0.25">
      <c r="A3" s="59"/>
      <c r="B3" s="62">
        <v>2000</v>
      </c>
      <c r="C3" s="63">
        <v>2001</v>
      </c>
      <c r="D3" s="63">
        <v>2002</v>
      </c>
      <c r="E3" s="63">
        <v>2003</v>
      </c>
      <c r="F3" s="63">
        <v>2004</v>
      </c>
      <c r="G3" s="63">
        <v>2005</v>
      </c>
      <c r="H3" s="63">
        <v>2006</v>
      </c>
      <c r="I3" s="63">
        <v>2007</v>
      </c>
      <c r="J3" s="63">
        <v>2008</v>
      </c>
      <c r="K3" s="63">
        <v>2009</v>
      </c>
      <c r="L3" s="63">
        <v>2010</v>
      </c>
      <c r="M3" s="63">
        <v>2011</v>
      </c>
      <c r="N3" s="63">
        <v>2012</v>
      </c>
      <c r="O3" s="63">
        <v>2013</v>
      </c>
      <c r="P3" s="63">
        <v>2014</v>
      </c>
      <c r="Q3" s="63">
        <v>2015</v>
      </c>
      <c r="R3" s="63">
        <v>2016</v>
      </c>
      <c r="S3" s="63">
        <v>2017</v>
      </c>
      <c r="T3" s="63">
        <v>2018</v>
      </c>
      <c r="U3" s="63">
        <v>2019</v>
      </c>
      <c r="V3" s="63">
        <v>2020</v>
      </c>
      <c r="W3" s="63">
        <v>2021</v>
      </c>
      <c r="X3" s="62" t="s">
        <v>67</v>
      </c>
    </row>
    <row r="4" spans="1:27" s="18" customFormat="1" ht="14.25" customHeight="1" x14ac:dyDescent="0.25">
      <c r="A4" s="20" t="s">
        <v>84</v>
      </c>
      <c r="B4" s="61">
        <v>7.7621810662532154</v>
      </c>
      <c r="C4" s="55">
        <v>8.0612798106413734</v>
      </c>
      <c r="D4" s="55">
        <v>8.6369034304616221</v>
      </c>
      <c r="E4" s="55">
        <v>8.9330147677177614</v>
      </c>
      <c r="F4" s="55">
        <v>9.0972493615903929</v>
      </c>
      <c r="G4" s="55">
        <v>10.015708497884384</v>
      </c>
      <c r="H4" s="55">
        <v>11.013436110084848</v>
      </c>
      <c r="I4" s="55">
        <v>12.132202723619177</v>
      </c>
      <c r="J4" s="55">
        <v>12.067733489218607</v>
      </c>
      <c r="K4" s="55">
        <v>11.337607960839875</v>
      </c>
      <c r="L4" s="55">
        <v>11.808551586473815</v>
      </c>
      <c r="M4" s="55">
        <v>12.507985652450134</v>
      </c>
      <c r="N4" s="55">
        <v>13.099867158350468</v>
      </c>
      <c r="O4" s="55">
        <v>13.48654098677099</v>
      </c>
      <c r="P4" s="55">
        <v>13.911808975270453</v>
      </c>
      <c r="Q4" s="55">
        <v>13.965030236269659</v>
      </c>
      <c r="R4" s="55">
        <v>14.387893942650216</v>
      </c>
      <c r="S4" s="55">
        <v>14.737911577241919</v>
      </c>
      <c r="T4" s="55">
        <v>15.740364095317972</v>
      </c>
      <c r="U4" s="55">
        <v>16.283603427027462</v>
      </c>
      <c r="V4" s="55">
        <v>16.370909037689611</v>
      </c>
      <c r="W4" s="45">
        <v>17.371068225912275</v>
      </c>
      <c r="X4" s="61">
        <f t="shared" ref="X4:X12" si="0">W4-B4</f>
        <v>9.6088871596590586</v>
      </c>
      <c r="Y4" s="23">
        <f>V4/$V$13</f>
        <v>0.44369843388240093</v>
      </c>
      <c r="Z4" s="23"/>
      <c r="AA4" s="25"/>
    </row>
    <row r="5" spans="1:27" s="18" customFormat="1" ht="14.25" customHeight="1" x14ac:dyDescent="0.25">
      <c r="A5" s="20" t="s">
        <v>22</v>
      </c>
      <c r="B5" s="61">
        <v>5.061797807835517</v>
      </c>
      <c r="C5" s="55">
        <v>5.3067879455925695</v>
      </c>
      <c r="D5" s="55">
        <v>5.4611569529254949</v>
      </c>
      <c r="E5" s="55">
        <v>5.4643632357789151</v>
      </c>
      <c r="F5" s="55">
        <v>5.6187360769217367</v>
      </c>
      <c r="G5" s="55">
        <v>6.1047348076403365</v>
      </c>
      <c r="H5" s="55">
        <v>6.2131241734811917</v>
      </c>
      <c r="I5" s="55">
        <v>6.3465400273285981</v>
      </c>
      <c r="J5" s="55">
        <v>6.8016338445166822</v>
      </c>
      <c r="K5" s="55">
        <v>6.9835941424399923</v>
      </c>
      <c r="L5" s="55">
        <v>7.1820872912573241</v>
      </c>
      <c r="M5" s="55">
        <v>7.5229491351987798</v>
      </c>
      <c r="N5" s="55">
        <v>7.6390548748592737</v>
      </c>
      <c r="O5" s="55">
        <v>7.8835461905680866</v>
      </c>
      <c r="P5" s="55">
        <v>7.8918355023018201</v>
      </c>
      <c r="Q5" s="55">
        <v>8.1405351001271402</v>
      </c>
      <c r="R5" s="55">
        <v>8.1413035759146659</v>
      </c>
      <c r="S5" s="55">
        <v>8.4828829743288789</v>
      </c>
      <c r="T5" s="55">
        <v>8.5297439780314122</v>
      </c>
      <c r="U5" s="55">
        <v>8.6901601558101458</v>
      </c>
      <c r="V5" s="55">
        <v>8.6387280500193988</v>
      </c>
      <c r="W5" s="44">
        <v>8.8472550354884767</v>
      </c>
      <c r="X5" s="61">
        <f t="shared" si="0"/>
        <v>3.7854572276529597</v>
      </c>
      <c r="Y5" s="23">
        <f>V5/$V$13</f>
        <v>0.23413422539366305</v>
      </c>
    </row>
    <row r="6" spans="1:27" s="18" customFormat="1" ht="14.25" customHeight="1" x14ac:dyDescent="0.25">
      <c r="A6" s="20" t="s">
        <v>65</v>
      </c>
      <c r="B6" s="61">
        <v>1.4990299281179986</v>
      </c>
      <c r="C6" s="55">
        <v>1.9031671549119014</v>
      </c>
      <c r="D6" s="55">
        <v>2.1690056899573791</v>
      </c>
      <c r="E6" s="55">
        <v>2.1850900293224385</v>
      </c>
      <c r="F6" s="55">
        <v>2.2087133588137462</v>
      </c>
      <c r="G6" s="55">
        <v>2.1774107311284827</v>
      </c>
      <c r="H6" s="55">
        <v>2.5189543025108345</v>
      </c>
      <c r="I6" s="55">
        <v>3.0943932198279875</v>
      </c>
      <c r="J6" s="55">
        <v>3.397197096271078</v>
      </c>
      <c r="K6" s="55">
        <v>3.4286107799008607</v>
      </c>
      <c r="L6" s="55">
        <v>4.4420934051772392</v>
      </c>
      <c r="M6" s="55">
        <v>4.378086765520643</v>
      </c>
      <c r="N6" s="55">
        <v>4.2791279464694991</v>
      </c>
      <c r="O6" s="55">
        <v>4.3426292950072147</v>
      </c>
      <c r="P6" s="55">
        <v>4.2829996362428524</v>
      </c>
      <c r="Q6" s="55">
        <v>4.1581137502225793</v>
      </c>
      <c r="R6" s="55">
        <v>4.2093736151096408</v>
      </c>
      <c r="S6" s="55">
        <v>4.1648386380785816</v>
      </c>
      <c r="T6" s="55">
        <v>4.2913571084480049</v>
      </c>
      <c r="U6" s="55">
        <v>4.3278818788422733</v>
      </c>
      <c r="V6" s="55">
        <v>4.3366949973524482</v>
      </c>
      <c r="W6" s="44">
        <v>4.757488242587832</v>
      </c>
      <c r="X6" s="61">
        <f t="shared" si="0"/>
        <v>3.2584583144698334</v>
      </c>
      <c r="Y6" s="23"/>
    </row>
    <row r="7" spans="1:27" s="18" customFormat="1" ht="14.25" customHeight="1" x14ac:dyDescent="0.25">
      <c r="A7" s="20" t="s">
        <v>85</v>
      </c>
      <c r="B7" s="71">
        <v>1.1157336651857532</v>
      </c>
      <c r="C7" s="51">
        <v>0.98032861504797875</v>
      </c>
      <c r="D7" s="51">
        <v>1.017782173189671</v>
      </c>
      <c r="E7" s="51">
        <v>1.0561528917588014</v>
      </c>
      <c r="F7" s="51">
        <v>1.1119585278593376</v>
      </c>
      <c r="G7" s="51">
        <v>1.2475959732642496</v>
      </c>
      <c r="H7" s="51">
        <v>1.3649703973424756</v>
      </c>
      <c r="I7" s="51">
        <v>1.4148635974120658</v>
      </c>
      <c r="J7" s="51">
        <v>1.6346632937768399</v>
      </c>
      <c r="K7" s="51">
        <v>1.7884961862907329</v>
      </c>
      <c r="L7" s="51">
        <v>1.7809373337078944</v>
      </c>
      <c r="M7" s="51">
        <v>1.5863654772037719</v>
      </c>
      <c r="N7" s="51">
        <v>1.5141838798743918</v>
      </c>
      <c r="O7" s="51">
        <v>1.6336938755847052</v>
      </c>
      <c r="P7" s="51">
        <v>1.5913053389891063</v>
      </c>
      <c r="Q7" s="51">
        <v>1.610498766507102</v>
      </c>
      <c r="R7" s="51">
        <v>1.7154814223456052</v>
      </c>
      <c r="S7" s="51">
        <v>1.8390792678227872</v>
      </c>
      <c r="T7" s="51">
        <v>2.2895811262848604</v>
      </c>
      <c r="U7" s="51">
        <v>2.9575197145857435</v>
      </c>
      <c r="V7" s="51">
        <v>3.3361866621892351</v>
      </c>
      <c r="W7" s="44">
        <v>3.8461959846372094</v>
      </c>
      <c r="X7" s="61">
        <f t="shared" si="0"/>
        <v>2.7304623194514561</v>
      </c>
      <c r="Y7" s="23"/>
    </row>
    <row r="8" spans="1:27" s="18" customFormat="1" ht="14.25" customHeight="1" x14ac:dyDescent="0.25">
      <c r="A8" s="20" t="s">
        <v>2</v>
      </c>
      <c r="B8" s="71">
        <v>0.82780454025330008</v>
      </c>
      <c r="C8" s="51">
        <v>0.88573053564345439</v>
      </c>
      <c r="D8" s="51">
        <v>0.96403862544603314</v>
      </c>
      <c r="E8" s="51">
        <v>1.0268181708757718</v>
      </c>
      <c r="F8" s="51">
        <v>1.0785310613854502</v>
      </c>
      <c r="G8" s="51">
        <v>1.135635544920288</v>
      </c>
      <c r="H8" s="51">
        <v>1.1845944938387181</v>
      </c>
      <c r="I8" s="51">
        <v>1.26803436971651</v>
      </c>
      <c r="J8" s="51">
        <v>1.4682129264083723</v>
      </c>
      <c r="K8" s="51">
        <v>1.5418531959068122</v>
      </c>
      <c r="L8" s="51">
        <v>1.6529879276507649</v>
      </c>
      <c r="M8" s="51">
        <v>1.7434250448195874</v>
      </c>
      <c r="N8" s="51">
        <v>1.8143452459055334</v>
      </c>
      <c r="O8" s="51">
        <v>1.8111147973614714</v>
      </c>
      <c r="P8" s="51">
        <v>1.8358549521033942</v>
      </c>
      <c r="Q8" s="51">
        <v>1.8470421479851424</v>
      </c>
      <c r="R8" s="51">
        <v>1.897426890160907</v>
      </c>
      <c r="S8" s="51">
        <v>1.9272569091012601</v>
      </c>
      <c r="T8" s="51">
        <v>2.0419296939503524</v>
      </c>
      <c r="U8" s="51">
        <v>2.1195804358332273</v>
      </c>
      <c r="V8" s="51">
        <v>2.0994571124985555</v>
      </c>
      <c r="W8" s="44">
        <v>2.3581296906920843</v>
      </c>
      <c r="X8" s="61">
        <f t="shared" si="0"/>
        <v>1.5303251504387843</v>
      </c>
      <c r="Y8" s="23"/>
    </row>
    <row r="9" spans="1:27" s="18" customFormat="1" ht="14.25" customHeight="1" x14ac:dyDescent="0.25">
      <c r="A9" s="20" t="s">
        <v>1</v>
      </c>
      <c r="B9" s="61">
        <v>0.72821948368559408</v>
      </c>
      <c r="C9" s="55">
        <v>0.71934312523769395</v>
      </c>
      <c r="D9" s="55">
        <v>0.69551063669605828</v>
      </c>
      <c r="E9" s="55">
        <v>0.67487536914604473</v>
      </c>
      <c r="F9" s="55">
        <v>0.69346282474615906</v>
      </c>
      <c r="G9" s="55">
        <v>0.71146395778134208</v>
      </c>
      <c r="H9" s="55">
        <v>0.73555063600347659</v>
      </c>
      <c r="I9" s="55">
        <v>0.76644863286821951</v>
      </c>
      <c r="J9" s="55">
        <v>0.79835877733352545</v>
      </c>
      <c r="K9" s="55">
        <v>0.78770143685102201</v>
      </c>
      <c r="L9" s="55">
        <v>0.78088180685789954</v>
      </c>
      <c r="M9" s="55">
        <v>0.80064707132842827</v>
      </c>
      <c r="N9" s="55">
        <v>0.81867301318946339</v>
      </c>
      <c r="O9" s="55">
        <v>0.82520168617735523</v>
      </c>
      <c r="P9" s="55">
        <v>0.82498398719603117</v>
      </c>
      <c r="Q9" s="55">
        <v>0.82077557950466751</v>
      </c>
      <c r="R9" s="55">
        <v>0.79338036889895458</v>
      </c>
      <c r="S9" s="55">
        <v>0.79543908395573937</v>
      </c>
      <c r="T9" s="55">
        <v>0.82728983012779622</v>
      </c>
      <c r="U9" s="55">
        <v>0.84581978725637752</v>
      </c>
      <c r="V9" s="55">
        <v>0.85390276261818643</v>
      </c>
      <c r="W9" s="44">
        <v>0.89457756935621091</v>
      </c>
      <c r="X9" s="61">
        <f t="shared" si="0"/>
        <v>0.16635808567061683</v>
      </c>
      <c r="Y9" s="23"/>
    </row>
    <row r="10" spans="1:27" s="18" customFormat="1" ht="14.25" customHeight="1" x14ac:dyDescent="0.25">
      <c r="A10" s="20" t="s">
        <v>6</v>
      </c>
      <c r="B10" s="71">
        <v>0.48160196186487031</v>
      </c>
      <c r="C10" s="51">
        <v>0.4892722914975981</v>
      </c>
      <c r="D10" s="51">
        <v>0.51365174598464813</v>
      </c>
      <c r="E10" s="51">
        <v>0.52640200000000004</v>
      </c>
      <c r="F10" s="51">
        <v>0.56585200000000013</v>
      </c>
      <c r="G10" s="51">
        <v>0.59132200000000013</v>
      </c>
      <c r="H10" s="51">
        <v>0.614672</v>
      </c>
      <c r="I10" s="51">
        <v>0.60144200000000003</v>
      </c>
      <c r="J10" s="51">
        <v>0.57922470077424437</v>
      </c>
      <c r="K10" s="51">
        <v>0.58269560099999995</v>
      </c>
      <c r="L10" s="51">
        <v>0.64492713417000003</v>
      </c>
      <c r="M10" s="51">
        <v>0.64567668167000003</v>
      </c>
      <c r="N10" s="51">
        <v>0.61285999862424823</v>
      </c>
      <c r="O10" s="51">
        <v>0.57795200000000002</v>
      </c>
      <c r="P10" s="51">
        <v>0.58853600978413945</v>
      </c>
      <c r="Q10" s="51">
        <v>0.54472160000000003</v>
      </c>
      <c r="R10" s="51">
        <v>0.54378895820637152</v>
      </c>
      <c r="S10" s="51">
        <v>0.54813054760763902</v>
      </c>
      <c r="T10" s="51">
        <v>0.57402966114362608</v>
      </c>
      <c r="U10" s="51">
        <v>0.61130148047848998</v>
      </c>
      <c r="V10" s="51">
        <v>0.60682570809339587</v>
      </c>
      <c r="W10" s="44">
        <v>0.64379724448573272</v>
      </c>
      <c r="X10" s="61">
        <f t="shared" si="0"/>
        <v>0.16219528262086241</v>
      </c>
      <c r="Y10" s="23"/>
    </row>
    <row r="11" spans="1:27" s="18" customFormat="1" ht="14.25" customHeight="1" x14ac:dyDescent="0.25">
      <c r="A11" s="20" t="s">
        <v>29</v>
      </c>
      <c r="B11" s="61">
        <v>0.38088086715656821</v>
      </c>
      <c r="C11" s="55">
        <v>0.24712191873331477</v>
      </c>
      <c r="D11" s="55">
        <v>0.2465794440597755</v>
      </c>
      <c r="E11" s="55">
        <v>0.35383147557368932</v>
      </c>
      <c r="F11" s="55">
        <v>0.33251926850349772</v>
      </c>
      <c r="G11" s="55">
        <v>0.36661815406241927</v>
      </c>
      <c r="H11" s="55">
        <v>0.37705839992575718</v>
      </c>
      <c r="I11" s="55">
        <v>0.31007693096127087</v>
      </c>
      <c r="J11" s="55">
        <v>0.36898205222447039</v>
      </c>
      <c r="K11" s="55">
        <v>0.39043589868174555</v>
      </c>
      <c r="L11" s="55">
        <v>0.4013112863705906</v>
      </c>
      <c r="M11" s="55">
        <v>0.44456432341872637</v>
      </c>
      <c r="N11" s="55">
        <v>0.4460252038712727</v>
      </c>
      <c r="O11" s="55">
        <v>0.45062387376575891</v>
      </c>
      <c r="P11" s="55">
        <v>0.43820996938467688</v>
      </c>
      <c r="Q11" s="55">
        <v>0.36747473845247841</v>
      </c>
      <c r="R11" s="55">
        <v>0.39138899602136673</v>
      </c>
      <c r="S11" s="55">
        <v>0.42617859372805084</v>
      </c>
      <c r="T11" s="55">
        <v>0.46411860062398275</v>
      </c>
      <c r="U11" s="55">
        <v>0.50575615733688728</v>
      </c>
      <c r="V11" s="55">
        <v>0.46293374181382579</v>
      </c>
      <c r="W11" s="45">
        <v>0.49262722218358806</v>
      </c>
      <c r="X11" s="61">
        <f t="shared" si="0"/>
        <v>0.11174635502701985</v>
      </c>
      <c r="Y11" s="23"/>
    </row>
    <row r="12" spans="1:27" s="18" customFormat="1" ht="14.25" customHeight="1" x14ac:dyDescent="0.25">
      <c r="A12" s="20" t="s">
        <v>63</v>
      </c>
      <c r="B12" s="61">
        <v>0.13439900184248316</v>
      </c>
      <c r="C12" s="55">
        <v>9.4358017402613598E-2</v>
      </c>
      <c r="D12" s="55">
        <v>9.9267654077520112E-2</v>
      </c>
      <c r="E12" s="55">
        <v>0.10084652659769705</v>
      </c>
      <c r="F12" s="55">
        <v>0.10332219435887237</v>
      </c>
      <c r="G12" s="55">
        <v>0.12295612474362899</v>
      </c>
      <c r="H12" s="55">
        <v>0.10758626116030096</v>
      </c>
      <c r="I12" s="55">
        <v>0.13041723797303956</v>
      </c>
      <c r="J12" s="55">
        <v>0.10393049807231353</v>
      </c>
      <c r="K12" s="55">
        <v>0.11797385784819661</v>
      </c>
      <c r="L12" s="55">
        <v>0.14176829977568334</v>
      </c>
      <c r="M12" s="55">
        <v>0.21873582885476456</v>
      </c>
      <c r="N12" s="55">
        <v>0.1628786778597559</v>
      </c>
      <c r="O12" s="55">
        <v>0.20887881202089034</v>
      </c>
      <c r="P12" s="55">
        <v>0.21647978389598774</v>
      </c>
      <c r="Q12" s="55">
        <v>0.17328066039021198</v>
      </c>
      <c r="R12" s="55">
        <v>0.18993416100644045</v>
      </c>
      <c r="S12" s="55">
        <v>0.14823892140547842</v>
      </c>
      <c r="T12" s="55">
        <v>0.12587050492873972</v>
      </c>
      <c r="U12" s="55">
        <v>0.1393255856983788</v>
      </c>
      <c r="V12" s="55">
        <v>0.19083887591443444</v>
      </c>
      <c r="W12" s="44">
        <v>0.20441569719640382</v>
      </c>
      <c r="X12" s="61">
        <f t="shared" si="0"/>
        <v>7.001669535392066E-2</v>
      </c>
      <c r="Y12" s="23"/>
    </row>
    <row r="13" spans="1:27" s="18" customFormat="1" ht="14.25" customHeight="1" x14ac:dyDescent="0.25">
      <c r="A13" s="41" t="s">
        <v>19</v>
      </c>
      <c r="B13" s="61">
        <f t="shared" ref="B13:V13" si="1">SUM(B4:B12)</f>
        <v>17.991648322195303</v>
      </c>
      <c r="C13" s="61">
        <f t="shared" si="1"/>
        <v>18.687389414708495</v>
      </c>
      <c r="D13" s="61">
        <f t="shared" si="1"/>
        <v>19.803896352798205</v>
      </c>
      <c r="E13" s="61">
        <f t="shared" si="1"/>
        <v>20.321394466771117</v>
      </c>
      <c r="F13" s="61">
        <f t="shared" si="1"/>
        <v>20.810344674179188</v>
      </c>
      <c r="G13" s="61">
        <f t="shared" si="1"/>
        <v>22.473445791425128</v>
      </c>
      <c r="H13" s="61">
        <f t="shared" si="1"/>
        <v>24.129946774347605</v>
      </c>
      <c r="I13" s="61">
        <f t="shared" si="1"/>
        <v>26.064418739706863</v>
      </c>
      <c r="J13" s="61">
        <f t="shared" si="1"/>
        <v>27.219936678596135</v>
      </c>
      <c r="K13" s="61">
        <f t="shared" si="1"/>
        <v>26.958969059759234</v>
      </c>
      <c r="L13" s="61">
        <f t="shared" si="1"/>
        <v>28.835546071441211</v>
      </c>
      <c r="M13" s="61">
        <f t="shared" si="1"/>
        <v>29.848435980464835</v>
      </c>
      <c r="N13" s="61">
        <f t="shared" si="1"/>
        <v>30.387015999003903</v>
      </c>
      <c r="O13" s="61">
        <f t="shared" si="1"/>
        <v>31.220181517256474</v>
      </c>
      <c r="P13" s="61">
        <f t="shared" si="1"/>
        <v>31.582014155168459</v>
      </c>
      <c r="Q13" s="61">
        <f t="shared" si="1"/>
        <v>31.627472579458981</v>
      </c>
      <c r="R13" s="61">
        <f t="shared" si="1"/>
        <v>32.269971930314171</v>
      </c>
      <c r="S13" s="61">
        <f t="shared" si="1"/>
        <v>33.069956513270334</v>
      </c>
      <c r="T13" s="61">
        <f t="shared" si="1"/>
        <v>34.884284598856752</v>
      </c>
      <c r="U13" s="61">
        <f t="shared" si="1"/>
        <v>36.480948622868986</v>
      </c>
      <c r="V13" s="61">
        <f t="shared" si="1"/>
        <v>36.896476948189097</v>
      </c>
      <c r="W13" s="61">
        <f t="shared" ref="W13" si="2">SUM(W4:W12)</f>
        <v>39.415554912539804</v>
      </c>
      <c r="X13" s="61">
        <f t="shared" ref="X13" si="3">W13-B13</f>
        <v>21.423906590344501</v>
      </c>
    </row>
    <row r="14" spans="1:27" s="18" customFormat="1" ht="13.2" x14ac:dyDescent="0.25">
      <c r="A14" s="60" t="s">
        <v>71</v>
      </c>
      <c r="B14" s="78"/>
      <c r="C14" s="78"/>
      <c r="D14" s="78"/>
      <c r="E14" s="78"/>
      <c r="F14" s="78"/>
      <c r="G14" s="78"/>
      <c r="H14" s="78"/>
      <c r="I14" s="78"/>
      <c r="J14" s="78"/>
      <c r="K14" s="78"/>
      <c r="L14" s="78"/>
      <c r="M14" s="78"/>
      <c r="N14" s="78"/>
      <c r="O14" s="78"/>
      <c r="P14" s="78"/>
      <c r="Q14" s="78"/>
      <c r="R14" s="78"/>
      <c r="S14" s="78"/>
      <c r="T14" s="78"/>
      <c r="U14" s="78"/>
      <c r="V14" s="78"/>
      <c r="W14" s="78"/>
      <c r="X14" s="23"/>
    </row>
    <row r="15" spans="1:27" x14ac:dyDescent="0.25">
      <c r="A15" s="73" t="s">
        <v>70</v>
      </c>
      <c r="B15" s="31"/>
      <c r="C15" s="31"/>
      <c r="D15" s="31"/>
      <c r="E15" s="31"/>
      <c r="F15" s="31"/>
      <c r="G15" s="31"/>
      <c r="H15" s="31"/>
      <c r="I15" s="31"/>
      <c r="J15" s="31"/>
      <c r="K15" s="31"/>
      <c r="L15" s="31"/>
      <c r="M15" s="31"/>
      <c r="N15" s="31"/>
      <c r="O15" s="31"/>
      <c r="P15" s="31"/>
      <c r="Q15" s="31"/>
      <c r="R15" s="31"/>
      <c r="S15" s="31"/>
      <c r="T15" s="31"/>
      <c r="U15" s="31"/>
      <c r="V15" s="31"/>
      <c r="W15" s="31"/>
    </row>
    <row r="16" spans="1:27" x14ac:dyDescent="0.25">
      <c r="A16" s="38" t="s">
        <v>82</v>
      </c>
      <c r="B16" s="31"/>
      <c r="C16" s="31"/>
      <c r="D16" s="31"/>
      <c r="E16" s="31"/>
      <c r="F16" s="31"/>
      <c r="G16" s="31"/>
      <c r="H16" s="31"/>
      <c r="I16" s="31"/>
      <c r="J16" s="31"/>
      <c r="K16" s="31"/>
      <c r="L16" s="31"/>
      <c r="M16" s="31"/>
      <c r="N16" s="31"/>
      <c r="O16" s="31"/>
      <c r="P16" s="31"/>
      <c r="Q16" s="31"/>
      <c r="R16" s="31"/>
      <c r="S16" s="31"/>
      <c r="T16" s="31"/>
      <c r="U16" s="31"/>
      <c r="V16" s="31"/>
      <c r="W16" s="102"/>
    </row>
    <row r="17" spans="1:23" x14ac:dyDescent="0.25">
      <c r="A17" s="38" t="s">
        <v>83</v>
      </c>
      <c r="B17" s="31"/>
      <c r="C17" s="31"/>
      <c r="D17" s="31"/>
      <c r="E17" s="31"/>
      <c r="F17" s="31"/>
      <c r="G17" s="31"/>
      <c r="H17" s="31"/>
      <c r="I17" s="31"/>
      <c r="J17" s="31"/>
      <c r="K17" s="31"/>
      <c r="L17" s="31"/>
      <c r="M17" s="31"/>
      <c r="N17" s="31"/>
      <c r="O17" s="31"/>
      <c r="P17" s="31"/>
      <c r="Q17" s="31"/>
      <c r="R17" s="31"/>
      <c r="S17" s="31"/>
      <c r="T17" s="31"/>
      <c r="U17" s="31"/>
      <c r="V17" s="31"/>
      <c r="W17" s="102"/>
    </row>
    <row r="18" spans="1:23" x14ac:dyDescent="0.25">
      <c r="A18" s="60" t="s">
        <v>68</v>
      </c>
      <c r="B18" s="31"/>
      <c r="C18" s="31"/>
      <c r="D18" s="31"/>
      <c r="E18" s="31"/>
      <c r="F18" s="31"/>
      <c r="G18" s="31"/>
      <c r="H18" s="31"/>
      <c r="I18" s="31"/>
      <c r="J18" s="31"/>
      <c r="K18" s="31"/>
      <c r="L18" s="31"/>
      <c r="M18" s="31"/>
      <c r="N18" s="31"/>
      <c r="O18" s="31"/>
      <c r="P18" s="31"/>
      <c r="Q18" s="31"/>
      <c r="R18" s="31"/>
      <c r="S18" s="31"/>
      <c r="T18" s="31"/>
      <c r="U18" s="31"/>
      <c r="V18" s="31"/>
      <c r="W18" s="102"/>
    </row>
    <row r="19" spans="1:23" x14ac:dyDescent="0.25">
      <c r="A19" s="60"/>
      <c r="B19" s="31"/>
      <c r="C19" s="31"/>
      <c r="D19" s="31"/>
      <c r="E19" s="31"/>
      <c r="F19" s="31"/>
      <c r="G19" s="31"/>
      <c r="H19" s="31"/>
      <c r="I19" s="31"/>
      <c r="J19" s="31"/>
      <c r="K19" s="31"/>
      <c r="L19" s="31"/>
      <c r="M19" s="31"/>
      <c r="N19" s="31"/>
      <c r="O19" s="31"/>
      <c r="P19" s="31"/>
      <c r="Q19" s="31"/>
      <c r="R19" s="31"/>
      <c r="S19" s="31"/>
      <c r="T19" s="31"/>
      <c r="U19" s="31"/>
      <c r="V19" s="31"/>
      <c r="W19" s="31"/>
    </row>
    <row r="20" spans="1:23" x14ac:dyDescent="0.25">
      <c r="A20" s="60"/>
      <c r="B20" s="86"/>
      <c r="C20" s="86"/>
      <c r="D20" s="86"/>
      <c r="E20" s="86"/>
      <c r="F20" s="86"/>
      <c r="G20" s="86"/>
      <c r="H20" s="86"/>
      <c r="I20" s="86"/>
      <c r="J20" s="86"/>
      <c r="K20" s="86"/>
      <c r="L20" s="86"/>
      <c r="M20" s="86"/>
      <c r="N20" s="86"/>
      <c r="O20" s="86"/>
      <c r="P20" s="86"/>
      <c r="Q20" s="86"/>
      <c r="R20" s="86"/>
      <c r="S20" s="86"/>
      <c r="T20" s="86"/>
      <c r="U20" s="86"/>
      <c r="V20" s="86"/>
      <c r="W20" s="86"/>
    </row>
  </sheetData>
  <sortState xmlns:xlrd2="http://schemas.microsoft.com/office/spreadsheetml/2017/richdata2" ref="A4:X12">
    <sortCondition descending="1" ref="W4:W12"/>
  </sortState>
  <pageMargins left="0.7" right="0.7" top="0.75" bottom="0.75" header="0.3" footer="0.3"/>
  <pageSetup paperSize="9"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42"/>
  <sheetViews>
    <sheetView showGridLines="0" zoomScaleNormal="100" workbookViewId="0"/>
  </sheetViews>
  <sheetFormatPr baseColWidth="10" defaultRowHeight="14.4" x14ac:dyDescent="0.3"/>
  <cols>
    <col min="2" max="2" width="14" customWidth="1"/>
  </cols>
  <sheetData>
    <row r="1" spans="1:2" x14ac:dyDescent="0.3">
      <c r="A1" s="32" t="s">
        <v>69</v>
      </c>
    </row>
    <row r="2" spans="1:2" x14ac:dyDescent="0.3">
      <c r="A2" s="64" t="s">
        <v>32</v>
      </c>
    </row>
    <row r="4" spans="1:2" x14ac:dyDescent="0.3">
      <c r="A4" s="65" t="s">
        <v>56</v>
      </c>
      <c r="B4" s="67" t="s">
        <v>74</v>
      </c>
    </row>
    <row r="5" spans="1:2" x14ac:dyDescent="0.3">
      <c r="A5" s="66" t="s">
        <v>45</v>
      </c>
      <c r="B5" s="68">
        <v>0.6</v>
      </c>
    </row>
    <row r="6" spans="1:2" x14ac:dyDescent="0.3">
      <c r="A6" s="66" t="s">
        <v>37</v>
      </c>
      <c r="B6" s="68">
        <v>1.1000000000000001</v>
      </c>
    </row>
    <row r="7" spans="1:2" x14ac:dyDescent="0.3">
      <c r="A7" s="66" t="s">
        <v>41</v>
      </c>
      <c r="B7" s="68">
        <v>1.2</v>
      </c>
    </row>
    <row r="8" spans="1:2" x14ac:dyDescent="0.3">
      <c r="A8" s="66" t="s">
        <v>43</v>
      </c>
      <c r="B8" s="68">
        <v>1.3</v>
      </c>
    </row>
    <row r="9" spans="1:2" x14ac:dyDescent="0.3">
      <c r="A9" s="66" t="s">
        <v>47</v>
      </c>
      <c r="B9" s="68">
        <v>1.3</v>
      </c>
    </row>
    <row r="10" spans="1:2" x14ac:dyDescent="0.3">
      <c r="A10" s="66" t="s">
        <v>26</v>
      </c>
      <c r="B10" s="68">
        <v>1.3</v>
      </c>
    </row>
    <row r="11" spans="1:2" x14ac:dyDescent="0.3">
      <c r="A11" s="66" t="s">
        <v>48</v>
      </c>
      <c r="B11" s="68">
        <v>1.5</v>
      </c>
    </row>
    <row r="12" spans="1:2" x14ac:dyDescent="0.3">
      <c r="A12" s="66" t="s">
        <v>39</v>
      </c>
      <c r="B12" s="68">
        <v>1.6</v>
      </c>
    </row>
    <row r="13" spans="1:2" x14ac:dyDescent="0.3">
      <c r="A13" s="66" t="s">
        <v>44</v>
      </c>
      <c r="B13" s="68">
        <v>1.6</v>
      </c>
    </row>
    <row r="14" spans="1:2" x14ac:dyDescent="0.3">
      <c r="A14" s="66" t="s">
        <v>57</v>
      </c>
      <c r="B14" s="68">
        <v>1.7</v>
      </c>
    </row>
    <row r="15" spans="1:2" x14ac:dyDescent="0.3">
      <c r="A15" s="66" t="s">
        <v>27</v>
      </c>
      <c r="B15" s="68">
        <v>1.7</v>
      </c>
    </row>
    <row r="16" spans="1:2" x14ac:dyDescent="0.3">
      <c r="A16" s="66" t="s">
        <v>50</v>
      </c>
      <c r="B16" s="68">
        <v>1.9</v>
      </c>
    </row>
    <row r="17" spans="1:2" x14ac:dyDescent="0.3">
      <c r="A17" s="66" t="s">
        <v>53</v>
      </c>
      <c r="B17" s="68">
        <v>1.9</v>
      </c>
    </row>
    <row r="18" spans="1:2" x14ac:dyDescent="0.3">
      <c r="A18" s="66" t="s">
        <v>35</v>
      </c>
      <c r="B18" s="68">
        <v>2</v>
      </c>
    </row>
    <row r="19" spans="1:2" x14ac:dyDescent="0.3">
      <c r="A19" s="66" t="s">
        <v>36</v>
      </c>
      <c r="B19" s="68">
        <v>2</v>
      </c>
    </row>
    <row r="20" spans="1:2" x14ac:dyDescent="0.3">
      <c r="A20" s="104" t="s">
        <v>25</v>
      </c>
      <c r="B20" s="105">
        <v>2</v>
      </c>
    </row>
    <row r="21" spans="1:2" x14ac:dyDescent="0.3">
      <c r="A21" s="66" t="s">
        <v>55</v>
      </c>
      <c r="B21" s="68">
        <v>2.1</v>
      </c>
    </row>
    <row r="22" spans="1:2" x14ac:dyDescent="0.3">
      <c r="A22" s="66" t="s">
        <v>40</v>
      </c>
      <c r="B22" s="68">
        <v>2.2999999999999998</v>
      </c>
    </row>
    <row r="23" spans="1:2" x14ac:dyDescent="0.3">
      <c r="A23" s="66" t="s">
        <v>49</v>
      </c>
      <c r="B23" s="68">
        <v>2.2999999999999998</v>
      </c>
    </row>
    <row r="24" spans="1:2" x14ac:dyDescent="0.3">
      <c r="A24" s="66" t="s">
        <v>42</v>
      </c>
      <c r="B24" s="68">
        <v>2.4</v>
      </c>
    </row>
    <row r="25" spans="1:2" x14ac:dyDescent="0.3">
      <c r="A25" s="66" t="s">
        <v>54</v>
      </c>
      <c r="B25" s="68">
        <v>2.5</v>
      </c>
    </row>
    <row r="26" spans="1:2" x14ac:dyDescent="0.3">
      <c r="A26" s="66" t="s">
        <v>46</v>
      </c>
      <c r="B26" s="68">
        <v>2.6</v>
      </c>
    </row>
    <row r="27" spans="1:2" x14ac:dyDescent="0.3">
      <c r="A27" s="66" t="s">
        <v>38</v>
      </c>
      <c r="B27" s="68">
        <v>2.7</v>
      </c>
    </row>
    <row r="28" spans="1:2" x14ac:dyDescent="0.3">
      <c r="A28" s="66" t="s">
        <v>51</v>
      </c>
      <c r="B28" s="68">
        <v>2.8</v>
      </c>
    </row>
    <row r="29" spans="1:2" x14ac:dyDescent="0.3">
      <c r="A29" s="66" t="s">
        <v>52</v>
      </c>
      <c r="B29" s="68">
        <v>3.3</v>
      </c>
    </row>
    <row r="30" spans="1:2" x14ac:dyDescent="0.3">
      <c r="A30" s="66" t="s">
        <v>33</v>
      </c>
      <c r="B30" s="68">
        <v>3.4</v>
      </c>
    </row>
    <row r="31" spans="1:2" x14ac:dyDescent="0.3">
      <c r="A31" s="66" t="s">
        <v>34</v>
      </c>
      <c r="B31" s="68">
        <v>3.5</v>
      </c>
    </row>
    <row r="32" spans="1:2" x14ac:dyDescent="0.3">
      <c r="A32" s="60" t="s">
        <v>75</v>
      </c>
    </row>
    <row r="33" spans="1:8" x14ac:dyDescent="0.3">
      <c r="A33" s="103" t="s">
        <v>86</v>
      </c>
    </row>
    <row r="42" spans="1:8" x14ac:dyDescent="0.3">
      <c r="H42" t="s">
        <v>31</v>
      </c>
    </row>
  </sheetData>
  <sortState xmlns:xlrd2="http://schemas.microsoft.com/office/spreadsheetml/2017/richdata2" ref="A5:B31">
    <sortCondition ref="B5:B31"/>
  </sortState>
  <pageMargins left="0.7" right="0.7" top="0.75" bottom="0.75" header="0.3" footer="0.3"/>
  <pageSetup paperSize="9" orientation="portrait" horizontalDpi="360" verticalDpi="36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8</vt:i4>
      </vt:variant>
      <vt:variant>
        <vt:lpstr>Plages nommées</vt:lpstr>
      </vt:variant>
      <vt:variant>
        <vt:i4>2</vt:i4>
      </vt:variant>
    </vt:vector>
  </HeadingPairs>
  <TitlesOfParts>
    <vt:vector size="10" baseType="lpstr">
      <vt:lpstr>Sommaire</vt:lpstr>
      <vt:lpstr>Graph 1</vt:lpstr>
      <vt:lpstr>Graph 2</vt:lpstr>
      <vt:lpstr>Graph 3</vt:lpstr>
      <vt:lpstr>Graph 4</vt:lpstr>
      <vt:lpstr>Graph 5</vt:lpstr>
      <vt:lpstr>Graph 6</vt:lpstr>
      <vt:lpstr>Carte 1</vt:lpstr>
      <vt:lpstr>POWER_USER_EXCEL_CHART_0063051D_D8EC_4EDB_8144_4E4E9EA79367</vt:lpstr>
      <vt:lpstr>POWER_USER_EXCEL_CHART_D8B63A80_3269_4368_ACC4_C66E7E16E7E1</vt:lpstr>
    </vt:vector>
  </TitlesOfParts>
  <Company>MTECT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Données du bilan environnemental 2023</dc:title>
  <dc:subject>Datalab n°125 : Bilan environnemental </dc:subject>
  <dc:creator>SDES</dc:creator>
  <cp:keywords>information environnementale, protection de l'environnement, économie verte, indicateur, dépense</cp:keywords>
  <cp:lastModifiedBy>DUMAS Morgane</cp:lastModifiedBy>
  <dcterms:created xsi:type="dcterms:W3CDTF">2022-01-12T16:42:15Z</dcterms:created>
  <dcterms:modified xsi:type="dcterms:W3CDTF">2024-02-29T16:16:48Z</dcterms:modified>
</cp:coreProperties>
</file>