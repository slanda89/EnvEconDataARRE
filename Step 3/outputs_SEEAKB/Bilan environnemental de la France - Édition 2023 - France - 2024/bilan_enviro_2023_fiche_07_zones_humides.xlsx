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ml.chartshape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7.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ml.chartshapes+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9.xml" ContentType="application/vnd.openxmlformats-officedocument.drawingml.chartshapes+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0.xml" ContentType="application/vnd.openxmlformats-officedocument.drawingml.chartshapes+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1.xml" ContentType="application/vnd.openxmlformats-officedocument.drawingml.chartshapes+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2.xml" ContentType="application/vnd.openxmlformats-officedocument.drawingml.chartshapes+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3.xml" ContentType="application/vnd.openxmlformats-officedocument.drawingml.chartshapes+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4.xml" ContentType="application/vnd.openxmlformats-officedocument.drawingml.chartshapes+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24.xml" ContentType="application/vnd.openxmlformats-officedocument.drawingml.chart+xml"/>
  <Override PartName="/xl/drawings/drawing27.xml" ContentType="application/vnd.openxmlformats-officedocument.drawing+xml"/>
  <Override PartName="/xl/charts/chart25.xml" ContentType="application/vnd.openxmlformats-officedocument.drawingml.chart+xml"/>
  <Override PartName="/xl/theme/themeOverride1.xml" ContentType="application/vnd.openxmlformats-officedocument.themeOverride+xml"/>
  <Override PartName="/xl/drawings/drawing2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sebastien.thiriat\Documents\[02] professionnel\[01] site SDES\fiches bilan enviro\Fiche 07_Zones humides\"/>
    </mc:Choice>
  </mc:AlternateContent>
  <xr:revisionPtr revIDLastSave="0" documentId="13_ncr:1_{3DE180E2-03F1-4287-9285-FDA59ACBBF77}" xr6:coauthVersionLast="47" xr6:coauthVersionMax="47" xr10:uidLastSave="{00000000-0000-0000-0000-000000000000}"/>
  <bookViews>
    <workbookView xWindow="-120" yWindow="-120" windowWidth="29040" windowHeight="15990" xr2:uid="{00000000-000D-0000-FFFF-FFFF00000000}"/>
  </bookViews>
  <sheets>
    <sheet name="Graph 1" sheetId="3" r:id="rId1"/>
    <sheet name="Graph 2" sheetId="4" r:id="rId2"/>
    <sheet name="Graph 3_classique" sheetId="11" r:id="rId3"/>
    <sheet name="Graph 3_NEW (2)" sheetId="9" r:id="rId4"/>
    <sheet name="Graph 3_NEW" sheetId="8" r:id="rId5"/>
    <sheet name="Graph 4" sheetId="5" r:id="rId6"/>
    <sheet name="Graph 5" sheetId="13" r:id="rId7"/>
  </sheets>
  <definedNames>
    <definedName name="_xlnm.Print_Area" localSheetId="6">'Graph 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3" l="1"/>
  <c r="D8" i="11"/>
  <c r="D6" i="11"/>
  <c r="D7" i="11"/>
  <c r="D9" i="11"/>
  <c r="D10" i="11"/>
  <c r="D5" i="11"/>
  <c r="D11" i="11"/>
  <c r="D12" i="11"/>
  <c r="D3" i="11"/>
  <c r="D4" i="11"/>
  <c r="F26" i="5" l="1"/>
  <c r="B5" i="5" s="1"/>
  <c r="K9" i="5" l="1"/>
  <c r="F9" i="5" s="1"/>
  <c r="K10" i="5"/>
  <c r="F10" i="5" s="1"/>
  <c r="K11" i="5"/>
  <c r="F11" i="5" s="1"/>
  <c r="K12" i="5"/>
  <c r="F12" i="5" s="1"/>
  <c r="K13" i="5"/>
  <c r="F13" i="5" s="1"/>
  <c r="K14" i="5"/>
  <c r="F14" i="5" s="1"/>
  <c r="K15" i="5"/>
  <c r="F15" i="5" s="1"/>
  <c r="K16" i="5"/>
  <c r="F16" i="5" s="1"/>
  <c r="K17" i="5"/>
  <c r="F17" i="5" s="1"/>
  <c r="K18" i="5"/>
  <c r="F18" i="5" s="1"/>
  <c r="K19" i="5"/>
  <c r="F19" i="5" s="1"/>
  <c r="K20" i="5"/>
  <c r="F20" i="5" s="1"/>
  <c r="K21" i="5"/>
  <c r="F21" i="5" s="1"/>
  <c r="K22" i="5"/>
  <c r="F22" i="5" s="1"/>
  <c r="K23" i="5"/>
  <c r="F23" i="5" s="1"/>
  <c r="K24" i="5"/>
  <c r="F24" i="5" s="1"/>
  <c r="F25" i="5"/>
  <c r="E11" i="3"/>
  <c r="F11" i="3"/>
  <c r="G11" i="3"/>
  <c r="E12" i="3"/>
  <c r="F12" i="3"/>
  <c r="G12" i="3"/>
  <c r="E13" i="3"/>
  <c r="F13" i="3"/>
  <c r="G13" i="3"/>
  <c r="E14" i="3"/>
  <c r="F14" i="3"/>
  <c r="G14" i="3"/>
  <c r="E15" i="3"/>
  <c r="F15" i="3"/>
  <c r="G15" i="3"/>
  <c r="E16" i="3"/>
  <c r="F16" i="3"/>
  <c r="G16" i="3"/>
  <c r="E17" i="3"/>
  <c r="B6" i="3" s="1"/>
  <c r="F17" i="3"/>
  <c r="G17" i="3"/>
  <c r="E31" i="3"/>
  <c r="F31" i="3"/>
  <c r="G31" i="3"/>
  <c r="E32" i="3"/>
  <c r="F32" i="3"/>
  <c r="G32" i="3"/>
  <c r="E33" i="3"/>
  <c r="F33" i="3"/>
  <c r="G33" i="3"/>
  <c r="E34" i="3"/>
  <c r="F34" i="3"/>
  <c r="G34" i="3"/>
  <c r="E35" i="3"/>
  <c r="F35" i="3"/>
  <c r="G35" i="3"/>
  <c r="E36" i="3"/>
  <c r="F36" i="3"/>
  <c r="G36" i="3"/>
  <c r="E37" i="3"/>
  <c r="F37" i="3"/>
  <c r="G37" i="3"/>
</calcChain>
</file>

<file path=xl/sharedStrings.xml><?xml version="1.0" encoding="utf-8"?>
<sst xmlns="http://schemas.openxmlformats.org/spreadsheetml/2006/main" count="182" uniqueCount="85">
  <si>
    <t>Année</t>
  </si>
  <si>
    <t>Valeur de l'indicateur</t>
  </si>
  <si>
    <t>Code de l'indicateur</t>
  </si>
  <si>
    <t>Indicateur</t>
  </si>
  <si>
    <t>Plaines intérieures (N=19)</t>
  </si>
  <si>
    <t>Vallées alluviales (N=49)</t>
  </si>
  <si>
    <t>Littoral atlantique, Manche et mer du Nord (N=33)</t>
  </si>
  <si>
    <t>Outre-mer (N=19)</t>
  </si>
  <si>
    <t>Ensemble des sites (N=152)</t>
  </si>
  <si>
    <t>Massif à tourbières (N=11)</t>
  </si>
  <si>
    <t>Littoral méditerranéen (N=21)</t>
  </si>
  <si>
    <t>Amélioration</t>
  </si>
  <si>
    <t>Stabilité</t>
  </si>
  <si>
    <t>Dégradation</t>
  </si>
  <si>
    <t>Pourcentages</t>
  </si>
  <si>
    <t>Evolution des zones humides entre 2010 et 2020 (en nombre de sites)</t>
  </si>
  <si>
    <t>des sites emblématiques présentent des milieux humides qui se dégradent (période 2010-2020)</t>
  </si>
  <si>
    <t>En %</t>
  </si>
  <si>
    <t>SNB-B06-12-EZH1</t>
  </si>
  <si>
    <t>Proportion des sites humides emblématiques dont l'état des milieux humides ou leurs surfaces se dégradent</t>
  </si>
  <si>
    <t>Titre long indicateur</t>
  </si>
  <si>
    <t>Proportion des sites humides emblématiques, par grand type, suivant l'évolution de leur surfaces et de l'état de leurs milieux humides (période 2010-2020)</t>
  </si>
  <si>
    <t>Inconnu</t>
  </si>
  <si>
    <t>Favorable</t>
  </si>
  <si>
    <t>Défavorable inadéquat
en amélioration</t>
  </si>
  <si>
    <t>Défavorable inadéquat
stable ou inconnu</t>
  </si>
  <si>
    <t>Défavorable inadéquat
en déclin</t>
  </si>
  <si>
    <t>Défavorable mauvais
en amélioration</t>
  </si>
  <si>
    <t>Défavorable mauvais
stable ou inconnu</t>
  </si>
  <si>
    <t>Défavorable mauvais
en déclin</t>
  </si>
  <si>
    <t>Ecosystèmes humides et aquatiques [422]</t>
  </si>
  <si>
    <t>État de conservation des espèces et habitats remarquables sélectionnés pour les écosystèmes humides et aquatiques (période 2013-2018)</t>
  </si>
  <si>
    <t>ND</t>
  </si>
  <si>
    <t>Trois animations confondues</t>
  </si>
  <si>
    <t>Journée Mondiale des Zones Humides</t>
  </si>
  <si>
    <t>Fréquence Grenouille</t>
  </si>
  <si>
    <t xml:space="preserve">Fête des Mares </t>
  </si>
  <si>
    <t>TOTAL</t>
  </si>
  <si>
    <t>Fête des Mares (proposées)</t>
  </si>
  <si>
    <t>Nombre d'animations</t>
  </si>
  <si>
    <t>SNB-TMH-19-NAZH1</t>
  </si>
  <si>
    <t>Nombre d'animations proposées dans le cadre des 3 principaux évènements annuels "Zones Humides" : Journée Mondiale des Zones Humides,  Fréquence Grenouille et Fête des Mares</t>
  </si>
  <si>
    <t>Nombre d'animations proposées dans le cadre des 3 principaux évènements annuels</t>
  </si>
  <si>
    <t>Surfaces protégées 
(en ha)</t>
  </si>
  <si>
    <t>Journée mondiale des zones humides</t>
  </si>
  <si>
    <t>Fête des mares (réalisées)</t>
  </si>
  <si>
    <t>animations ont eu lieu en 2021</t>
  </si>
  <si>
    <t>Surfaces non protégées 
(en ha)</t>
  </si>
  <si>
    <t>Part de mangroves protégées en outre-mer en 2022</t>
  </si>
  <si>
    <t>Europa</t>
  </si>
  <si>
    <t xml:space="preserve">Wallis </t>
  </si>
  <si>
    <t>Mayotte</t>
  </si>
  <si>
    <t>Martinique</t>
  </si>
  <si>
    <t>Guadeloupe</t>
  </si>
  <si>
    <t>Saint-Martin</t>
  </si>
  <si>
    <t>Nouvelle-Calédonie</t>
  </si>
  <si>
    <t>Saint-Barthélemy</t>
  </si>
  <si>
    <t>Guyane</t>
  </si>
  <si>
    <t>Juan de Nova</t>
  </si>
  <si>
    <r>
      <rPr>
        <i/>
        <sz val="10"/>
        <rFont val="Arial"/>
        <family val="2"/>
      </rPr>
      <t>Notes</t>
    </r>
    <r>
      <rPr>
        <b/>
        <i/>
        <sz val="10"/>
        <rFont val="Arial"/>
        <family val="2"/>
      </rPr>
      <t xml:space="preserve"> :</t>
    </r>
    <r>
      <rPr>
        <i/>
        <sz val="10"/>
        <rFont val="Arial"/>
        <family val="2"/>
      </rPr>
      <t xml:space="preserve"> N = nombre de zones humides évaluées ; un état stable désigne un état dont les caractéristiques sturcturales du milieu et sa dynamique ne varient pas d'une période à l'autre. Pour autant, il peut comptabiliser des milieux dégradés qui n'évoluent pas.</t>
    </r>
  </si>
  <si>
    <r>
      <t>Source :</t>
    </r>
    <r>
      <rPr>
        <i/>
        <sz val="10"/>
        <rFont val="Arial"/>
        <family val="2"/>
      </rPr>
      <t xml:space="preserve"> SDES/OFB - Evaluation nationale des sites humides emblématiques 2010-2020. Traitements : SDES, 2020</t>
    </r>
  </si>
  <si>
    <t>Note : analyse faite à partir de 422 évaluations (espèces et habitats) portant sur les écosystèmes humides et aquatiques.</t>
  </si>
  <si>
    <r>
      <rPr>
        <b/>
        <i/>
        <sz val="11"/>
        <color theme="1"/>
        <rFont val="Arial Unicode MS"/>
        <family val="2"/>
      </rPr>
      <t>Source</t>
    </r>
    <r>
      <rPr>
        <i/>
        <sz val="11"/>
        <color theme="1"/>
        <rFont val="Arial Unicode MS"/>
        <family val="2"/>
      </rPr>
      <t xml:space="preserve"> : PatriNat (AFB-CNRS-MNHN), 3ème rapportage DHFF, 2019. Traitements : PatriNat ; SDES</t>
    </r>
  </si>
  <si>
    <t>Champ : ensemble des Outre-mer hors Polynésie française (mangroves introduites).</t>
  </si>
  <si>
    <r>
      <rPr>
        <b/>
        <i/>
        <sz val="11"/>
        <color theme="1"/>
        <rFont val="Calibri"/>
        <family val="2"/>
        <scheme val="minor"/>
      </rPr>
      <t>Source</t>
    </r>
    <r>
      <rPr>
        <i/>
        <sz val="11"/>
        <color theme="1"/>
        <rFont val="Calibri"/>
        <family val="2"/>
        <scheme val="minor"/>
      </rPr>
      <t xml:space="preserve"> : Pôle-relais zones humides tropicales, 2022. Traitements : SDES, juin 2022</t>
    </r>
  </si>
  <si>
    <r>
      <rPr>
        <i/>
        <sz val="10"/>
        <rFont val="Arial"/>
        <family val="2"/>
      </rPr>
      <t>Note</t>
    </r>
    <r>
      <rPr>
        <b/>
        <i/>
        <sz val="10"/>
        <rFont val="Arial"/>
        <family val="2"/>
      </rPr>
      <t xml:space="preserve"> :</t>
    </r>
    <r>
      <rPr>
        <i/>
        <sz val="11"/>
        <color theme="1"/>
        <rFont val="Calibri"/>
        <family val="2"/>
        <scheme val="minor"/>
      </rPr>
      <t xml:space="preserve"> alors qu’en année normale la quasi-totalité des animations proposées ont bien lieu, en 2020 en raison de la pandémie, beaucoup ont été annulées. Dans le cadre de la Fête des mares, sur un échantillon de 18 animations ayant fait l’objet d’un retour, seules 12 ont eu lieu.</t>
    </r>
  </si>
  <si>
    <r>
      <rPr>
        <b/>
        <i/>
        <sz val="10"/>
        <rFont val="Arial"/>
        <family val="2"/>
      </rPr>
      <t>Sources :</t>
    </r>
    <r>
      <rPr>
        <i/>
        <sz val="10"/>
        <rFont val="Arial"/>
        <family val="2"/>
      </rPr>
      <t xml:space="preserve"> Ramsar-France: Journée mondiale des zones humides ; SNPN : Fête des mares ; FCEN : Fréquence Grenouille. Traitements : SDES, avril 2022</t>
    </r>
  </si>
  <si>
    <t xml:space="preserve">Surfaces non protégées </t>
  </si>
  <si>
    <t xml:space="preserve">Surfaces protégées </t>
  </si>
  <si>
    <t>Seine-Normandie</t>
  </si>
  <si>
    <t>Adour-Garonne</t>
  </si>
  <si>
    <t>Surfaces gérées</t>
  </si>
  <si>
    <t>Surfaces acquises</t>
  </si>
  <si>
    <t>Rhône-Méditerranée Corse</t>
  </si>
  <si>
    <t>Rhin-Meuse</t>
  </si>
  <si>
    <t>Loire-Bretagne</t>
  </si>
  <si>
    <t>Artois-Picardie</t>
  </si>
  <si>
    <r>
      <t>Source :</t>
    </r>
    <r>
      <rPr>
        <sz val="11"/>
        <color theme="1"/>
        <rFont val="Calibri"/>
        <family val="2"/>
        <scheme val="minor"/>
      </rPr>
      <t xml:space="preserve"> Ministère de la transition écologique / OFB</t>
    </r>
  </si>
  <si>
    <r>
      <t>Champ :</t>
    </r>
    <r>
      <rPr>
        <sz val="11"/>
        <color theme="1"/>
        <rFont val="Calibri"/>
        <family val="2"/>
        <scheme val="minor"/>
      </rPr>
      <t xml:space="preserve"> France métropolitaine</t>
    </r>
  </si>
  <si>
    <t>Montants annuels engagés 
par l'ensemble des Agences de l'eau</t>
  </si>
  <si>
    <t>Montants globaux  (millions d'euros)</t>
  </si>
  <si>
    <t>millions d'euros ont été engagés par les Agences de l'eau dans l'acquisition et la gestion de milieux humides en métropole en 2022</t>
  </si>
  <si>
    <t>SNB-B5-21-FINAE</t>
  </si>
  <si>
    <t>Appui financier des Agences de l'eau pour l'acquisition, la gestion et la restauration des milieux humides en métropole</t>
  </si>
  <si>
    <t>Appui financier des Agences de l'eau pour les milieux humides en métropole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</si>
</sst>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
    <numFmt numFmtId="166" formatCode="#,##0.0"/>
    <numFmt numFmtId="167" formatCode="0\ %"/>
    <numFmt numFmtId="168" formatCode="_-* #,##0.00\ _€_-;\-* #,##0.00\ _€_-;_-* \-??\ _€_-;_-@_-"/>
    <numFmt numFmtId="169" formatCode="0.0\ %"/>
    <numFmt numFmtId="170" formatCode="_-* #,##0.0\ _€_-;\-* #,##0.0\ _€_-;_-* \-??\ _€_-;_-@_-"/>
    <numFmt numFmtId="171" formatCode="0.0"/>
  </numFmts>
  <fonts count="40">
    <font>
      <sz val="11"/>
      <color theme="1"/>
      <name val="Calibri"/>
      <family val="2"/>
      <scheme val="minor"/>
    </font>
    <font>
      <sz val="11"/>
      <color rgb="FFFF0000"/>
      <name val="Calibri"/>
      <family val="2"/>
      <scheme val="minor"/>
    </font>
    <font>
      <sz val="11"/>
      <color indexed="8"/>
      <name val="Calibri"/>
      <family val="2"/>
    </font>
    <font>
      <sz val="10"/>
      <name val="Arial"/>
      <family val="2"/>
    </font>
    <font>
      <sz val="14"/>
      <name val="Arial"/>
      <family val="2"/>
    </font>
    <font>
      <b/>
      <sz val="14"/>
      <name val="Arial"/>
      <family val="2"/>
    </font>
    <font>
      <b/>
      <i/>
      <sz val="12"/>
      <color indexed="12"/>
      <name val="Arial"/>
      <family val="2"/>
    </font>
    <font>
      <b/>
      <sz val="10"/>
      <color indexed="12"/>
      <name val="Arial"/>
      <family val="2"/>
    </font>
    <font>
      <b/>
      <i/>
      <sz val="12"/>
      <name val="Arial"/>
      <family val="2"/>
    </font>
    <font>
      <b/>
      <sz val="10"/>
      <name val="Arial"/>
      <family val="2"/>
    </font>
    <font>
      <sz val="10"/>
      <color theme="1"/>
      <name val="Arial"/>
      <family val="2"/>
    </font>
    <font>
      <b/>
      <sz val="10"/>
      <color theme="1"/>
      <name val="Arial"/>
      <family val="2"/>
    </font>
    <font>
      <sz val="10"/>
      <color rgb="FFFF0000"/>
      <name val="Arial"/>
      <family val="2"/>
    </font>
    <font>
      <b/>
      <sz val="12"/>
      <name val="Arial"/>
      <family val="2"/>
    </font>
    <font>
      <i/>
      <sz val="11"/>
      <color theme="1"/>
      <name val="Arial Unicode MS"/>
      <family val="2"/>
    </font>
    <font>
      <b/>
      <i/>
      <sz val="11"/>
      <color theme="1"/>
      <name val="Arial Unicode MS"/>
      <family val="2"/>
    </font>
    <font>
      <b/>
      <sz val="18"/>
      <color theme="1"/>
      <name val="Calibri"/>
      <family val="2"/>
      <scheme val="minor"/>
    </font>
    <font>
      <b/>
      <sz val="18"/>
      <color theme="1"/>
      <name val="Calibri"/>
      <family val="2"/>
    </font>
    <font>
      <sz val="10"/>
      <color theme="0"/>
      <name val="Arial"/>
      <family val="2"/>
    </font>
    <font>
      <b/>
      <sz val="10"/>
      <color theme="0"/>
      <name val="Arial"/>
      <family val="2"/>
    </font>
    <font>
      <b/>
      <sz val="9"/>
      <color theme="0"/>
      <name val="Arial"/>
      <family val="2"/>
    </font>
    <font>
      <b/>
      <sz val="9"/>
      <color indexed="8"/>
      <name val="Arial"/>
      <family val="2"/>
    </font>
    <font>
      <sz val="11"/>
      <color theme="0"/>
      <name val="Calibri"/>
      <family val="2"/>
    </font>
    <font>
      <b/>
      <sz val="12"/>
      <color theme="0"/>
      <name val="Arial"/>
      <family val="2"/>
    </font>
    <font>
      <sz val="9"/>
      <name val="Arial Unicode MS"/>
      <family val="2"/>
    </font>
    <font>
      <b/>
      <sz val="9"/>
      <name val="Arial Unicode MS"/>
      <family val="2"/>
    </font>
    <font>
      <b/>
      <i/>
      <sz val="9"/>
      <name val="Arial Unicode MS"/>
      <family val="2"/>
    </font>
    <font>
      <i/>
      <sz val="10"/>
      <name val="Arial"/>
      <family val="2"/>
    </font>
    <font>
      <b/>
      <i/>
      <sz val="10"/>
      <name val="Arial"/>
      <family val="2"/>
    </font>
    <font>
      <i/>
      <sz val="11"/>
      <color theme="1"/>
      <name val="Calibri"/>
      <family val="2"/>
      <scheme val="minor"/>
    </font>
    <font>
      <b/>
      <i/>
      <sz val="11"/>
      <color theme="1"/>
      <name val="Calibri"/>
      <family val="2"/>
      <scheme val="minor"/>
    </font>
    <font>
      <sz val="10"/>
      <name val="Arial"/>
    </font>
    <font>
      <sz val="11"/>
      <color theme="0"/>
      <name val="Times New Roman"/>
      <family val="1"/>
    </font>
    <font>
      <sz val="11"/>
      <name val="Times New Roman"/>
      <family val="1"/>
    </font>
    <font>
      <sz val="11"/>
      <name val="Calibri"/>
      <family val="2"/>
    </font>
    <font>
      <b/>
      <sz val="11"/>
      <color theme="0"/>
      <name val="Times New Roman"/>
      <family val="1"/>
    </font>
    <font>
      <b/>
      <sz val="11"/>
      <name val="Times New Roman"/>
      <family val="1"/>
    </font>
    <font>
      <sz val="11"/>
      <color rgb="FFFF0000"/>
      <name val="Calibri"/>
      <family val="2"/>
    </font>
    <font>
      <b/>
      <sz val="11"/>
      <name val="Calibri"/>
      <family val="2"/>
    </font>
    <font>
      <b/>
      <sz val="12"/>
      <color rgb="FFFF0000"/>
      <name val="Arial"/>
      <family val="2"/>
    </font>
  </fonts>
  <fills count="1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92D050"/>
        <bgColor indexed="64"/>
      </patternFill>
    </fill>
    <fill>
      <patternFill patternType="solid">
        <fgColor indexed="2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indexed="50"/>
        <bgColor indexed="64"/>
      </patternFill>
    </fill>
    <fill>
      <patternFill patternType="solid">
        <fgColor theme="0"/>
        <bgColor indexed="26"/>
      </patternFill>
    </fill>
    <fill>
      <patternFill patternType="solid">
        <fgColor indexed="9"/>
        <bgColor indexed="26"/>
      </patternFill>
    </fill>
    <fill>
      <patternFill patternType="solid">
        <fgColor theme="0" tint="-0.249977111117893"/>
        <bgColor indexed="26"/>
      </patternFill>
    </fill>
    <fill>
      <patternFill patternType="solid">
        <fgColor rgb="FFE2EFD9"/>
        <bgColor indexed="64"/>
      </patternFill>
    </fill>
    <fill>
      <patternFill patternType="solid">
        <fgColor theme="0"/>
        <bgColor indexed="42"/>
      </patternFill>
    </fill>
    <fill>
      <patternFill patternType="solid">
        <fgColor indexed="22"/>
        <bgColor indexed="42"/>
      </patternFill>
    </fill>
    <fill>
      <patternFill patternType="solid">
        <fgColor indexed="50"/>
        <bgColor indexed="2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10">
    <xf numFmtId="0" fontId="0" fillId="0" borderId="0"/>
    <xf numFmtId="0" fontId="3" fillId="0" borderId="0"/>
    <xf numFmtId="9" fontId="3" fillId="0" borderId="0" applyFont="0" applyFill="0" applyBorder="0" applyAlignment="0" applyProtection="0"/>
    <xf numFmtId="0" fontId="2" fillId="0" borderId="0"/>
    <xf numFmtId="0" fontId="2" fillId="0" borderId="0"/>
    <xf numFmtId="0" fontId="31" fillId="0" borderId="0"/>
    <xf numFmtId="0" fontId="3" fillId="0" borderId="0"/>
    <xf numFmtId="0" fontId="3" fillId="0" borderId="0"/>
    <xf numFmtId="167" fontId="3" fillId="0" borderId="0" applyFont="0" applyFill="0" applyBorder="0" applyAlignment="0" applyProtection="0"/>
    <xf numFmtId="168" fontId="3" fillId="0" borderId="0" applyFont="0" applyFill="0" applyBorder="0" applyAlignment="0" applyProtection="0"/>
  </cellStyleXfs>
  <cellXfs count="175">
    <xf numFmtId="0" fontId="0" fillId="0" borderId="0" xfId="0"/>
    <xf numFmtId="0" fontId="0" fillId="2" borderId="0" xfId="0" applyFill="1"/>
    <xf numFmtId="0" fontId="3" fillId="3" borderId="0" xfId="1" applyFill="1"/>
    <xf numFmtId="0" fontId="10" fillId="3" borderId="0" xfId="1" applyFont="1" applyFill="1"/>
    <xf numFmtId="0" fontId="10" fillId="2" borderId="0" xfId="1" applyFont="1" applyFill="1" applyBorder="1"/>
    <xf numFmtId="9" fontId="10" fillId="2" borderId="0" xfId="2" applyFont="1" applyFill="1" applyBorder="1" applyAlignment="1">
      <alignment horizontal="center"/>
    </xf>
    <xf numFmtId="0" fontId="10" fillId="2" borderId="0" xfId="1" applyFont="1" applyFill="1" applyBorder="1" applyAlignment="1">
      <alignment horizontal="center"/>
    </xf>
    <xf numFmtId="9" fontId="11" fillId="2" borderId="0" xfId="2" applyFont="1" applyFill="1" applyBorder="1" applyAlignment="1">
      <alignment horizontal="center"/>
    </xf>
    <xf numFmtId="0" fontId="11" fillId="2" borderId="0" xfId="1" applyFont="1" applyFill="1" applyBorder="1" applyAlignment="1">
      <alignment horizontal="center"/>
    </xf>
    <xf numFmtId="0" fontId="11" fillId="2" borderId="0" xfId="1" applyFont="1" applyFill="1" applyBorder="1"/>
    <xf numFmtId="0" fontId="10" fillId="2" borderId="0" xfId="1" applyFont="1" applyFill="1" applyBorder="1" applyAlignment="1">
      <alignment horizontal="center" vertical="center" wrapText="1"/>
    </xf>
    <xf numFmtId="0" fontId="10" fillId="2" borderId="0" xfId="1" applyFont="1" applyFill="1" applyBorder="1" applyAlignment="1">
      <alignment vertical="center" wrapText="1"/>
    </xf>
    <xf numFmtId="0" fontId="3" fillId="2" borderId="0" xfId="1" applyFill="1" applyBorder="1"/>
    <xf numFmtId="9" fontId="3" fillId="2" borderId="0" xfId="2" applyFont="1" applyFill="1" applyBorder="1" applyAlignment="1">
      <alignment horizontal="center"/>
    </xf>
    <xf numFmtId="0" fontId="3" fillId="2" borderId="0" xfId="1" applyFont="1" applyFill="1" applyBorder="1" applyAlignment="1">
      <alignment horizontal="center"/>
    </xf>
    <xf numFmtId="0" fontId="12" fillId="2" borderId="0" xfId="1" applyFont="1" applyFill="1" applyBorder="1" applyAlignment="1">
      <alignment horizontal="center"/>
    </xf>
    <xf numFmtId="0" fontId="3" fillId="2" borderId="0" xfId="1" applyFont="1" applyFill="1" applyBorder="1"/>
    <xf numFmtId="0" fontId="3" fillId="3" borderId="0" xfId="1" applyFont="1" applyFill="1"/>
    <xf numFmtId="0" fontId="9" fillId="3" borderId="0" xfId="1" applyFont="1" applyFill="1"/>
    <xf numFmtId="164" fontId="3" fillId="3" borderId="0" xfId="1" applyNumberFormat="1" applyFont="1" applyFill="1"/>
    <xf numFmtId="9" fontId="9" fillId="5" borderId="1" xfId="2" applyNumberFormat="1" applyFont="1" applyFill="1" applyBorder="1" applyAlignment="1">
      <alignment horizontal="center"/>
    </xf>
    <xf numFmtId="0" fontId="9" fillId="3" borderId="1" xfId="1" applyFont="1" applyFill="1" applyBorder="1" applyAlignment="1">
      <alignment horizontal="center"/>
    </xf>
    <xf numFmtId="0" fontId="9" fillId="3" borderId="1" xfId="1" applyFont="1" applyFill="1" applyBorder="1"/>
    <xf numFmtId="9" fontId="3" fillId="5" borderId="1" xfId="2" applyFont="1" applyFill="1" applyBorder="1" applyAlignment="1">
      <alignment horizontal="center"/>
    </xf>
    <xf numFmtId="0" fontId="3" fillId="2" borderId="1" xfId="1" applyFill="1" applyBorder="1" applyAlignment="1">
      <alignment horizontal="center"/>
    </xf>
    <xf numFmtId="0" fontId="3" fillId="2" borderId="1" xfId="1" applyFont="1" applyFill="1" applyBorder="1"/>
    <xf numFmtId="0" fontId="3" fillId="3" borderId="0" xfId="1" applyFont="1" applyFill="1" applyAlignment="1">
      <alignment vertical="center" wrapText="1"/>
    </xf>
    <xf numFmtId="0" fontId="3" fillId="5" borderId="1" xfId="1" applyFont="1" applyFill="1" applyBorder="1" applyAlignment="1">
      <alignment horizontal="center" vertical="center" wrapText="1"/>
    </xf>
    <xf numFmtId="0" fontId="10" fillId="4" borderId="1" xfId="1" applyFont="1" applyFill="1" applyBorder="1" applyAlignment="1">
      <alignment horizontal="center" vertical="center" wrapText="1"/>
    </xf>
    <xf numFmtId="0" fontId="3" fillId="6" borderId="1" xfId="1" applyFont="1" applyFill="1" applyBorder="1" applyAlignment="1">
      <alignment horizontal="center" vertical="center" wrapText="1"/>
    </xf>
    <xf numFmtId="0" fontId="10" fillId="7" borderId="1" xfId="1" applyFont="1" applyFill="1" applyBorder="1" applyAlignment="1">
      <alignment horizontal="center" vertical="center" wrapText="1"/>
    </xf>
    <xf numFmtId="0" fontId="3" fillId="3" borderId="0" xfId="1" applyFont="1" applyFill="1" applyBorder="1" applyAlignment="1">
      <alignment vertical="center" wrapText="1"/>
    </xf>
    <xf numFmtId="0" fontId="9" fillId="3" borderId="0" xfId="1" applyFont="1" applyFill="1" applyBorder="1"/>
    <xf numFmtId="0" fontId="13" fillId="3" borderId="0" xfId="1" applyFont="1" applyFill="1"/>
    <xf numFmtId="0" fontId="3" fillId="4" borderId="2" xfId="1" applyFont="1" applyFill="1" applyBorder="1"/>
    <xf numFmtId="0" fontId="3" fillId="4" borderId="3" xfId="1" applyFont="1" applyFill="1" applyBorder="1"/>
    <xf numFmtId="0" fontId="13" fillId="4" borderId="3" xfId="1" applyFont="1" applyFill="1" applyBorder="1"/>
    <xf numFmtId="0" fontId="4" fillId="4" borderId="2" xfId="1" applyFont="1" applyFill="1" applyBorder="1" applyAlignment="1"/>
    <xf numFmtId="0" fontId="4" fillId="4" borderId="3" xfId="1" applyFont="1" applyFill="1" applyBorder="1" applyAlignment="1"/>
    <xf numFmtId="9" fontId="5" fillId="4" borderId="3" xfId="2" applyNumberFormat="1" applyFont="1" applyFill="1" applyBorder="1"/>
    <xf numFmtId="0" fontId="5" fillId="4" borderId="4" xfId="1" applyFont="1" applyFill="1" applyBorder="1"/>
    <xf numFmtId="0" fontId="12" fillId="3" borderId="0" xfId="1" applyFont="1" applyFill="1"/>
    <xf numFmtId="0" fontId="3" fillId="3" borderId="0" xfId="1" applyFill="1" applyProtection="1"/>
    <xf numFmtId="0" fontId="6" fillId="3" borderId="0" xfId="1" applyFont="1" applyFill="1" applyProtection="1"/>
    <xf numFmtId="0" fontId="7" fillId="3" borderId="0" xfId="1" applyFont="1" applyFill="1" applyProtection="1"/>
    <xf numFmtId="0" fontId="5" fillId="3" borderId="0" xfId="1" applyFont="1" applyFill="1"/>
    <xf numFmtId="0" fontId="14" fillId="2" borderId="0" xfId="0" applyFont="1" applyFill="1"/>
    <xf numFmtId="1" fontId="0" fillId="2" borderId="1" xfId="0" applyNumberFormat="1" applyFill="1" applyBorder="1" applyAlignment="1">
      <alignment horizontal="center"/>
    </xf>
    <xf numFmtId="0" fontId="0" fillId="2" borderId="1" xfId="0" applyFill="1" applyBorder="1"/>
    <xf numFmtId="0" fontId="0" fillId="2" borderId="1" xfId="0" applyFill="1" applyBorder="1" applyAlignment="1">
      <alignment wrapText="1"/>
    </xf>
    <xf numFmtId="0" fontId="16" fillId="2" borderId="0" xfId="0" applyFont="1" applyFill="1"/>
    <xf numFmtId="0" fontId="17" fillId="2" borderId="0" xfId="0" applyFont="1" applyFill="1"/>
    <xf numFmtId="0" fontId="1" fillId="2" borderId="0" xfId="0" applyFont="1" applyFill="1"/>
    <xf numFmtId="0" fontId="10" fillId="3" borderId="0" xfId="1" applyFont="1" applyFill="1" applyAlignment="1">
      <alignment horizontal="center"/>
    </xf>
    <xf numFmtId="0" fontId="18" fillId="2" borderId="0" xfId="1" applyFont="1" applyFill="1" applyAlignment="1">
      <alignment horizontal="center"/>
    </xf>
    <xf numFmtId="0" fontId="18" fillId="2" borderId="0" xfId="1" applyFont="1" applyFill="1" applyBorder="1"/>
    <xf numFmtId="0" fontId="18" fillId="2" borderId="0" xfId="1" applyFont="1" applyFill="1" applyBorder="1" applyAlignment="1">
      <alignment horizontal="center"/>
    </xf>
    <xf numFmtId="0" fontId="3" fillId="0" borderId="1" xfId="1" applyFont="1" applyBorder="1" applyAlignment="1">
      <alignment horizontal="center" wrapText="1"/>
    </xf>
    <xf numFmtId="3" fontId="3" fillId="2" borderId="1" xfId="1" applyNumberFormat="1" applyFont="1" applyFill="1" applyBorder="1" applyAlignment="1">
      <alignment horizontal="center"/>
    </xf>
    <xf numFmtId="0" fontId="19" fillId="2" borderId="0" xfId="1" applyFont="1" applyFill="1" applyBorder="1" applyAlignment="1">
      <alignment horizontal="center"/>
    </xf>
    <xf numFmtId="0" fontId="3" fillId="3" borderId="1" xfId="1" applyFill="1" applyBorder="1" applyAlignment="1">
      <alignment horizontal="center"/>
    </xf>
    <xf numFmtId="0" fontId="3" fillId="0" borderId="1" xfId="1" applyBorder="1" applyAlignment="1">
      <alignment horizontal="center"/>
    </xf>
    <xf numFmtId="3" fontId="3" fillId="3" borderId="1" xfId="1" applyNumberFormat="1" applyFont="1" applyFill="1" applyBorder="1" applyAlignment="1">
      <alignment horizontal="center"/>
    </xf>
    <xf numFmtId="0" fontId="3" fillId="8" borderId="1" xfId="1" applyFont="1" applyFill="1" applyBorder="1" applyAlignment="1">
      <alignment horizontal="center"/>
    </xf>
    <xf numFmtId="0" fontId="3" fillId="3" borderId="1" xfId="1" applyFont="1" applyFill="1" applyBorder="1" applyAlignment="1">
      <alignment horizontal="center"/>
    </xf>
    <xf numFmtId="0" fontId="19" fillId="2" borderId="0" xfId="1" applyFont="1" applyFill="1" applyBorder="1"/>
    <xf numFmtId="4" fontId="20" fillId="2" borderId="0" xfId="1" applyNumberFormat="1" applyFont="1" applyFill="1" applyBorder="1" applyAlignment="1">
      <alignment horizontal="center" vertical="center" wrapText="1"/>
    </xf>
    <xf numFmtId="0" fontId="19" fillId="2" borderId="0" xfId="1" applyFont="1" applyFill="1" applyBorder="1" applyAlignment="1">
      <alignment horizontal="center" vertical="center" wrapText="1"/>
    </xf>
    <xf numFmtId="0" fontId="19" fillId="2" borderId="0" xfId="1" applyFont="1" applyFill="1" applyBorder="1" applyAlignment="1">
      <alignment horizontal="center" vertical="center"/>
    </xf>
    <xf numFmtId="4" fontId="21" fillId="9" borderId="1" xfId="1" applyNumberFormat="1" applyFont="1" applyFill="1" applyBorder="1" applyAlignment="1">
      <alignment horizontal="center" vertical="center" wrapText="1"/>
    </xf>
    <xf numFmtId="0" fontId="9" fillId="9" borderId="1" xfId="1" applyFont="1" applyFill="1" applyBorder="1" applyAlignment="1">
      <alignment horizontal="center" vertical="center" wrapText="1"/>
    </xf>
    <xf numFmtId="0" fontId="9" fillId="0" borderId="1" xfId="1" applyFont="1" applyBorder="1" applyAlignment="1">
      <alignment horizontal="center" vertical="center"/>
    </xf>
    <xf numFmtId="0" fontId="9" fillId="3" borderId="0" xfId="1" applyFont="1" applyFill="1" applyAlignment="1">
      <alignment horizontal="right"/>
    </xf>
    <xf numFmtId="0" fontId="10" fillId="3" borderId="0" xfId="1" applyFont="1" applyFill="1" applyBorder="1" applyAlignment="1">
      <alignment horizontal="center"/>
    </xf>
    <xf numFmtId="9" fontId="5" fillId="2" borderId="0" xfId="2" applyNumberFormat="1" applyFont="1" applyFill="1" applyBorder="1"/>
    <xf numFmtId="9" fontId="5" fillId="10" borderId="2" xfId="2" applyNumberFormat="1" applyFont="1" applyFill="1" applyBorder="1"/>
    <xf numFmtId="9" fontId="5" fillId="10" borderId="3" xfId="2" applyNumberFormat="1" applyFont="1" applyFill="1" applyBorder="1"/>
    <xf numFmtId="3" fontId="5" fillId="10" borderId="3" xfId="2" applyNumberFormat="1" applyFont="1" applyFill="1" applyBorder="1" applyAlignment="1">
      <alignment horizontal="right"/>
    </xf>
    <xf numFmtId="0" fontId="5" fillId="10" borderId="4" xfId="1" applyFont="1" applyFill="1" applyBorder="1"/>
    <xf numFmtId="0" fontId="3" fillId="0" borderId="1" xfId="0" applyFont="1" applyBorder="1" applyAlignment="1">
      <alignment horizontal="center" wrapText="1"/>
    </xf>
    <xf numFmtId="0" fontId="3" fillId="2" borderId="1" xfId="0" applyFont="1" applyFill="1" applyBorder="1" applyAlignment="1">
      <alignment horizontal="center" wrapText="1"/>
    </xf>
    <xf numFmtId="0" fontId="18" fillId="3" borderId="0" xfId="1" applyFont="1" applyFill="1"/>
    <xf numFmtId="0" fontId="18" fillId="3" borderId="0" xfId="1" applyFont="1" applyFill="1" applyProtection="1"/>
    <xf numFmtId="0" fontId="18" fillId="3" borderId="0" xfId="1" applyFont="1" applyFill="1" applyBorder="1" applyAlignment="1">
      <alignment horizontal="center"/>
    </xf>
    <xf numFmtId="0" fontId="23" fillId="3" borderId="0" xfId="1" applyFont="1" applyFill="1" applyBorder="1" applyAlignment="1">
      <alignment horizontal="center"/>
    </xf>
    <xf numFmtId="0" fontId="23" fillId="3" borderId="0" xfId="1" applyFont="1" applyFill="1" applyAlignment="1">
      <alignment horizontal="center"/>
    </xf>
    <xf numFmtId="0" fontId="18" fillId="3" borderId="0" xfId="1" applyFont="1" applyFill="1" applyAlignment="1">
      <alignment horizontal="center"/>
    </xf>
    <xf numFmtId="0" fontId="3" fillId="0" borderId="0" xfId="1"/>
    <xf numFmtId="0" fontId="3" fillId="2" borderId="0" xfId="1" applyFill="1"/>
    <xf numFmtId="0" fontId="13" fillId="2" borderId="0" xfId="1" applyFont="1" applyFill="1" applyAlignment="1">
      <alignment vertical="center"/>
    </xf>
    <xf numFmtId="3" fontId="3" fillId="0" borderId="0" xfId="1" applyNumberFormat="1"/>
    <xf numFmtId="0" fontId="9" fillId="13" borderId="5" xfId="4" applyFont="1" applyFill="1" applyBorder="1" applyAlignment="1">
      <alignment horizontal="center" vertical="center" wrapText="1"/>
    </xf>
    <xf numFmtId="0" fontId="24" fillId="14" borderId="1" xfId="1" applyFont="1" applyFill="1" applyBorder="1" applyAlignment="1">
      <alignment vertical="center" wrapText="1"/>
    </xf>
    <xf numFmtId="1" fontId="3" fillId="0" borderId="1" xfId="1" applyNumberFormat="1" applyBorder="1"/>
    <xf numFmtId="3" fontId="25" fillId="14" borderId="1" xfId="1" applyNumberFormat="1" applyFont="1" applyFill="1" applyBorder="1" applyAlignment="1">
      <alignment horizontal="right" vertical="center" wrapText="1"/>
    </xf>
    <xf numFmtId="0" fontId="3" fillId="0" borderId="1" xfId="1" applyBorder="1"/>
    <xf numFmtId="0" fontId="24" fillId="0" borderId="1" xfId="1" applyFont="1" applyBorder="1" applyAlignment="1">
      <alignment vertical="center" wrapText="1"/>
    </xf>
    <xf numFmtId="3" fontId="26" fillId="14" borderId="1" xfId="1" applyNumberFormat="1" applyFont="1" applyFill="1" applyBorder="1" applyAlignment="1">
      <alignment horizontal="right" vertical="center" wrapText="1"/>
    </xf>
    <xf numFmtId="3" fontId="25" fillId="0" borderId="1" xfId="1" applyNumberFormat="1" applyFont="1" applyBorder="1" applyAlignment="1">
      <alignment horizontal="right" vertical="center" wrapText="1"/>
    </xf>
    <xf numFmtId="1" fontId="0" fillId="0" borderId="0" xfId="0" applyNumberFormat="1"/>
    <xf numFmtId="0" fontId="28" fillId="3" borderId="0" xfId="1" applyFont="1" applyFill="1"/>
    <xf numFmtId="0" fontId="29" fillId="0" borderId="0" xfId="0" applyFont="1"/>
    <xf numFmtId="0" fontId="27" fillId="3" borderId="0" xfId="1" applyFont="1" applyFill="1"/>
    <xf numFmtId="0" fontId="31" fillId="12" borderId="0" xfId="5" applyFill="1"/>
    <xf numFmtId="0" fontId="31" fillId="12" borderId="0" xfId="5" applyFill="1" applyAlignment="1">
      <alignment horizontal="center"/>
    </xf>
    <xf numFmtId="0" fontId="3" fillId="12" borderId="0" xfId="5" applyFont="1" applyFill="1"/>
    <xf numFmtId="0" fontId="18" fillId="11" borderId="0" xfId="5" applyFont="1" applyFill="1"/>
    <xf numFmtId="0" fontId="18" fillId="11" borderId="0" xfId="5" applyFont="1" applyFill="1" applyAlignment="1">
      <alignment horizontal="center"/>
    </xf>
    <xf numFmtId="0" fontId="3" fillId="11" borderId="0" xfId="5" applyFont="1" applyFill="1"/>
    <xf numFmtId="3" fontId="22" fillId="2" borderId="0" xfId="1" applyNumberFormat="1" applyFont="1" applyFill="1" applyAlignment="1">
      <alignment horizontal="center" vertical="center" wrapText="1"/>
    </xf>
    <xf numFmtId="0" fontId="19" fillId="15" borderId="0" xfId="5" applyFont="1" applyFill="1" applyAlignment="1">
      <alignment horizontal="right" vertical="center" wrapText="1"/>
    </xf>
    <xf numFmtId="0" fontId="32" fillId="2" borderId="0" xfId="1" applyFont="1" applyFill="1" applyAlignment="1">
      <alignment horizontal="center" wrapText="1"/>
    </xf>
    <xf numFmtId="0" fontId="33" fillId="2" borderId="0" xfId="1" applyFont="1" applyFill="1" applyAlignment="1">
      <alignment horizontal="center" wrapText="1"/>
    </xf>
    <xf numFmtId="0" fontId="9" fillId="15" borderId="0" xfId="5" applyFont="1" applyFill="1" applyAlignment="1">
      <alignment horizontal="right" vertical="center" wrapText="1"/>
    </xf>
    <xf numFmtId="3" fontId="34" fillId="2" borderId="0" xfId="1" applyNumberFormat="1" applyFont="1" applyFill="1" applyAlignment="1">
      <alignment horizontal="center" vertical="center" wrapText="1"/>
    </xf>
    <xf numFmtId="0" fontId="35" fillId="2" borderId="0" xfId="1" applyFont="1" applyFill="1" applyAlignment="1">
      <alignment horizontal="center" wrapText="1"/>
    </xf>
    <xf numFmtId="0" fontId="36" fillId="2" borderId="0" xfId="1" applyFont="1" applyFill="1" applyAlignment="1">
      <alignment horizontal="center" wrapText="1"/>
    </xf>
    <xf numFmtId="3" fontId="32" fillId="2" borderId="0" xfId="1" applyNumberFormat="1" applyFont="1" applyFill="1" applyAlignment="1">
      <alignment horizontal="center" vertical="center" wrapText="1"/>
    </xf>
    <xf numFmtId="165" fontId="18" fillId="11" borderId="0" xfId="6" applyNumberFormat="1" applyFont="1" applyFill="1" applyAlignment="1">
      <alignment horizontal="center" vertical="center"/>
    </xf>
    <xf numFmtId="0" fontId="3" fillId="11" borderId="0" xfId="5" applyFont="1" applyFill="1" applyAlignment="1">
      <alignment horizontal="center"/>
    </xf>
    <xf numFmtId="0" fontId="18" fillId="2" borderId="0" xfId="1" applyFont="1" applyFill="1"/>
    <xf numFmtId="0" fontId="12" fillId="12" borderId="0" xfId="5" applyFont="1" applyFill="1"/>
    <xf numFmtId="0" fontId="12" fillId="12" borderId="0" xfId="5" applyFont="1" applyFill="1" applyAlignment="1">
      <alignment horizontal="center"/>
    </xf>
    <xf numFmtId="0" fontId="31" fillId="0" borderId="0" xfId="5" applyAlignment="1">
      <alignment horizontal="center"/>
    </xf>
    <xf numFmtId="0" fontId="31" fillId="0" borderId="0" xfId="5"/>
    <xf numFmtId="0" fontId="3" fillId="0" borderId="0" xfId="5" applyFont="1"/>
    <xf numFmtId="0" fontId="9" fillId="12" borderId="0" xfId="7" applyFont="1" applyFill="1"/>
    <xf numFmtId="0" fontId="12" fillId="12" borderId="0" xfId="5" applyFont="1" applyFill="1" applyAlignment="1">
      <alignment horizontal="left"/>
    </xf>
    <xf numFmtId="0" fontId="37" fillId="0" borderId="0" xfId="1" applyFont="1"/>
    <xf numFmtId="166" fontId="38" fillId="0" borderId="0" xfId="1" applyNumberFormat="1" applyFont="1" applyAlignment="1">
      <alignment horizontal="center" vertical="center" wrapText="1"/>
    </xf>
    <xf numFmtId="166" fontId="34" fillId="0" borderId="0" xfId="1" applyNumberFormat="1" applyFont="1" applyAlignment="1">
      <alignment horizontal="center" vertical="center" wrapText="1"/>
    </xf>
    <xf numFmtId="166" fontId="37" fillId="0" borderId="0" xfId="1" applyNumberFormat="1" applyFont="1" applyAlignment="1">
      <alignment horizontal="left" vertical="center"/>
    </xf>
    <xf numFmtId="165" fontId="31" fillId="12" borderId="0" xfId="5" applyNumberFormat="1" applyFill="1"/>
    <xf numFmtId="0" fontId="9" fillId="16" borderId="1" xfId="5" applyFont="1" applyFill="1" applyBorder="1" applyAlignment="1">
      <alignment horizontal="center" vertical="center" wrapText="1"/>
    </xf>
    <xf numFmtId="0" fontId="11" fillId="16" borderId="1" xfId="6" applyFont="1" applyFill="1" applyBorder="1" applyAlignment="1">
      <alignment horizontal="center" vertical="center"/>
    </xf>
    <xf numFmtId="0" fontId="9" fillId="16" borderId="1" xfId="6" applyFont="1" applyFill="1" applyBorder="1" applyAlignment="1">
      <alignment horizontal="center" vertical="center"/>
    </xf>
    <xf numFmtId="0" fontId="9" fillId="16" borderId="1" xfId="5" applyFont="1" applyFill="1" applyBorder="1" applyAlignment="1">
      <alignment horizontal="center" vertical="center"/>
    </xf>
    <xf numFmtId="0" fontId="9" fillId="12" borderId="0" xfId="5" applyFont="1" applyFill="1" applyAlignment="1">
      <alignment horizontal="center" vertical="center"/>
    </xf>
    <xf numFmtId="0" fontId="31" fillId="12" borderId="0" xfId="6" applyFont="1" applyFill="1"/>
    <xf numFmtId="0" fontId="31" fillId="12" borderId="0" xfId="5" applyFill="1" applyAlignment="1">
      <alignment vertical="center"/>
    </xf>
    <xf numFmtId="0" fontId="31" fillId="12" borderId="0" xfId="5" applyFill="1" applyAlignment="1">
      <alignment horizontal="center" vertical="center"/>
    </xf>
    <xf numFmtId="0" fontId="31" fillId="12" borderId="0" xfId="6" applyFont="1" applyFill="1" applyAlignment="1">
      <alignment horizontal="center"/>
    </xf>
    <xf numFmtId="169" fontId="31" fillId="12" borderId="0" xfId="8" applyNumberFormat="1" applyFont="1" applyFill="1" applyBorder="1" applyAlignment="1" applyProtection="1"/>
    <xf numFmtId="170" fontId="5" fillId="17" borderId="3" xfId="6" applyNumberFormat="1" applyFont="1" applyFill="1" applyBorder="1" applyAlignment="1" applyProtection="1">
      <alignment horizontal="right" vertical="center"/>
      <protection locked="0"/>
    </xf>
    <xf numFmtId="0" fontId="5" fillId="17" borderId="4" xfId="6" applyFont="1" applyFill="1" applyBorder="1" applyAlignment="1">
      <alignment vertical="center"/>
    </xf>
    <xf numFmtId="164" fontId="31" fillId="12" borderId="0" xfId="8" applyNumberFormat="1" applyFont="1" applyFill="1" applyBorder="1" applyAlignment="1" applyProtection="1"/>
    <xf numFmtId="167" fontId="31" fillId="12" borderId="0" xfId="8" applyFont="1" applyFill="1" applyBorder="1" applyAlignment="1" applyProtection="1"/>
    <xf numFmtId="0" fontId="6" fillId="12" borderId="0" xfId="6" applyFont="1" applyFill="1"/>
    <xf numFmtId="0" fontId="7" fillId="12" borderId="0" xfId="6" applyFont="1" applyFill="1"/>
    <xf numFmtId="0" fontId="31" fillId="11" borderId="0" xfId="6" applyFont="1" applyFill="1"/>
    <xf numFmtId="0" fontId="31" fillId="11" borderId="0" xfId="6" applyFont="1" applyFill="1" applyAlignment="1">
      <alignment horizontal="center"/>
    </xf>
    <xf numFmtId="0" fontId="39" fillId="11" borderId="0" xfId="6" applyFont="1" applyFill="1"/>
    <xf numFmtId="0" fontId="6" fillId="11" borderId="0" xfId="6" applyFont="1" applyFill="1"/>
    <xf numFmtId="0" fontId="7" fillId="11" borderId="0" xfId="6" applyFont="1" applyFill="1"/>
    <xf numFmtId="0" fontId="8" fillId="12" borderId="0" xfId="6" applyFont="1" applyFill="1" applyAlignment="1">
      <alignment vertical="center" wrapText="1"/>
    </xf>
    <xf numFmtId="0" fontId="8" fillId="12" borderId="0" xfId="6" applyFont="1" applyFill="1" applyAlignment="1">
      <alignment vertical="center"/>
    </xf>
    <xf numFmtId="0" fontId="5" fillId="12" borderId="0" xfId="6" applyFont="1" applyFill="1"/>
    <xf numFmtId="0" fontId="9" fillId="12" borderId="0" xfId="6" applyFont="1" applyFill="1"/>
    <xf numFmtId="171" fontId="0" fillId="12" borderId="11" xfId="6" applyNumberFormat="1" applyFont="1" applyFill="1" applyBorder="1" applyAlignment="1">
      <alignment horizontal="center" vertical="center"/>
    </xf>
    <xf numFmtId="171" fontId="0" fillId="12" borderId="10" xfId="6" applyNumberFormat="1" applyFont="1" applyFill="1" applyBorder="1" applyAlignment="1">
      <alignment horizontal="center" vertical="center"/>
    </xf>
    <xf numFmtId="171" fontId="0" fillId="12" borderId="9" xfId="6" applyNumberFormat="1" applyFont="1" applyFill="1" applyBorder="1" applyAlignment="1">
      <alignment horizontal="center" vertical="center"/>
    </xf>
    <xf numFmtId="171" fontId="0" fillId="12" borderId="1" xfId="6" applyNumberFormat="1" applyFont="1" applyFill="1" applyBorder="1" applyAlignment="1">
      <alignment horizontal="center" vertical="center"/>
    </xf>
    <xf numFmtId="171" fontId="31" fillId="12" borderId="1" xfId="5" applyNumberFormat="1" applyFill="1" applyBorder="1" applyAlignment="1">
      <alignment horizontal="center" vertical="center"/>
    </xf>
    <xf numFmtId="171" fontId="10" fillId="12" borderId="1" xfId="5" applyNumberFormat="1" applyFont="1" applyFill="1" applyBorder="1" applyAlignment="1">
      <alignment horizontal="center" vertical="center"/>
    </xf>
    <xf numFmtId="0" fontId="9" fillId="5" borderId="1" xfId="1" applyFont="1" applyFill="1" applyBorder="1" applyAlignment="1">
      <alignment horizontal="center"/>
    </xf>
    <xf numFmtId="0" fontId="8" fillId="3" borderId="0" xfId="1" applyFont="1" applyFill="1" applyAlignment="1">
      <alignment horizontal="left" vertical="center" wrapText="1"/>
    </xf>
    <xf numFmtId="0" fontId="9" fillId="9" borderId="1" xfId="1" applyFont="1" applyFill="1" applyBorder="1" applyAlignment="1">
      <alignment horizontal="center"/>
    </xf>
    <xf numFmtId="0" fontId="27" fillId="3" borderId="0" xfId="1" applyFont="1" applyFill="1" applyAlignment="1">
      <alignment horizontal="left" wrapText="1"/>
    </xf>
    <xf numFmtId="0" fontId="3" fillId="3" borderId="0" xfId="1" applyFill="1" applyAlignment="1">
      <alignment horizontal="left" wrapText="1"/>
    </xf>
    <xf numFmtId="0" fontId="5" fillId="17" borderId="3" xfId="6" applyFont="1" applyFill="1" applyBorder="1" applyAlignment="1" applyProtection="1">
      <alignment horizontal="left" vertical="center"/>
      <protection locked="0"/>
    </xf>
    <xf numFmtId="0" fontId="5" fillId="17" borderId="2" xfId="6" applyFont="1" applyFill="1" applyBorder="1" applyAlignment="1" applyProtection="1">
      <alignment horizontal="left" vertical="center"/>
      <protection locked="0"/>
    </xf>
    <xf numFmtId="0" fontId="9" fillId="16" borderId="6" xfId="6" applyFont="1" applyFill="1" applyBorder="1" applyAlignment="1">
      <alignment horizontal="center" vertical="center"/>
    </xf>
    <xf numFmtId="0" fontId="9" fillId="16" borderId="7" xfId="6" applyFont="1" applyFill="1" applyBorder="1" applyAlignment="1">
      <alignment horizontal="center" vertical="center"/>
    </xf>
    <xf numFmtId="0" fontId="9" fillId="16" borderId="8" xfId="6" applyFont="1" applyFill="1" applyBorder="1" applyAlignment="1">
      <alignment horizontal="center" vertical="center"/>
    </xf>
    <xf numFmtId="0" fontId="9" fillId="12" borderId="0" xfId="7" applyFont="1" applyFill="1" applyAlignment="1">
      <alignment horizontal="left"/>
    </xf>
  </cellXfs>
  <cellStyles count="10">
    <cellStyle name="Milliers 2" xfId="9" xr:uid="{04F478FA-4CFD-4EAD-864B-3516FD9F6E66}"/>
    <cellStyle name="Motif" xfId="6" xr:uid="{3C58B4ED-EC59-40EF-8DE8-9373A2B7C6D3}"/>
    <cellStyle name="Normal" xfId="0" builtinId="0"/>
    <cellStyle name="Normal 2" xfId="1" xr:uid="{00000000-0005-0000-0000-000001000000}"/>
    <cellStyle name="Normal 3" xfId="3" xr:uid="{00000000-0005-0000-0000-000002000000}"/>
    <cellStyle name="Normal 4" xfId="4" xr:uid="{00000000-0005-0000-0000-000003000000}"/>
    <cellStyle name="Normal_Graphiques_biodiv" xfId="5" xr:uid="{20A5BD45-E51E-48B8-9EE8-BDE39EFDEF3C}"/>
    <cellStyle name="Normal_IB_Dépenses Biodiversité_R3" xfId="7" xr:uid="{F43CC8A1-A3E6-4D09-A673-9D2114E307BF}"/>
    <cellStyle name="Pourcentage 2" xfId="2" xr:uid="{00000000-0005-0000-0000-000004000000}"/>
    <cellStyle name="Pourcentage 3" xfId="8" xr:uid="{61AC922C-8FAC-4F2E-8003-9E72E6087444}"/>
  </cellStyles>
  <dxfs count="0"/>
  <tableStyles count="0" defaultTableStyle="TableStyleMedium2" defaultPivotStyle="PivotStyleLight16"/>
  <colors>
    <mruColors>
      <color rgb="FF00A95F"/>
      <color rgb="FF2B7658"/>
      <color rgb="FF34CB6A"/>
      <color rgb="FF215968"/>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762513513501648"/>
          <c:y val="5.5749998966310915E-2"/>
          <c:w val="0.64491334899136499"/>
          <c:h val="0.76875763693998544"/>
        </c:manualLayout>
      </c:layout>
      <c:barChart>
        <c:barDir val="bar"/>
        <c:grouping val="percentStacked"/>
        <c:varyColors val="0"/>
        <c:ser>
          <c:idx val="0"/>
          <c:order val="0"/>
          <c:tx>
            <c:strRef>
              <c:f>'Graph 1'!$B$30</c:f>
              <c:strCache>
                <c:ptCount val="1"/>
                <c:pt idx="0">
                  <c:v>Dégradation</c:v>
                </c:pt>
              </c:strCache>
            </c:strRef>
          </c:tx>
          <c:spPr>
            <a:solidFill>
              <a:srgbClr val="FF0000"/>
            </a:solidFill>
          </c:spPr>
          <c:invertIfNegative val="0"/>
          <c:dPt>
            <c:idx val="1"/>
            <c:invertIfNegative val="0"/>
            <c:bubble3D val="0"/>
            <c:spPr>
              <a:solidFill>
                <a:srgbClr val="FF0000"/>
              </a:solidFill>
              <a:ln w="15875">
                <a:solidFill>
                  <a:schemeClr val="tx1">
                    <a:lumMod val="95000"/>
                    <a:lumOff val="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960-493E-93EC-C1E5893D3763}"/>
              </c:ext>
            </c:extLst>
          </c:dPt>
          <c:dPt>
            <c:idx val="3"/>
            <c:invertIfNegative val="0"/>
            <c:bubble3D val="0"/>
            <c:spPr>
              <a:solidFill>
                <a:srgbClr val="FF0000"/>
              </a:solidFill>
              <a:ln w="15875">
                <a:noFill/>
              </a:ln>
              <a:effectLst/>
            </c:spPr>
            <c:extLst>
              <c:ext xmlns:c16="http://schemas.microsoft.com/office/drawing/2014/chart" uri="{C3380CC4-5D6E-409C-BE32-E72D297353CC}">
                <c16:uniqueId val="{00000003-0960-493E-93EC-C1E5893D3763}"/>
              </c:ext>
            </c:extLst>
          </c:dPt>
          <c:dPt>
            <c:idx val="4"/>
            <c:invertIfNegative val="0"/>
            <c:bubble3D val="0"/>
            <c:spPr>
              <a:solidFill>
                <a:srgbClr val="FF0000"/>
              </a:solidFill>
              <a:effectLst/>
            </c:spPr>
            <c:extLst>
              <c:ext xmlns:c16="http://schemas.microsoft.com/office/drawing/2014/chart" uri="{C3380CC4-5D6E-409C-BE32-E72D297353CC}">
                <c16:uniqueId val="{00000005-0960-493E-93EC-C1E5893D3763}"/>
              </c:ext>
            </c:extLst>
          </c:dPt>
          <c:dLbls>
            <c:dLbl>
              <c:idx val="0"/>
              <c:tx>
                <c:rich>
                  <a:bodyPr/>
                  <a:lstStyle/>
                  <a:p>
                    <a:r>
                      <a:rPr lang="en-US"/>
                      <a:t>27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960-493E-93EC-C1E5893D3763}"/>
                </c:ext>
              </c:extLst>
            </c:dLbl>
            <c:dLbl>
              <c:idx val="1"/>
              <c:tx>
                <c:rich>
                  <a:bodyPr/>
                  <a:lstStyle/>
                  <a:p>
                    <a:r>
                      <a:rPr lang="en-US" b="1"/>
                      <a:t>41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60-493E-93EC-C1E5893D3763}"/>
                </c:ext>
              </c:extLst>
            </c:dLbl>
            <c:dLbl>
              <c:idx val="2"/>
              <c:tx>
                <c:rich>
                  <a:bodyPr/>
                  <a:lstStyle/>
                  <a:p>
                    <a:r>
                      <a:rPr lang="en-US"/>
                      <a:t>42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960-493E-93EC-C1E5893D3763}"/>
                </c:ext>
              </c:extLst>
            </c:dLbl>
            <c:dLbl>
              <c:idx val="3"/>
              <c:tx>
                <c:rich>
                  <a:bodyPr/>
                  <a:lstStyle/>
                  <a:p>
                    <a:r>
                      <a:rPr lang="en-US"/>
                      <a:t>45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960-493E-93EC-C1E5893D3763}"/>
                </c:ext>
              </c:extLst>
            </c:dLbl>
            <c:dLbl>
              <c:idx val="4"/>
              <c:tx>
                <c:rich>
                  <a:bodyPr/>
                  <a:lstStyle/>
                  <a:p>
                    <a:r>
                      <a:rPr lang="en-US"/>
                      <a:t>49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960-493E-93EC-C1E5893D3763}"/>
                </c:ext>
              </c:extLst>
            </c:dLbl>
            <c:dLbl>
              <c:idx val="5"/>
              <c:tx>
                <c:rich>
                  <a:bodyPr/>
                  <a:lstStyle/>
                  <a:p>
                    <a:r>
                      <a:rPr lang="en-US"/>
                      <a:t>53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960-493E-93EC-C1E5893D3763}"/>
                </c:ext>
              </c:extLst>
            </c:dLbl>
            <c:spPr>
              <a:noFill/>
              <a:ln>
                <a:noFill/>
              </a:ln>
              <a:effectLst/>
            </c:spPr>
            <c:txPr>
              <a:bodyPr wrap="square" lIns="38100" tIns="19050" rIns="38100" bIns="19050" anchor="ctr">
                <a:spAutoFit/>
              </a:bodyPr>
              <a:lstStyle/>
              <a:p>
                <a:pPr>
                  <a:defRPr baseline="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 1'!$A$32:$A$37</c:f>
              <c:strCache>
                <c:ptCount val="6"/>
                <c:pt idx="0">
                  <c:v>Massif à tourbières (N=11)</c:v>
                </c:pt>
                <c:pt idx="1">
                  <c:v>Ensemble des sites (N=152)</c:v>
                </c:pt>
                <c:pt idx="2">
                  <c:v>Outre-mer (N=19)</c:v>
                </c:pt>
                <c:pt idx="3">
                  <c:v>Littoral atlantique, Manche et mer du Nord (N=33)</c:v>
                </c:pt>
                <c:pt idx="4">
                  <c:v>Vallées alluviales (N=49)</c:v>
                </c:pt>
                <c:pt idx="5">
                  <c:v>Plaines intérieures (N=19)</c:v>
                </c:pt>
              </c:strCache>
            </c:strRef>
          </c:cat>
          <c:val>
            <c:numRef>
              <c:f>'Graph 1'!$B$32:$B$37</c:f>
              <c:numCache>
                <c:formatCode>General</c:formatCode>
                <c:ptCount val="6"/>
                <c:pt idx="0">
                  <c:v>3</c:v>
                </c:pt>
                <c:pt idx="1">
                  <c:v>63</c:v>
                </c:pt>
                <c:pt idx="2">
                  <c:v>8</c:v>
                </c:pt>
                <c:pt idx="3">
                  <c:v>15</c:v>
                </c:pt>
                <c:pt idx="4">
                  <c:v>24</c:v>
                </c:pt>
                <c:pt idx="5">
                  <c:v>10</c:v>
                </c:pt>
              </c:numCache>
            </c:numRef>
          </c:val>
          <c:extLst>
            <c:ext xmlns:c16="http://schemas.microsoft.com/office/drawing/2014/chart" uri="{C3380CC4-5D6E-409C-BE32-E72D297353CC}">
              <c16:uniqueId val="{00000009-0960-493E-93EC-C1E5893D3763}"/>
            </c:ext>
          </c:extLst>
        </c:ser>
        <c:ser>
          <c:idx val="1"/>
          <c:order val="1"/>
          <c:tx>
            <c:strRef>
              <c:f>'Graph 1'!$C$30</c:f>
              <c:strCache>
                <c:ptCount val="1"/>
                <c:pt idx="0">
                  <c:v>Stabilité</c:v>
                </c:pt>
              </c:strCache>
            </c:strRef>
          </c:tx>
          <c:spPr>
            <a:solidFill>
              <a:srgbClr val="FFC000"/>
            </a:solidFill>
            <a:ln>
              <a:noFill/>
            </a:ln>
          </c:spPr>
          <c:invertIfNegative val="0"/>
          <c:dPt>
            <c:idx val="1"/>
            <c:invertIfNegative val="0"/>
            <c:bubble3D val="0"/>
            <c:spPr>
              <a:solidFill>
                <a:srgbClr val="FFC000"/>
              </a:solidFill>
              <a:ln w="15875">
                <a:solidFill>
                  <a:schemeClr val="tx1">
                    <a:lumMod val="95000"/>
                    <a:lumOff val="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0960-493E-93EC-C1E5893D3763}"/>
              </c:ext>
            </c:extLst>
          </c:dPt>
          <c:dPt>
            <c:idx val="3"/>
            <c:invertIfNegative val="0"/>
            <c:bubble3D val="0"/>
            <c:spPr>
              <a:solidFill>
                <a:srgbClr val="FFC000"/>
              </a:solidFill>
              <a:ln w="15875">
                <a:noFill/>
              </a:ln>
              <a:effectLst/>
            </c:spPr>
            <c:extLst>
              <c:ext xmlns:c16="http://schemas.microsoft.com/office/drawing/2014/chart" uri="{C3380CC4-5D6E-409C-BE32-E72D297353CC}">
                <c16:uniqueId val="{0000000D-0960-493E-93EC-C1E5893D3763}"/>
              </c:ext>
            </c:extLst>
          </c:dPt>
          <c:dPt>
            <c:idx val="4"/>
            <c:invertIfNegative val="0"/>
            <c:bubble3D val="0"/>
            <c:spPr>
              <a:solidFill>
                <a:srgbClr val="FFC000"/>
              </a:solidFill>
              <a:ln>
                <a:noFill/>
              </a:ln>
              <a:effectLst/>
            </c:spPr>
            <c:extLst>
              <c:ext xmlns:c16="http://schemas.microsoft.com/office/drawing/2014/chart" uri="{C3380CC4-5D6E-409C-BE32-E72D297353CC}">
                <c16:uniqueId val="{0000000F-0960-493E-93EC-C1E5893D3763}"/>
              </c:ext>
            </c:extLst>
          </c:dPt>
          <c:dLbls>
            <c:dLbl>
              <c:idx val="0"/>
              <c:tx>
                <c:rich>
                  <a:bodyPr/>
                  <a:lstStyle/>
                  <a:p>
                    <a:r>
                      <a:rPr lang="en-US"/>
                      <a:t>73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960-493E-93EC-C1E5893D3763}"/>
                </c:ext>
              </c:extLst>
            </c:dLbl>
            <c:dLbl>
              <c:idx val="1"/>
              <c:tx>
                <c:rich>
                  <a:bodyPr/>
                  <a:lstStyle/>
                  <a:p>
                    <a:r>
                      <a:rPr lang="en-US" b="1"/>
                      <a:t>48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960-493E-93EC-C1E5893D3763}"/>
                </c:ext>
              </c:extLst>
            </c:dLbl>
            <c:dLbl>
              <c:idx val="2"/>
              <c:tx>
                <c:rich>
                  <a:bodyPr/>
                  <a:lstStyle/>
                  <a:p>
                    <a:r>
                      <a:rPr lang="en-US"/>
                      <a:t>48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960-493E-93EC-C1E5893D3763}"/>
                </c:ext>
              </c:extLst>
            </c:dLbl>
            <c:dLbl>
              <c:idx val="3"/>
              <c:tx>
                <c:rich>
                  <a:bodyPr/>
                  <a:lstStyle/>
                  <a:p>
                    <a:r>
                      <a:rPr lang="en-US"/>
                      <a:t>45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960-493E-93EC-C1E5893D3763}"/>
                </c:ext>
              </c:extLst>
            </c:dLbl>
            <c:dLbl>
              <c:idx val="4"/>
              <c:tx>
                <c:rich>
                  <a:bodyPr/>
                  <a:lstStyle/>
                  <a:p>
                    <a:r>
                      <a:rPr lang="en-US"/>
                      <a:t>39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960-493E-93EC-C1E5893D3763}"/>
                </c:ext>
              </c:extLst>
            </c:dLbl>
            <c:dLbl>
              <c:idx val="5"/>
              <c:tx>
                <c:rich>
                  <a:bodyPr/>
                  <a:lstStyle/>
                  <a:p>
                    <a:r>
                      <a:rPr lang="en-US"/>
                      <a:t>32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960-493E-93EC-C1E5893D3763}"/>
                </c:ext>
              </c:extLst>
            </c:dLbl>
            <c:spPr>
              <a:noFill/>
              <a:ln>
                <a:noFill/>
              </a:ln>
              <a:effectLst/>
            </c:spPr>
            <c:txPr>
              <a:bodyPr wrap="square" lIns="38100" tIns="19050" rIns="38100" bIns="19050" anchor="ctr">
                <a:spAutoFit/>
              </a:bodyPr>
              <a:lstStyle/>
              <a:p>
                <a:pPr>
                  <a:defRPr baseline="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 1'!$A$32:$A$37</c:f>
              <c:strCache>
                <c:ptCount val="6"/>
                <c:pt idx="0">
                  <c:v>Massif à tourbières (N=11)</c:v>
                </c:pt>
                <c:pt idx="1">
                  <c:v>Ensemble des sites (N=152)</c:v>
                </c:pt>
                <c:pt idx="2">
                  <c:v>Outre-mer (N=19)</c:v>
                </c:pt>
                <c:pt idx="3">
                  <c:v>Littoral atlantique, Manche et mer du Nord (N=33)</c:v>
                </c:pt>
                <c:pt idx="4">
                  <c:v>Vallées alluviales (N=49)</c:v>
                </c:pt>
                <c:pt idx="5">
                  <c:v>Plaines intérieures (N=19)</c:v>
                </c:pt>
              </c:strCache>
            </c:strRef>
          </c:cat>
          <c:val>
            <c:numRef>
              <c:f>'Graph 1'!$C$32:$C$37</c:f>
              <c:numCache>
                <c:formatCode>General</c:formatCode>
                <c:ptCount val="6"/>
                <c:pt idx="0">
                  <c:v>8</c:v>
                </c:pt>
                <c:pt idx="1">
                  <c:v>73</c:v>
                </c:pt>
                <c:pt idx="2">
                  <c:v>11</c:v>
                </c:pt>
                <c:pt idx="3">
                  <c:v>15</c:v>
                </c:pt>
                <c:pt idx="4">
                  <c:v>19</c:v>
                </c:pt>
                <c:pt idx="5">
                  <c:v>6</c:v>
                </c:pt>
              </c:numCache>
            </c:numRef>
          </c:val>
          <c:extLst>
            <c:ext xmlns:c16="http://schemas.microsoft.com/office/drawing/2014/chart" uri="{C3380CC4-5D6E-409C-BE32-E72D297353CC}">
              <c16:uniqueId val="{00000013-0960-493E-93EC-C1E5893D3763}"/>
            </c:ext>
          </c:extLst>
        </c:ser>
        <c:ser>
          <c:idx val="2"/>
          <c:order val="2"/>
          <c:tx>
            <c:strRef>
              <c:f>'Graph 1'!$D$30</c:f>
              <c:strCache>
                <c:ptCount val="1"/>
                <c:pt idx="0">
                  <c:v>Amélioration</c:v>
                </c:pt>
              </c:strCache>
            </c:strRef>
          </c:tx>
          <c:spPr>
            <a:solidFill>
              <a:srgbClr val="92D050"/>
            </a:solidFill>
            <a:ln w="15875">
              <a:noFill/>
            </a:ln>
            <a:effectLst>
              <a:outerShdw blurRad="50800" dist="38100" dir="2700000" algn="tl" rotWithShape="0">
                <a:prstClr val="black">
                  <a:alpha val="40000"/>
                </a:prstClr>
              </a:outerShdw>
            </a:effectLst>
          </c:spPr>
          <c:invertIfNegative val="0"/>
          <c:dPt>
            <c:idx val="1"/>
            <c:invertIfNegative val="0"/>
            <c:bubble3D val="0"/>
            <c:spPr>
              <a:solidFill>
                <a:srgbClr val="92D050"/>
              </a:solidFill>
              <a:ln w="15875">
                <a:solidFill>
                  <a:schemeClr val="tx1">
                    <a:lumMod val="95000"/>
                    <a:lumOff val="5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5-0960-493E-93EC-C1E5893D3763}"/>
              </c:ext>
            </c:extLst>
          </c:dPt>
          <c:dPt>
            <c:idx val="3"/>
            <c:invertIfNegative val="0"/>
            <c:bubble3D val="0"/>
            <c:spPr>
              <a:solidFill>
                <a:srgbClr val="92D050"/>
              </a:solidFill>
              <a:ln w="15875">
                <a:noFill/>
              </a:ln>
              <a:effectLst/>
            </c:spPr>
            <c:extLst>
              <c:ext xmlns:c16="http://schemas.microsoft.com/office/drawing/2014/chart" uri="{C3380CC4-5D6E-409C-BE32-E72D297353CC}">
                <c16:uniqueId val="{00000017-0960-493E-93EC-C1E5893D3763}"/>
              </c:ext>
            </c:extLst>
          </c:dPt>
          <c:dPt>
            <c:idx val="4"/>
            <c:invertIfNegative val="0"/>
            <c:bubble3D val="0"/>
            <c:spPr>
              <a:solidFill>
                <a:srgbClr val="92D050"/>
              </a:solidFill>
              <a:ln w="15875">
                <a:noFill/>
              </a:ln>
              <a:effectLst/>
            </c:spPr>
            <c:extLst>
              <c:ext xmlns:c16="http://schemas.microsoft.com/office/drawing/2014/chart" uri="{C3380CC4-5D6E-409C-BE32-E72D297353CC}">
                <c16:uniqueId val="{00000019-0960-493E-93EC-C1E5893D3763}"/>
              </c:ext>
            </c:extLst>
          </c:dPt>
          <c:dPt>
            <c:idx val="5"/>
            <c:invertIfNegative val="0"/>
            <c:bubble3D val="0"/>
            <c:spPr>
              <a:solidFill>
                <a:srgbClr val="92D050"/>
              </a:solidFill>
              <a:ln w="15875">
                <a:noFill/>
              </a:ln>
              <a:effectLst/>
            </c:spPr>
            <c:extLst>
              <c:ext xmlns:c16="http://schemas.microsoft.com/office/drawing/2014/chart" uri="{C3380CC4-5D6E-409C-BE32-E72D297353CC}">
                <c16:uniqueId val="{0000001B-0960-493E-93EC-C1E5893D3763}"/>
              </c:ext>
            </c:extLst>
          </c:dPt>
          <c:dLbls>
            <c:dLbl>
              <c:idx val="0"/>
              <c:delete val="1"/>
              <c:extLst>
                <c:ext xmlns:c15="http://schemas.microsoft.com/office/drawing/2012/chart" uri="{CE6537A1-D6FC-4f65-9D91-7224C49458BB}"/>
                <c:ext xmlns:c16="http://schemas.microsoft.com/office/drawing/2014/chart" uri="{C3380CC4-5D6E-409C-BE32-E72D297353CC}">
                  <c16:uniqueId val="{0000001C-0960-493E-93EC-C1E5893D3763}"/>
                </c:ext>
              </c:extLst>
            </c:dLbl>
            <c:dLbl>
              <c:idx val="1"/>
              <c:tx>
                <c:rich>
                  <a:bodyPr/>
                  <a:lstStyle/>
                  <a:p>
                    <a:r>
                      <a:rPr lang="en-US" b="1"/>
                      <a:t>11</a:t>
                    </a:r>
                    <a:r>
                      <a:rPr lang="en-US" b="1" baseline="0"/>
                      <a:t> </a:t>
                    </a:r>
                    <a:endParaRPr lang="en-US" b="1"/>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960-493E-93EC-C1E5893D3763}"/>
                </c:ext>
              </c:extLst>
            </c:dLbl>
            <c:dLbl>
              <c:idx val="2"/>
              <c:delete val="1"/>
              <c:extLst>
                <c:ext xmlns:c15="http://schemas.microsoft.com/office/drawing/2012/chart" uri="{CE6537A1-D6FC-4f65-9D91-7224C49458BB}"/>
                <c:ext xmlns:c16="http://schemas.microsoft.com/office/drawing/2014/chart" uri="{C3380CC4-5D6E-409C-BE32-E72D297353CC}">
                  <c16:uniqueId val="{0000001D-0960-493E-93EC-C1E5893D3763}"/>
                </c:ext>
              </c:extLst>
            </c:dLbl>
            <c:dLbl>
              <c:idx val="3"/>
              <c:tx>
                <c:rich>
                  <a:bodyPr/>
                  <a:lstStyle/>
                  <a:p>
                    <a:r>
                      <a:rPr lang="en-US"/>
                      <a:t>9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960-493E-93EC-C1E5893D3763}"/>
                </c:ext>
              </c:extLst>
            </c:dLbl>
            <c:dLbl>
              <c:idx val="4"/>
              <c:tx>
                <c:rich>
                  <a:bodyPr/>
                  <a:lstStyle/>
                  <a:p>
                    <a:r>
                      <a:rPr lang="en-US"/>
                      <a:t>12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960-493E-93EC-C1E5893D3763}"/>
                </c:ext>
              </c:extLst>
            </c:dLbl>
            <c:dLbl>
              <c:idx val="5"/>
              <c:tx>
                <c:rich>
                  <a:bodyPr/>
                  <a:lstStyle/>
                  <a:p>
                    <a:r>
                      <a:rPr lang="en-US"/>
                      <a:t>16 </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960-493E-93EC-C1E5893D3763}"/>
                </c:ext>
              </c:extLst>
            </c:dLbl>
            <c:spPr>
              <a:noFill/>
              <a:ln>
                <a:noFill/>
              </a:ln>
              <a:effectLst/>
            </c:spPr>
            <c:txPr>
              <a:bodyPr wrap="square" lIns="38100" tIns="19050" rIns="38100" bIns="19050" anchor="ctr">
                <a:spAutoFit/>
              </a:bodyPr>
              <a:lstStyle/>
              <a:p>
                <a:pPr>
                  <a:defRPr baseline="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 1'!$A$32:$A$37</c:f>
              <c:strCache>
                <c:ptCount val="6"/>
                <c:pt idx="0">
                  <c:v>Massif à tourbières (N=11)</c:v>
                </c:pt>
                <c:pt idx="1">
                  <c:v>Ensemble des sites (N=152)</c:v>
                </c:pt>
                <c:pt idx="2">
                  <c:v>Outre-mer (N=19)</c:v>
                </c:pt>
                <c:pt idx="3">
                  <c:v>Littoral atlantique, Manche et mer du Nord (N=33)</c:v>
                </c:pt>
                <c:pt idx="4">
                  <c:v>Vallées alluviales (N=49)</c:v>
                </c:pt>
                <c:pt idx="5">
                  <c:v>Plaines intérieures (N=19)</c:v>
                </c:pt>
              </c:strCache>
            </c:strRef>
          </c:cat>
          <c:val>
            <c:numRef>
              <c:f>'Graph 1'!$D$32:$D$37</c:f>
              <c:numCache>
                <c:formatCode>General</c:formatCode>
                <c:ptCount val="6"/>
                <c:pt idx="0">
                  <c:v>0</c:v>
                </c:pt>
                <c:pt idx="1">
                  <c:v>16</c:v>
                </c:pt>
                <c:pt idx="2">
                  <c:v>0</c:v>
                </c:pt>
                <c:pt idx="3">
                  <c:v>3</c:v>
                </c:pt>
                <c:pt idx="4">
                  <c:v>6</c:v>
                </c:pt>
                <c:pt idx="5">
                  <c:v>3</c:v>
                </c:pt>
              </c:numCache>
            </c:numRef>
          </c:val>
          <c:extLst>
            <c:ext xmlns:c16="http://schemas.microsoft.com/office/drawing/2014/chart" uri="{C3380CC4-5D6E-409C-BE32-E72D297353CC}">
              <c16:uniqueId val="{0000001E-0960-493E-93EC-C1E5893D3763}"/>
            </c:ext>
          </c:extLst>
        </c:ser>
        <c:dLbls>
          <c:showLegendKey val="0"/>
          <c:showVal val="0"/>
          <c:showCatName val="0"/>
          <c:showSerName val="0"/>
          <c:showPercent val="0"/>
          <c:showBubbleSize val="0"/>
        </c:dLbls>
        <c:gapWidth val="62"/>
        <c:overlap val="100"/>
        <c:axId val="225016320"/>
        <c:axId val="180831360"/>
      </c:barChart>
      <c:catAx>
        <c:axId val="225016320"/>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80831360"/>
        <c:crosses val="autoZero"/>
        <c:auto val="1"/>
        <c:lblAlgn val="ctr"/>
        <c:lblOffset val="100"/>
        <c:noMultiLvlLbl val="0"/>
      </c:catAx>
      <c:valAx>
        <c:axId val="180831360"/>
        <c:scaling>
          <c:orientation val="minMax"/>
        </c:scaling>
        <c:delete val="0"/>
        <c:axPos val="b"/>
        <c:majorGridlines>
          <c:spPr>
            <a:ln w="3175">
              <a:solidFill>
                <a:srgbClr val="C0C0C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225016320"/>
        <c:crosses val="autoZero"/>
        <c:crossBetween val="between"/>
      </c:valAx>
      <c:spPr>
        <a:noFill/>
        <a:ln w="12700">
          <a:solidFill>
            <a:srgbClr val="808080"/>
          </a:solidFill>
          <a:prstDash val="solid"/>
        </a:ln>
      </c:spPr>
    </c:plotArea>
    <c:legend>
      <c:legendPos val="b"/>
      <c:layout>
        <c:manualLayout>
          <c:xMode val="edge"/>
          <c:yMode val="edge"/>
          <c:x val="0.38187762660427904"/>
          <c:y val="0.91355229800295723"/>
          <c:w val="0.43890044876852291"/>
          <c:h val="3.8245165945013142E-2"/>
        </c:manualLayout>
      </c:layout>
      <c:overlay val="0"/>
      <c:spPr>
        <a:solidFill>
          <a:srgbClr val="FFFFFF"/>
        </a:solidFill>
        <a:ln w="25400">
          <a:noFill/>
        </a:ln>
      </c:spPr>
      <c:txPr>
        <a:bodyPr/>
        <a:lstStyle/>
        <a:p>
          <a:pPr>
            <a:defRPr sz="1000" b="0" i="0" u="none" strike="noStrike" baseline="0">
              <a:solidFill>
                <a:srgbClr val="000000"/>
              </a:solidFill>
              <a:latin typeface="Arial"/>
              <a:ea typeface="Arial"/>
              <a:cs typeface="Arial"/>
            </a:defRPr>
          </a:pPr>
          <a:endParaRPr lang="fr-F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010104554910271E-2"/>
          <c:y val="0"/>
          <c:w val="0.37769506839124767"/>
          <c:h val="1"/>
        </c:manualLayout>
      </c:layout>
      <c:doughnutChart>
        <c:varyColors val="1"/>
        <c:ser>
          <c:idx val="0"/>
          <c:order val="0"/>
          <c:dPt>
            <c:idx val="0"/>
            <c:bubble3D val="0"/>
            <c:spPr>
              <a:solidFill>
                <a:srgbClr val="8C0000"/>
              </a:solidFill>
            </c:spPr>
            <c:extLst>
              <c:ext xmlns:c16="http://schemas.microsoft.com/office/drawing/2014/chart" uri="{C3380CC4-5D6E-409C-BE32-E72D297353CC}">
                <c16:uniqueId val="{00000001-0551-4951-8BCF-9109E14D8FB0}"/>
              </c:ext>
            </c:extLst>
          </c:dPt>
          <c:dPt>
            <c:idx val="1"/>
            <c:bubble3D val="0"/>
            <c:spPr>
              <a:solidFill>
                <a:srgbClr val="B40000"/>
              </a:solidFill>
            </c:spPr>
            <c:extLst>
              <c:ext xmlns:c16="http://schemas.microsoft.com/office/drawing/2014/chart" uri="{C3380CC4-5D6E-409C-BE32-E72D297353CC}">
                <c16:uniqueId val="{00000003-0551-4951-8BCF-9109E14D8FB0}"/>
              </c:ext>
            </c:extLst>
          </c:dPt>
          <c:dPt>
            <c:idx val="2"/>
            <c:bubble3D val="0"/>
            <c:spPr>
              <a:solidFill>
                <a:srgbClr val="FF0000"/>
              </a:solidFill>
            </c:spPr>
            <c:extLst>
              <c:ext xmlns:c16="http://schemas.microsoft.com/office/drawing/2014/chart" uri="{C3380CC4-5D6E-409C-BE32-E72D297353CC}">
                <c16:uniqueId val="{00000005-0551-4951-8BCF-9109E14D8FB0}"/>
              </c:ext>
            </c:extLst>
          </c:dPt>
          <c:dPt>
            <c:idx val="3"/>
            <c:bubble3D val="0"/>
            <c:spPr>
              <a:solidFill>
                <a:srgbClr val="F29600"/>
              </a:solidFill>
            </c:spPr>
            <c:extLst>
              <c:ext xmlns:c16="http://schemas.microsoft.com/office/drawing/2014/chart" uri="{C3380CC4-5D6E-409C-BE32-E72D297353CC}">
                <c16:uniqueId val="{00000007-0551-4951-8BCF-9109E14D8FB0}"/>
              </c:ext>
            </c:extLst>
          </c:dPt>
          <c:dPt>
            <c:idx val="4"/>
            <c:bubble3D val="0"/>
            <c:spPr>
              <a:solidFill>
                <a:srgbClr val="FFC000"/>
              </a:solidFill>
            </c:spPr>
            <c:extLst>
              <c:ext xmlns:c16="http://schemas.microsoft.com/office/drawing/2014/chart" uri="{C3380CC4-5D6E-409C-BE32-E72D297353CC}">
                <c16:uniqueId val="{00000009-0551-4951-8BCF-9109E14D8FB0}"/>
              </c:ext>
            </c:extLst>
          </c:dPt>
          <c:dPt>
            <c:idx val="5"/>
            <c:bubble3D val="0"/>
            <c:spPr>
              <a:solidFill>
                <a:srgbClr val="FFE600"/>
              </a:solidFill>
            </c:spPr>
            <c:extLst>
              <c:ext xmlns:c16="http://schemas.microsoft.com/office/drawing/2014/chart" uri="{C3380CC4-5D6E-409C-BE32-E72D297353CC}">
                <c16:uniqueId val="{0000000B-0551-4951-8BCF-9109E14D8FB0}"/>
              </c:ext>
            </c:extLst>
          </c:dPt>
          <c:dPt>
            <c:idx val="6"/>
            <c:bubble3D val="0"/>
            <c:spPr>
              <a:solidFill>
                <a:srgbClr val="92D050"/>
              </a:solidFill>
            </c:spPr>
            <c:extLst>
              <c:ext xmlns:c16="http://schemas.microsoft.com/office/drawing/2014/chart" uri="{C3380CC4-5D6E-409C-BE32-E72D297353CC}">
                <c16:uniqueId val="{0000000D-0551-4951-8BCF-9109E14D8FB0}"/>
              </c:ext>
            </c:extLst>
          </c:dPt>
          <c:dPt>
            <c:idx val="7"/>
            <c:bubble3D val="0"/>
            <c:spPr>
              <a:solidFill>
                <a:schemeClr val="bg1">
                  <a:lumMod val="50000"/>
                </a:schemeClr>
              </a:solidFill>
            </c:spPr>
            <c:extLst>
              <c:ext xmlns:c16="http://schemas.microsoft.com/office/drawing/2014/chart" uri="{C3380CC4-5D6E-409C-BE32-E72D297353CC}">
                <c16:uniqueId val="{0000000F-0551-4951-8BCF-9109E14D8FB0}"/>
              </c:ext>
            </c:extLst>
          </c:dPt>
          <c:dLbls>
            <c:dLbl>
              <c:idx val="0"/>
              <c:tx>
                <c:rich>
                  <a:bodyPr/>
                  <a:lstStyle/>
                  <a:p>
                    <a:r>
                      <a:rPr lang="en-US">
                        <a:solidFill>
                          <a:schemeClr val="bg1"/>
                        </a:solidFill>
                      </a:rPr>
                      <a:t>23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0551-4951-8BCF-9109E14D8FB0}"/>
                </c:ext>
              </c:extLst>
            </c:dLbl>
            <c:dLbl>
              <c:idx val="1"/>
              <c:tx>
                <c:rich>
                  <a:bodyPr/>
                  <a:lstStyle/>
                  <a:p>
                    <a:r>
                      <a:rPr lang="en-US">
                        <a:solidFill>
                          <a:schemeClr val="bg1"/>
                        </a:solidFill>
                      </a:rPr>
                      <a:t>14</a:t>
                    </a:r>
                    <a:r>
                      <a:rPr lang="en-US"/>
                      <a:t>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0551-4951-8BCF-9109E14D8FB0}"/>
                </c:ext>
              </c:extLst>
            </c:dLbl>
            <c:dLbl>
              <c:idx val="2"/>
              <c:tx>
                <c:rich>
                  <a:bodyPr/>
                  <a:lstStyle/>
                  <a:p>
                    <a:r>
                      <a:rPr lang="en-US"/>
                      <a:t>1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5-0551-4951-8BCF-9109E14D8FB0}"/>
                </c:ext>
              </c:extLst>
            </c:dLbl>
            <c:dLbl>
              <c:idx val="3"/>
              <c:tx>
                <c:rich>
                  <a:bodyPr/>
                  <a:lstStyle/>
                  <a:p>
                    <a:r>
                      <a:rPr lang="en-US"/>
                      <a:t>12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7-0551-4951-8BCF-9109E14D8FB0}"/>
                </c:ext>
              </c:extLst>
            </c:dLbl>
            <c:dLbl>
              <c:idx val="4"/>
              <c:tx>
                <c:rich>
                  <a:bodyPr/>
                  <a:lstStyle/>
                  <a:p>
                    <a:r>
                      <a:rPr lang="en-US"/>
                      <a:t>27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0551-4951-8BCF-9109E14D8FB0}"/>
                </c:ext>
              </c:extLst>
            </c:dLbl>
            <c:dLbl>
              <c:idx val="5"/>
              <c:tx>
                <c:rich>
                  <a:bodyPr/>
                  <a:lstStyle/>
                  <a:p>
                    <a:r>
                      <a:rPr lang="en-US"/>
                      <a:t>2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B-0551-4951-8BCF-9109E14D8FB0}"/>
                </c:ext>
              </c:extLst>
            </c:dLbl>
            <c:dLbl>
              <c:idx val="6"/>
              <c:tx>
                <c:rich>
                  <a:bodyPr/>
                  <a:lstStyle/>
                  <a:p>
                    <a:r>
                      <a:rPr lang="en-US"/>
                      <a:t>15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D-0551-4951-8BCF-9109E14D8FB0}"/>
                </c:ext>
              </c:extLst>
            </c:dLbl>
            <c:dLbl>
              <c:idx val="7"/>
              <c:tx>
                <c:rich>
                  <a:bodyPr/>
                  <a:lstStyle/>
                  <a:p>
                    <a:r>
                      <a:rPr lang="en-US"/>
                      <a:t>6 </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F-0551-4951-8BCF-9109E14D8FB0}"/>
                </c:ext>
              </c:extLst>
            </c:dLbl>
            <c:spPr>
              <a:noFill/>
              <a:ln>
                <a:noFill/>
              </a:ln>
              <a:effectLst/>
            </c:spPr>
            <c:txPr>
              <a:bodyPr wrap="square" lIns="38100" tIns="19050" rIns="38100" bIns="19050" anchor="ctr">
                <a:spAutoFit/>
              </a:bodyPr>
              <a:lstStyle/>
              <a:p>
                <a:pPr>
                  <a:defRPr sz="1200">
                    <a:latin typeface="Arial" panose="020B0604020202020204" pitchFamily="34" charset="0"/>
                    <a:cs typeface="Arial" panose="020B0604020202020204" pitchFamily="34" charset="0"/>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'Graph 2'!$A$4:$A$11</c:f>
              <c:strCache>
                <c:ptCount val="8"/>
                <c:pt idx="0">
                  <c:v>Défavorable mauvais
en déclin</c:v>
                </c:pt>
                <c:pt idx="1">
                  <c:v>Défavorable mauvais
stable ou inconnu</c:v>
                </c:pt>
                <c:pt idx="2">
                  <c:v>Défavorable mauvais
en amélioration</c:v>
                </c:pt>
                <c:pt idx="3">
                  <c:v>Défavorable inadéquat
en déclin</c:v>
                </c:pt>
                <c:pt idx="4">
                  <c:v>Défavorable inadéquat
stable ou inconnu</c:v>
                </c:pt>
                <c:pt idx="5">
                  <c:v>Défavorable inadéquat
en amélioration</c:v>
                </c:pt>
                <c:pt idx="6">
                  <c:v>Favorable</c:v>
                </c:pt>
                <c:pt idx="7">
                  <c:v>Inconnu</c:v>
                </c:pt>
              </c:strCache>
            </c:strRef>
          </c:cat>
          <c:val>
            <c:numRef>
              <c:f>'Graph 2'!$B$4:$B$11</c:f>
              <c:numCache>
                <c:formatCode>0</c:formatCode>
                <c:ptCount val="8"/>
                <c:pt idx="0">
                  <c:v>23.459715639810426</c:v>
                </c:pt>
                <c:pt idx="1">
                  <c:v>13.507109004739336</c:v>
                </c:pt>
                <c:pt idx="2">
                  <c:v>0.7109004739336493</c:v>
                </c:pt>
                <c:pt idx="3">
                  <c:v>11.611374407582938</c:v>
                </c:pt>
                <c:pt idx="4">
                  <c:v>26.540284360189574</c:v>
                </c:pt>
                <c:pt idx="5">
                  <c:v>2.3696682464454977</c:v>
                </c:pt>
                <c:pt idx="6">
                  <c:v>15.402843601895734</c:v>
                </c:pt>
                <c:pt idx="7">
                  <c:v>6.3981042654028437</c:v>
                </c:pt>
              </c:numCache>
            </c:numRef>
          </c:val>
          <c:extLst>
            <c:ext xmlns:c16="http://schemas.microsoft.com/office/drawing/2014/chart" uri="{C3380CC4-5D6E-409C-BE32-E72D297353CC}">
              <c16:uniqueId val="{00000010-0551-4951-8BCF-9109E14D8FB0}"/>
            </c:ext>
          </c:extLst>
        </c:ser>
        <c:dLbls>
          <c:showLegendKey val="0"/>
          <c:showVal val="0"/>
          <c:showCatName val="0"/>
          <c:showSerName val="0"/>
          <c:showPercent val="0"/>
          <c:showBubbleSize val="0"/>
          <c:showLeaderLines val="0"/>
        </c:dLbls>
        <c:firstSliceAng val="0"/>
        <c:holeSize val="50"/>
      </c:doughnutChart>
    </c:plotArea>
    <c:legend>
      <c:legendPos val="r"/>
      <c:layout>
        <c:manualLayout>
          <c:xMode val="edge"/>
          <c:yMode val="edge"/>
          <c:x val="0.43579397702629019"/>
          <c:y val="0.14055836055998336"/>
          <c:w val="0.55316501053895062"/>
          <c:h val="0.77752152202068048"/>
        </c:manualLayout>
      </c:layout>
      <c:overlay val="0"/>
      <c:txPr>
        <a:bodyPr/>
        <a:lstStyle/>
        <a:p>
          <a:pPr>
            <a:defRPr sz="900" baseline="0">
              <a:latin typeface="Arial" panose="020B0604020202020204" pitchFamily="34" charset="0"/>
            </a:defRPr>
          </a:pPr>
          <a:endParaRPr lang="fr-FR"/>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04147382340566"/>
          <c:y val="5.0400916380297825E-2"/>
          <c:w val="0.81535292821221772"/>
          <c:h val="0.7384953684913097"/>
        </c:manualLayout>
      </c:layout>
      <c:barChart>
        <c:barDir val="bar"/>
        <c:grouping val="stacked"/>
        <c:varyColors val="0"/>
        <c:ser>
          <c:idx val="0"/>
          <c:order val="0"/>
          <c:tx>
            <c:strRef>
              <c:f>'Graph 3_classique'!$B$2</c:f>
              <c:strCache>
                <c:ptCount val="1"/>
                <c:pt idx="0">
                  <c:v>Surfaces non protégées </c:v>
                </c:pt>
              </c:strCache>
            </c:strRef>
          </c:tx>
          <c:spPr>
            <a:solidFill>
              <a:srgbClr val="00A95F"/>
            </a:solidFill>
            <a:ln>
              <a:noFill/>
            </a:ln>
            <a:effectLst/>
          </c:spPr>
          <c:invertIfNegative val="0"/>
          <c:cat>
            <c:strRef>
              <c:f>'Graph 3_classique'!$A$3:$A$12</c:f>
              <c:strCache>
                <c:ptCount val="10"/>
                <c:pt idx="0">
                  <c:v>Juan de Nova</c:v>
                </c:pt>
                <c:pt idx="1">
                  <c:v>Saint-Barthélemy</c:v>
                </c:pt>
                <c:pt idx="2">
                  <c:v>Saint-Martin</c:v>
                </c:pt>
                <c:pt idx="3">
                  <c:v>Wallis </c:v>
                </c:pt>
                <c:pt idx="4">
                  <c:v>Mayotte</c:v>
                </c:pt>
                <c:pt idx="5">
                  <c:v>Europa</c:v>
                </c:pt>
                <c:pt idx="6">
                  <c:v>Martinique</c:v>
                </c:pt>
                <c:pt idx="7">
                  <c:v>Guadeloupe</c:v>
                </c:pt>
                <c:pt idx="8">
                  <c:v>Nouvelle-Calédonie</c:v>
                </c:pt>
                <c:pt idx="9">
                  <c:v>Guyane</c:v>
                </c:pt>
              </c:strCache>
            </c:strRef>
          </c:cat>
          <c:val>
            <c:numRef>
              <c:f>'Graph 3_classique'!$B$3:$B$12</c:f>
              <c:numCache>
                <c:formatCode>0</c:formatCode>
                <c:ptCount val="10"/>
                <c:pt idx="0" formatCode="General">
                  <c:v>0.23</c:v>
                </c:pt>
                <c:pt idx="1">
                  <c:v>3.1099999999999994</c:v>
                </c:pt>
                <c:pt idx="2" formatCode="General">
                  <c:v>9</c:v>
                </c:pt>
                <c:pt idx="3" formatCode="General">
                  <c:v>0</c:v>
                </c:pt>
                <c:pt idx="4" formatCode="General">
                  <c:v>0</c:v>
                </c:pt>
                <c:pt idx="5" formatCode="General">
                  <c:v>0</c:v>
                </c:pt>
                <c:pt idx="6" formatCode="General">
                  <c:v>103</c:v>
                </c:pt>
                <c:pt idx="7" formatCode="General">
                  <c:v>519</c:v>
                </c:pt>
                <c:pt idx="8" formatCode="General">
                  <c:v>10162</c:v>
                </c:pt>
                <c:pt idx="9" formatCode="General">
                  <c:v>23595</c:v>
                </c:pt>
              </c:numCache>
            </c:numRef>
          </c:val>
          <c:extLst>
            <c:ext xmlns:c16="http://schemas.microsoft.com/office/drawing/2014/chart" uri="{C3380CC4-5D6E-409C-BE32-E72D297353CC}">
              <c16:uniqueId val="{00000000-AC98-49E4-A72F-C4F50B7307CF}"/>
            </c:ext>
          </c:extLst>
        </c:ser>
        <c:ser>
          <c:idx val="1"/>
          <c:order val="1"/>
          <c:tx>
            <c:strRef>
              <c:f>'Graph 3_classique'!$C$2</c:f>
              <c:strCache>
                <c:ptCount val="1"/>
                <c:pt idx="0">
                  <c:v>Surfaces protégées </c:v>
                </c:pt>
              </c:strCache>
            </c:strRef>
          </c:tx>
          <c:spPr>
            <a:solidFill>
              <a:srgbClr val="2B7658"/>
            </a:solidFill>
            <a:ln>
              <a:noFill/>
            </a:ln>
            <a:effectLst/>
          </c:spPr>
          <c:invertIfNegative val="0"/>
          <c:cat>
            <c:strRef>
              <c:f>'Graph 3_classique'!$A$3:$A$12</c:f>
              <c:strCache>
                <c:ptCount val="10"/>
                <c:pt idx="0">
                  <c:v>Juan de Nova</c:v>
                </c:pt>
                <c:pt idx="1">
                  <c:v>Saint-Barthélemy</c:v>
                </c:pt>
                <c:pt idx="2">
                  <c:v>Saint-Martin</c:v>
                </c:pt>
                <c:pt idx="3">
                  <c:v>Wallis </c:v>
                </c:pt>
                <c:pt idx="4">
                  <c:v>Mayotte</c:v>
                </c:pt>
                <c:pt idx="5">
                  <c:v>Europa</c:v>
                </c:pt>
                <c:pt idx="6">
                  <c:v>Martinique</c:v>
                </c:pt>
                <c:pt idx="7">
                  <c:v>Guadeloupe</c:v>
                </c:pt>
                <c:pt idx="8">
                  <c:v>Nouvelle-Calédonie</c:v>
                </c:pt>
                <c:pt idx="9">
                  <c:v>Guyane</c:v>
                </c:pt>
              </c:strCache>
            </c:strRef>
          </c:cat>
          <c:val>
            <c:numRef>
              <c:f>'Graph 3_classique'!$C$3:$C$12</c:f>
              <c:numCache>
                <c:formatCode>#,##0</c:formatCode>
                <c:ptCount val="10"/>
                <c:pt idx="0">
                  <c:v>0</c:v>
                </c:pt>
                <c:pt idx="1">
                  <c:v>1</c:v>
                </c:pt>
                <c:pt idx="2">
                  <c:v>15.47</c:v>
                </c:pt>
                <c:pt idx="3">
                  <c:v>36</c:v>
                </c:pt>
                <c:pt idx="4">
                  <c:v>623</c:v>
                </c:pt>
                <c:pt idx="5">
                  <c:v>626</c:v>
                </c:pt>
                <c:pt idx="6">
                  <c:v>1753</c:v>
                </c:pt>
                <c:pt idx="7">
                  <c:v>2787</c:v>
                </c:pt>
                <c:pt idx="8">
                  <c:v>18114</c:v>
                </c:pt>
                <c:pt idx="9">
                  <c:v>29752</c:v>
                </c:pt>
              </c:numCache>
            </c:numRef>
          </c:val>
          <c:extLst>
            <c:ext xmlns:c16="http://schemas.microsoft.com/office/drawing/2014/chart" uri="{C3380CC4-5D6E-409C-BE32-E72D297353CC}">
              <c16:uniqueId val="{00000001-AC98-49E4-A72F-C4F50B7307CF}"/>
            </c:ext>
          </c:extLst>
        </c:ser>
        <c:dLbls>
          <c:showLegendKey val="0"/>
          <c:showVal val="0"/>
          <c:showCatName val="0"/>
          <c:showSerName val="0"/>
          <c:showPercent val="0"/>
          <c:showBubbleSize val="0"/>
        </c:dLbls>
        <c:gapWidth val="150"/>
        <c:overlap val="100"/>
        <c:axId val="1348858303"/>
        <c:axId val="1348864543"/>
      </c:barChart>
      <c:catAx>
        <c:axId val="134885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348864543"/>
        <c:crosses val="autoZero"/>
        <c:auto val="1"/>
        <c:lblAlgn val="ctr"/>
        <c:lblOffset val="100"/>
        <c:noMultiLvlLbl val="0"/>
      </c:catAx>
      <c:valAx>
        <c:axId val="1348864543"/>
        <c:scaling>
          <c:orientation val="minMax"/>
          <c:max val="54000"/>
          <c:min val="0"/>
        </c:scaling>
        <c:delete val="0"/>
        <c:axPos val="b"/>
        <c:majorGridlines>
          <c:spPr>
            <a:ln w="9525" cap="flat" cmpd="sng" algn="ctr">
              <a:solidFill>
                <a:schemeClr val="bg1">
                  <a:lumMod val="75000"/>
                </a:schemeClr>
              </a:solidFill>
              <a:prstDash val="sysDot"/>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crossAx val="1348858303"/>
        <c:crosses val="autoZero"/>
        <c:crossBetween val="between"/>
      </c:valAx>
      <c:spPr>
        <a:noFill/>
        <a:ln>
          <a:noFill/>
        </a:ln>
        <a:effectLst/>
      </c:spPr>
    </c:plotArea>
    <c:legend>
      <c:legendPos val="b"/>
      <c:layout>
        <c:manualLayout>
          <c:xMode val="edge"/>
          <c:yMode val="edge"/>
          <c:x val="0.19248822904770491"/>
          <c:y val="0.86486391903714743"/>
          <c:w val="0.60823813053902609"/>
          <c:h val="0.1111120569388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île d'Europa</a:t>
            </a:r>
          </a:p>
        </c:rich>
      </c:tx>
      <c:layout>
        <c:manualLayout>
          <c:xMode val="edge"/>
          <c:yMode val="edge"/>
          <c:x val="0.35027859699355768"/>
          <c:y val="9.74358974358974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(2)'!$B$9</c:f>
              <c:strCache>
                <c:ptCount val="1"/>
                <c:pt idx="0">
                  <c:v>Europa</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3719-4A06-BEEB-779E6BAAD14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719-4A06-BEEB-779E6BAAD140}"/>
              </c:ext>
            </c:extLst>
          </c:dPt>
          <c:dLbls>
            <c:dLbl>
              <c:idx val="0"/>
              <c:delete val="1"/>
              <c:extLst>
                <c:ext xmlns:c15="http://schemas.microsoft.com/office/drawing/2012/chart" uri="{CE6537A1-D6FC-4f65-9D91-7224C49458BB}"/>
                <c:ext xmlns:c16="http://schemas.microsoft.com/office/drawing/2014/chart" uri="{C3380CC4-5D6E-409C-BE32-E72D297353CC}">
                  <c16:uniqueId val="{00000001-3719-4A06-BEEB-779E6BAAD140}"/>
                </c:ext>
              </c:extLst>
            </c:dLbl>
            <c:dLbl>
              <c:idx val="1"/>
              <c:tx>
                <c:rich>
                  <a:bodyPr/>
                  <a:lstStyle/>
                  <a:p>
                    <a:fld id="{1D6ED6D8-A653-4691-A25D-1995C9279062}"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719-4A06-BEEB-779E6BAAD1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(2)'!$C$9:$D$9</c:f>
              <c:numCache>
                <c:formatCode>#,##0</c:formatCode>
                <c:ptCount val="2"/>
                <c:pt idx="0" formatCode="General">
                  <c:v>0</c:v>
                </c:pt>
                <c:pt idx="1">
                  <c:v>626</c:v>
                </c:pt>
              </c:numCache>
            </c:numRef>
          </c:val>
          <c:extLst>
            <c:ext xmlns:c16="http://schemas.microsoft.com/office/drawing/2014/chart" uri="{C3380CC4-5D6E-409C-BE32-E72D297353CC}">
              <c16:uniqueId val="{00000004-3719-4A06-BEEB-779E6BAAD140}"/>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Wallis</a:t>
            </a:r>
          </a:p>
        </c:rich>
      </c:tx>
      <c:layout>
        <c:manualLayout>
          <c:xMode val="edge"/>
          <c:yMode val="edge"/>
          <c:x val="0.41522424242424244"/>
          <c:y val="9.23076923076923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(2)'!$B$10</c:f>
              <c:strCache>
                <c:ptCount val="1"/>
                <c:pt idx="0">
                  <c:v>Wallis </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EC6-4CF4-8F6F-29D22A93A566}"/>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DEC6-4CF4-8F6F-29D22A93A566}"/>
              </c:ext>
            </c:extLst>
          </c:dPt>
          <c:dLbls>
            <c:dLbl>
              <c:idx val="0"/>
              <c:delete val="1"/>
              <c:extLst>
                <c:ext xmlns:c15="http://schemas.microsoft.com/office/drawing/2012/chart" uri="{CE6537A1-D6FC-4f65-9D91-7224C49458BB}"/>
                <c:ext xmlns:c16="http://schemas.microsoft.com/office/drawing/2014/chart" uri="{C3380CC4-5D6E-409C-BE32-E72D297353CC}">
                  <c16:uniqueId val="{00000001-DEC6-4CF4-8F6F-29D22A93A566}"/>
                </c:ext>
              </c:extLst>
            </c:dLbl>
            <c:dLbl>
              <c:idx val="1"/>
              <c:tx>
                <c:rich>
                  <a:bodyPr/>
                  <a:lstStyle/>
                  <a:p>
                    <a:fld id="{FEA8E88D-87A2-452C-B375-F8CB74BF0FC9}"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C6-4CF4-8F6F-29D22A93A5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(2)'!$C$10:$D$10</c:f>
              <c:numCache>
                <c:formatCode>#,##0</c:formatCode>
                <c:ptCount val="2"/>
                <c:pt idx="0" formatCode="General">
                  <c:v>0</c:v>
                </c:pt>
                <c:pt idx="1">
                  <c:v>36</c:v>
                </c:pt>
              </c:numCache>
            </c:numRef>
          </c:val>
          <c:extLst>
            <c:ext xmlns:c16="http://schemas.microsoft.com/office/drawing/2014/chart" uri="{C3380CC4-5D6E-409C-BE32-E72D297353CC}">
              <c16:uniqueId val="{00000004-DEC6-4CF4-8F6F-29D22A93A566}"/>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Mayotte</a:t>
            </a:r>
          </a:p>
        </c:rich>
      </c:tx>
      <c:layout>
        <c:manualLayout>
          <c:xMode val="edge"/>
          <c:yMode val="edge"/>
          <c:x val="0.38253017703323072"/>
          <c:y val="8.9709762532981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(2)'!$B$11</c:f>
              <c:strCache>
                <c:ptCount val="1"/>
                <c:pt idx="0">
                  <c:v>Mayotte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FAC-4712-9644-0E2AABD98D8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2FAC-4712-9644-0E2AABD98D80}"/>
              </c:ext>
            </c:extLst>
          </c:dPt>
          <c:dLbls>
            <c:dLbl>
              <c:idx val="0"/>
              <c:delete val="1"/>
              <c:extLst>
                <c:ext xmlns:c15="http://schemas.microsoft.com/office/drawing/2012/chart" uri="{CE6537A1-D6FC-4f65-9D91-7224C49458BB}"/>
                <c:ext xmlns:c16="http://schemas.microsoft.com/office/drawing/2014/chart" uri="{C3380CC4-5D6E-409C-BE32-E72D297353CC}">
                  <c16:uniqueId val="{00000001-2FAC-4712-9644-0E2AABD98D80}"/>
                </c:ext>
              </c:extLst>
            </c:dLbl>
            <c:dLbl>
              <c:idx val="1"/>
              <c:tx>
                <c:rich>
                  <a:bodyPr/>
                  <a:lstStyle/>
                  <a:p>
                    <a:fld id="{243B3347-7EAE-41C8-B8C7-628D9880FAAB}" type="VALUE">
                      <a:rPr lang="en-US"/>
                      <a:pPr/>
                      <a:t>[VALEUR]</a:t>
                    </a:fld>
                    <a:r>
                      <a:rPr lang="en-US" baseline="0"/>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FAC-4712-9644-0E2AABD98D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(2)'!$C$11:$D$11</c:f>
              <c:numCache>
                <c:formatCode>#,##0</c:formatCode>
                <c:ptCount val="2"/>
                <c:pt idx="0" formatCode="General">
                  <c:v>0</c:v>
                </c:pt>
                <c:pt idx="1">
                  <c:v>623</c:v>
                </c:pt>
              </c:numCache>
            </c:numRef>
          </c:val>
          <c:extLst>
            <c:ext xmlns:c16="http://schemas.microsoft.com/office/drawing/2014/chart" uri="{C3380CC4-5D6E-409C-BE32-E72D297353CC}">
              <c16:uniqueId val="{00000004-2FAC-4712-9644-0E2AABD98D80}"/>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Martinique</a:t>
            </a:r>
          </a:p>
        </c:rich>
      </c:tx>
      <c:layout>
        <c:manualLayout>
          <c:xMode val="edge"/>
          <c:yMode val="edge"/>
          <c:x val="0.34744465841655225"/>
          <c:y val="8.9005235602094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(2)'!$B$12</c:f>
              <c:strCache>
                <c:ptCount val="1"/>
                <c:pt idx="0">
                  <c:v>Martinique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6EC6-4634-AE04-F4006540769A}"/>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6EC6-4634-AE04-F4006540769A}"/>
              </c:ext>
            </c:extLst>
          </c:dPt>
          <c:dLbls>
            <c:dLbl>
              <c:idx val="0"/>
              <c:delete val="1"/>
              <c:extLst>
                <c:ext xmlns:c15="http://schemas.microsoft.com/office/drawing/2012/chart" uri="{CE6537A1-D6FC-4f65-9D91-7224C49458BB}"/>
                <c:ext xmlns:c16="http://schemas.microsoft.com/office/drawing/2014/chart" uri="{C3380CC4-5D6E-409C-BE32-E72D297353CC}">
                  <c16:uniqueId val="{00000001-6EC6-4634-AE04-F4006540769A}"/>
                </c:ext>
              </c:extLst>
            </c:dLbl>
            <c:dLbl>
              <c:idx val="1"/>
              <c:layout>
                <c:manualLayout>
                  <c:x val="4.6683064746102551E-2"/>
                  <c:y val="-1.052652300041442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4CC2606-0ED3-42AA-BA94-ECDC4BF586E6}"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19825541150163922"/>
                      <c:h val="7.3605470368835468E-2"/>
                    </c:manualLayout>
                  </c15:layout>
                  <c15:dlblFieldTable/>
                  <c15:showDataLabelsRange val="0"/>
                </c:ext>
                <c:ext xmlns:c16="http://schemas.microsoft.com/office/drawing/2014/chart" uri="{C3380CC4-5D6E-409C-BE32-E72D297353CC}">
                  <c16:uniqueId val="{00000003-6EC6-4634-AE04-F400654076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(2)'!$C$12:$D$12</c:f>
              <c:numCache>
                <c:formatCode>#,##0</c:formatCode>
                <c:ptCount val="2"/>
                <c:pt idx="0" formatCode="General">
                  <c:v>103</c:v>
                </c:pt>
                <c:pt idx="1">
                  <c:v>1753</c:v>
                </c:pt>
              </c:numCache>
            </c:numRef>
          </c:val>
          <c:extLst>
            <c:ext xmlns:c16="http://schemas.microsoft.com/office/drawing/2014/chart" uri="{C3380CC4-5D6E-409C-BE32-E72D297353CC}">
              <c16:uniqueId val="{00000004-6EC6-4634-AE04-F4006540769A}"/>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Guadeloupe</a:t>
            </a:r>
          </a:p>
        </c:rich>
      </c:tx>
      <c:layout>
        <c:manualLayout>
          <c:xMode val="edge"/>
          <c:yMode val="edge"/>
          <c:x val="0.35169516101216092"/>
          <c:y val="0.1047120418848167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(2)'!$B$13</c:f>
              <c:strCache>
                <c:ptCount val="1"/>
                <c:pt idx="0">
                  <c:v>Guadeloupe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EF2-418B-83EF-3C829D8BD18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EF2-418B-83EF-3C829D8BD18C}"/>
              </c:ext>
            </c:extLst>
          </c:dPt>
          <c:dLbls>
            <c:dLbl>
              <c:idx val="0"/>
              <c:delete val="1"/>
              <c:extLst>
                <c:ext xmlns:c15="http://schemas.microsoft.com/office/drawing/2012/chart" uri="{CE6537A1-D6FC-4f65-9D91-7224C49458BB}"/>
                <c:ext xmlns:c16="http://schemas.microsoft.com/office/drawing/2014/chart" uri="{C3380CC4-5D6E-409C-BE32-E72D297353CC}">
                  <c16:uniqueId val="{00000001-4EF2-418B-83EF-3C829D8BD18C}"/>
                </c:ext>
              </c:extLst>
            </c:dLbl>
            <c:dLbl>
              <c:idx val="1"/>
              <c:layout>
                <c:manualLayout>
                  <c:x val="0.10473815461346633"/>
                  <c:y val="1.570680628272251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3011298-BA43-4863-9D63-AA821A11A97B}"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F2-418B-83EF-3C829D8BD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(2)'!$C$13:$D$13</c:f>
              <c:numCache>
                <c:formatCode>#,##0</c:formatCode>
                <c:ptCount val="2"/>
                <c:pt idx="0" formatCode="General">
                  <c:v>519</c:v>
                </c:pt>
                <c:pt idx="1">
                  <c:v>2787</c:v>
                </c:pt>
              </c:numCache>
            </c:numRef>
          </c:val>
          <c:extLst>
            <c:ext xmlns:c16="http://schemas.microsoft.com/office/drawing/2014/chart" uri="{C3380CC4-5D6E-409C-BE32-E72D297353CC}">
              <c16:uniqueId val="{00000004-4EF2-418B-83EF-3C829D8BD18C}"/>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Saint-Martin</a:t>
            </a:r>
          </a:p>
        </c:rich>
      </c:tx>
      <c:layout>
        <c:manualLayout>
          <c:xMode val="edge"/>
          <c:yMode val="edge"/>
          <c:x val="0.35003680331820419"/>
          <c:y val="9.97375328083989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(2)'!$B$14</c:f>
              <c:strCache>
                <c:ptCount val="1"/>
                <c:pt idx="0">
                  <c:v>Saint-Martin</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9386-427F-9C5B-D78FF890A532}"/>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9386-427F-9C5B-D78FF890A532}"/>
              </c:ext>
            </c:extLst>
          </c:dPt>
          <c:dLbls>
            <c:dLbl>
              <c:idx val="1"/>
              <c:layout>
                <c:manualLayout>
                  <c:x val="0.22549028311343333"/>
                  <c:y val="0.13648293963254593"/>
                </c:manualLayout>
              </c:layout>
              <c:tx>
                <c:rich>
                  <a:bodyPr/>
                  <a:lstStyle/>
                  <a:p>
                    <a:fld id="{B9146BD7-EC59-4FC8-B2F3-7E5481CCCE6A}"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layout>
                    <c:manualLayout>
                      <c:w val="0.16235300384167198"/>
                      <c:h val="7.3412280157893639E-2"/>
                    </c:manualLayout>
                  </c15:layout>
                  <c15:dlblFieldTable/>
                  <c15:showDataLabelsRange val="0"/>
                </c:ext>
                <c:ext xmlns:c16="http://schemas.microsoft.com/office/drawing/2014/chart" uri="{C3380CC4-5D6E-409C-BE32-E72D297353CC}">
                  <c16:uniqueId val="{00000003-9386-427F-9C5B-D78FF890A5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(2)'!$C$14:$D$14</c:f>
              <c:numCache>
                <c:formatCode>#,##0</c:formatCode>
                <c:ptCount val="2"/>
                <c:pt idx="0" formatCode="General">
                  <c:v>9</c:v>
                </c:pt>
                <c:pt idx="1">
                  <c:v>15.47</c:v>
                </c:pt>
              </c:numCache>
            </c:numRef>
          </c:val>
          <c:extLst>
            <c:ext xmlns:c16="http://schemas.microsoft.com/office/drawing/2014/chart" uri="{C3380CC4-5D6E-409C-BE32-E72D297353CC}">
              <c16:uniqueId val="{00000004-9386-427F-9C5B-D78FF890A532}"/>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Nouvelle-Calédonie</a:t>
            </a:r>
          </a:p>
        </c:rich>
      </c:tx>
      <c:layout>
        <c:manualLayout>
          <c:xMode val="edge"/>
          <c:yMode val="edge"/>
          <c:x val="0.27312736816988786"/>
          <c:y val="9.13461538461538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(2)'!$B$15</c:f>
              <c:strCache>
                <c:ptCount val="1"/>
                <c:pt idx="0">
                  <c:v>Nouvelle-Calédonie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C8A7-4E8E-9C5A-452729CD507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C8A7-4E8E-9C5A-452729CD5075}"/>
              </c:ext>
            </c:extLst>
          </c:dPt>
          <c:dLbls>
            <c:dLbl>
              <c:idx val="0"/>
              <c:delete val="1"/>
              <c:extLst>
                <c:ext xmlns:c15="http://schemas.microsoft.com/office/drawing/2012/chart" uri="{CE6537A1-D6FC-4f65-9D91-7224C49458BB}"/>
                <c:ext xmlns:c16="http://schemas.microsoft.com/office/drawing/2014/chart" uri="{C3380CC4-5D6E-409C-BE32-E72D297353CC}">
                  <c16:uniqueId val="{00000001-C8A7-4E8E-9C5A-452729CD5075}"/>
                </c:ext>
              </c:extLst>
            </c:dLbl>
            <c:dLbl>
              <c:idx val="1"/>
              <c:layout>
                <c:manualLayout>
                  <c:x val="0.18909090909090909"/>
                  <c:y val="0.12980769230769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792FA37-087E-41C1-A8D1-B088F48C016D}"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21738162729658791"/>
                      <c:h val="6.7235766202301622E-2"/>
                    </c:manualLayout>
                  </c15:layout>
                  <c15:dlblFieldTable/>
                  <c15:showDataLabelsRange val="0"/>
                </c:ext>
                <c:ext xmlns:c16="http://schemas.microsoft.com/office/drawing/2014/chart" uri="{C3380CC4-5D6E-409C-BE32-E72D297353CC}">
                  <c16:uniqueId val="{00000003-C8A7-4E8E-9C5A-452729CD5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(2)'!$C$15:$D$15</c:f>
              <c:numCache>
                <c:formatCode>#,##0</c:formatCode>
                <c:ptCount val="2"/>
                <c:pt idx="0" formatCode="General">
                  <c:v>10162</c:v>
                </c:pt>
                <c:pt idx="1">
                  <c:v>18114</c:v>
                </c:pt>
              </c:numCache>
            </c:numRef>
          </c:val>
          <c:extLst>
            <c:ext xmlns:c16="http://schemas.microsoft.com/office/drawing/2014/chart" uri="{C3380CC4-5D6E-409C-BE32-E72D297353CC}">
              <c16:uniqueId val="{00000004-C8A7-4E8E-9C5A-452729CD5075}"/>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Guyane</a:t>
            </a:r>
          </a:p>
        </c:rich>
      </c:tx>
      <c:layout>
        <c:manualLayout>
          <c:xMode val="edge"/>
          <c:yMode val="edge"/>
          <c:x val="0.39449873688417569"/>
          <c:y val="8.65384615384615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(2)'!$B$16</c:f>
              <c:strCache>
                <c:ptCount val="1"/>
                <c:pt idx="0">
                  <c:v>Guyane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6113-44CB-A6AF-6D0CFA06335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6113-44CB-A6AF-6D0CFA063355}"/>
              </c:ext>
            </c:extLst>
          </c:dPt>
          <c:dLbls>
            <c:dLbl>
              <c:idx val="0"/>
              <c:delete val="1"/>
              <c:extLst>
                <c:ext xmlns:c15="http://schemas.microsoft.com/office/drawing/2012/chart" uri="{CE6537A1-D6FC-4f65-9D91-7224C49458BB}"/>
                <c:ext xmlns:c16="http://schemas.microsoft.com/office/drawing/2014/chart" uri="{C3380CC4-5D6E-409C-BE32-E72D297353CC}">
                  <c16:uniqueId val="{00000001-6113-44CB-A6AF-6D0CFA063355}"/>
                </c:ext>
              </c:extLst>
            </c:dLbl>
            <c:dLbl>
              <c:idx val="1"/>
              <c:layout>
                <c:manualLayout>
                  <c:x val="0.19804408603434001"/>
                  <c:y val="0.2067309585099938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B968CC3-0443-4853-B231-E1999B0F3C7A}"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23391226302380033"/>
                      <c:h val="6.7235766202301622E-2"/>
                    </c:manualLayout>
                  </c15:layout>
                  <c15:dlblFieldTable/>
                  <c15:showDataLabelsRange val="0"/>
                </c:ext>
                <c:ext xmlns:c16="http://schemas.microsoft.com/office/drawing/2014/chart" uri="{C3380CC4-5D6E-409C-BE32-E72D297353CC}">
                  <c16:uniqueId val="{00000003-6113-44CB-A6AF-6D0CFA063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(2)'!$C$16:$D$16</c:f>
              <c:numCache>
                <c:formatCode>#,##0</c:formatCode>
                <c:ptCount val="2"/>
                <c:pt idx="0" formatCode="General">
                  <c:v>23595</c:v>
                </c:pt>
                <c:pt idx="1">
                  <c:v>29752</c:v>
                </c:pt>
              </c:numCache>
            </c:numRef>
          </c:val>
          <c:extLst>
            <c:ext xmlns:c16="http://schemas.microsoft.com/office/drawing/2014/chart" uri="{C3380CC4-5D6E-409C-BE32-E72D297353CC}">
              <c16:uniqueId val="{00000004-6113-44CB-A6AF-6D0CFA063355}"/>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Saint-Barthélemy</a:t>
            </a:r>
          </a:p>
        </c:rich>
      </c:tx>
      <c:layout>
        <c:manualLayout>
          <c:xMode val="edge"/>
          <c:yMode val="edge"/>
          <c:x val="0.266121116678597"/>
          <c:y val="9.3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(2)'!$B$17</c:f>
              <c:strCache>
                <c:ptCount val="1"/>
                <c:pt idx="0">
                  <c:v>Saint-Barthélemy</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E71-43D7-904F-D19BE46E5A04}"/>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7E71-43D7-904F-D19BE46E5A04}"/>
              </c:ext>
            </c:extLst>
          </c:dPt>
          <c:dLbls>
            <c:dLbl>
              <c:idx val="0"/>
              <c:delete val="1"/>
              <c:extLst>
                <c:ext xmlns:c15="http://schemas.microsoft.com/office/drawing/2012/chart" uri="{CE6537A1-D6FC-4f65-9D91-7224C49458BB}"/>
                <c:ext xmlns:c16="http://schemas.microsoft.com/office/drawing/2014/chart" uri="{C3380CC4-5D6E-409C-BE32-E72D297353CC}">
                  <c16:uniqueId val="{00000001-7E71-43D7-904F-D19BE46E5A04}"/>
                </c:ext>
              </c:extLst>
            </c:dLbl>
            <c:dLbl>
              <c:idx val="1"/>
              <c:tx>
                <c:rich>
                  <a:bodyPr/>
                  <a:lstStyle/>
                  <a:p>
                    <a:fld id="{20F7B44A-2288-4348-A0FF-BFA0A7E6D9F8}"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E71-43D7-904F-D19BE46E5A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(2)'!$C$17:$D$17</c:f>
              <c:numCache>
                <c:formatCode>#,##0</c:formatCode>
                <c:ptCount val="2"/>
                <c:pt idx="0" formatCode="General">
                  <c:v>3</c:v>
                </c:pt>
                <c:pt idx="1">
                  <c:v>0.99</c:v>
                </c:pt>
              </c:numCache>
            </c:numRef>
          </c:val>
          <c:extLst>
            <c:ext xmlns:c16="http://schemas.microsoft.com/office/drawing/2014/chart" uri="{C3380CC4-5D6E-409C-BE32-E72D297353CC}">
              <c16:uniqueId val="{00000004-7E71-43D7-904F-D19BE46E5A04}"/>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Juan de Nova</a:t>
            </a:r>
          </a:p>
        </c:rich>
      </c:tx>
      <c:layout>
        <c:manualLayout>
          <c:xMode val="edge"/>
          <c:yMode val="edge"/>
          <c:x val="0.32777480229282185"/>
          <c:y val="9.3506493506493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 (2)'!$B$18</c:f>
              <c:strCache>
                <c:ptCount val="1"/>
                <c:pt idx="0">
                  <c:v>Juan de Nova</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552-4626-A132-1F78085F021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F552-4626-A132-1F78085F0218}"/>
              </c:ext>
            </c:extLst>
          </c:dPt>
          <c:dLbls>
            <c:dLbl>
              <c:idx val="0"/>
              <c:delete val="1"/>
              <c:extLst>
                <c:ext xmlns:c15="http://schemas.microsoft.com/office/drawing/2012/chart" uri="{CE6537A1-D6FC-4f65-9D91-7224C49458BB}"/>
                <c:ext xmlns:c16="http://schemas.microsoft.com/office/drawing/2014/chart" uri="{C3380CC4-5D6E-409C-BE32-E72D297353CC}">
                  <c16:uniqueId val="{00000001-F552-4626-A132-1F78085F0218}"/>
                </c:ext>
              </c:extLst>
            </c:dLbl>
            <c:dLbl>
              <c:idx val="1"/>
              <c:layout>
                <c:manualLayout>
                  <c:x val="-6.1124717911833319E-2"/>
                  <c:y val="-0.10389589937621434"/>
                </c:manualLayout>
              </c:layout>
              <c:tx>
                <c:rich>
                  <a:bodyPr/>
                  <a:lstStyle/>
                  <a:p>
                    <a:fld id="{BB153493-B32E-40B6-AB83-38EA2DCDAF7F}"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layout>
                    <c:manualLayout>
                      <c:w val="0.11520786832022345"/>
                      <c:h val="7.2649555169240196E-2"/>
                    </c:manualLayout>
                  </c15:layout>
                  <c15:dlblFieldTable/>
                  <c15:showDataLabelsRange val="0"/>
                </c:ext>
                <c:ext xmlns:c16="http://schemas.microsoft.com/office/drawing/2014/chart" uri="{C3380CC4-5D6E-409C-BE32-E72D297353CC}">
                  <c16:uniqueId val="{00000003-F552-4626-A132-1F78085F02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 (2)'!$C$7:$D$7</c:f>
              <c:strCache>
                <c:ptCount val="2"/>
                <c:pt idx="0">
                  <c:v>Surfaces non protégées 
(en ha)</c:v>
                </c:pt>
                <c:pt idx="1">
                  <c:v>Surfaces protégées 
(en ha)</c:v>
                </c:pt>
              </c:strCache>
            </c:strRef>
          </c:cat>
          <c:val>
            <c:numRef>
              <c:f>'Graph 3_NEW (2)'!$C$18:$D$18</c:f>
              <c:numCache>
                <c:formatCode>#,##0</c:formatCode>
                <c:ptCount val="2"/>
                <c:pt idx="0" formatCode="General">
                  <c:v>0.23</c:v>
                </c:pt>
                <c:pt idx="1">
                  <c:v>0</c:v>
                </c:pt>
              </c:numCache>
            </c:numRef>
          </c:val>
          <c:extLst>
            <c:ext xmlns:c16="http://schemas.microsoft.com/office/drawing/2014/chart" uri="{C3380CC4-5D6E-409C-BE32-E72D297353CC}">
              <c16:uniqueId val="{00000004-F552-4626-A132-1F78085F0218}"/>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île d'Europa</a:t>
            </a:r>
          </a:p>
        </c:rich>
      </c:tx>
      <c:layout>
        <c:manualLayout>
          <c:xMode val="edge"/>
          <c:yMode val="edge"/>
          <c:x val="0.35027859699355768"/>
          <c:y val="9.74358974358974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3_NEW'!$B$9</c:f>
              <c:strCache>
                <c:ptCount val="1"/>
                <c:pt idx="0">
                  <c:v>Europa</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3DD4-45C6-AC20-D77A0B29FD2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DD4-45C6-AC20-D77A0B29FD2F}"/>
              </c:ext>
            </c:extLst>
          </c:dPt>
          <c:dLbls>
            <c:dLbl>
              <c:idx val="0"/>
              <c:delete val="1"/>
              <c:extLst>
                <c:ext xmlns:c15="http://schemas.microsoft.com/office/drawing/2012/chart" uri="{CE6537A1-D6FC-4f65-9D91-7224C49458BB}"/>
                <c:ext xmlns:c16="http://schemas.microsoft.com/office/drawing/2014/chart" uri="{C3380CC4-5D6E-409C-BE32-E72D297353CC}">
                  <c16:uniqueId val="{00000001-3DD4-45C6-AC20-D77A0B29FD2F}"/>
                </c:ext>
              </c:extLst>
            </c:dLbl>
            <c:dLbl>
              <c:idx val="1"/>
              <c:tx>
                <c:rich>
                  <a:bodyPr/>
                  <a:lstStyle/>
                  <a:p>
                    <a:fld id="{1D6ED6D8-A653-4691-A25D-1995C9279062}"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DD4-45C6-AC20-D77A0B29FD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3_NEW'!$C$9:$D$9</c:f>
              <c:numCache>
                <c:formatCode>#,##0</c:formatCode>
                <c:ptCount val="2"/>
                <c:pt idx="0" formatCode="General">
                  <c:v>0</c:v>
                </c:pt>
                <c:pt idx="1">
                  <c:v>626</c:v>
                </c:pt>
              </c:numCache>
            </c:numRef>
          </c:val>
          <c:extLst>
            <c:ext xmlns:c16="http://schemas.microsoft.com/office/drawing/2014/chart" uri="{C3380CC4-5D6E-409C-BE32-E72D297353CC}">
              <c16:uniqueId val="{00000004-3DD4-45C6-AC20-D77A0B29FD2F}"/>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Wallis</a:t>
            </a:r>
          </a:p>
        </c:rich>
      </c:tx>
      <c:layout>
        <c:manualLayout>
          <c:xMode val="edge"/>
          <c:yMode val="edge"/>
          <c:x val="0.41522424242424244"/>
          <c:y val="9.23076923076923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3_NEW'!$B$10</c:f>
              <c:strCache>
                <c:ptCount val="1"/>
                <c:pt idx="0">
                  <c:v>Wallis </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124D-471D-895E-6E4CCA963C1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24D-471D-895E-6E4CCA963C10}"/>
              </c:ext>
            </c:extLst>
          </c:dPt>
          <c:dLbls>
            <c:dLbl>
              <c:idx val="0"/>
              <c:delete val="1"/>
              <c:extLst>
                <c:ext xmlns:c15="http://schemas.microsoft.com/office/drawing/2012/chart" uri="{CE6537A1-D6FC-4f65-9D91-7224C49458BB}"/>
                <c:ext xmlns:c16="http://schemas.microsoft.com/office/drawing/2014/chart" uri="{C3380CC4-5D6E-409C-BE32-E72D297353CC}">
                  <c16:uniqueId val="{00000001-124D-471D-895E-6E4CCA963C10}"/>
                </c:ext>
              </c:extLst>
            </c:dLbl>
            <c:dLbl>
              <c:idx val="1"/>
              <c:tx>
                <c:rich>
                  <a:bodyPr/>
                  <a:lstStyle/>
                  <a:p>
                    <a:fld id="{FEA8E88D-87A2-452C-B375-F8CB74BF0FC9}"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4D-471D-895E-6E4CCA963C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3_NEW'!$C$10:$D$10</c:f>
              <c:numCache>
                <c:formatCode>#,##0</c:formatCode>
                <c:ptCount val="2"/>
                <c:pt idx="0" formatCode="General">
                  <c:v>0</c:v>
                </c:pt>
                <c:pt idx="1">
                  <c:v>36</c:v>
                </c:pt>
              </c:numCache>
            </c:numRef>
          </c:val>
          <c:extLst>
            <c:ext xmlns:c16="http://schemas.microsoft.com/office/drawing/2014/chart" uri="{C3380CC4-5D6E-409C-BE32-E72D297353CC}">
              <c16:uniqueId val="{00000004-124D-471D-895E-6E4CCA963C10}"/>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Mayotte</a:t>
            </a:r>
          </a:p>
        </c:rich>
      </c:tx>
      <c:layout>
        <c:manualLayout>
          <c:xMode val="edge"/>
          <c:yMode val="edge"/>
          <c:x val="0.38253017703323072"/>
          <c:y val="8.9709762532981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3_NEW'!$B$11</c:f>
              <c:strCache>
                <c:ptCount val="1"/>
                <c:pt idx="0">
                  <c:v>Mayotte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BDE8-44A8-AA28-FF3CC44B2EB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BDE8-44A8-AA28-FF3CC44B2EBC}"/>
              </c:ext>
            </c:extLst>
          </c:dPt>
          <c:dLbls>
            <c:dLbl>
              <c:idx val="0"/>
              <c:delete val="1"/>
              <c:extLst>
                <c:ext xmlns:c15="http://schemas.microsoft.com/office/drawing/2012/chart" uri="{CE6537A1-D6FC-4f65-9D91-7224C49458BB}"/>
                <c:ext xmlns:c16="http://schemas.microsoft.com/office/drawing/2014/chart" uri="{C3380CC4-5D6E-409C-BE32-E72D297353CC}">
                  <c16:uniqueId val="{00000001-BDE8-44A8-AA28-FF3CC44B2EBC}"/>
                </c:ext>
              </c:extLst>
            </c:dLbl>
            <c:dLbl>
              <c:idx val="1"/>
              <c:tx>
                <c:rich>
                  <a:bodyPr/>
                  <a:lstStyle/>
                  <a:p>
                    <a:fld id="{243B3347-7EAE-41C8-B8C7-628D9880FAAB}" type="VALUE">
                      <a:rPr lang="en-US"/>
                      <a:pPr/>
                      <a:t>[VALEUR]</a:t>
                    </a:fld>
                    <a:r>
                      <a:rPr lang="en-US" baseline="0"/>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DE8-44A8-AA28-FF3CC44B2E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3_NEW'!$C$11:$D$11</c:f>
              <c:numCache>
                <c:formatCode>#,##0</c:formatCode>
                <c:ptCount val="2"/>
                <c:pt idx="0" formatCode="General">
                  <c:v>0</c:v>
                </c:pt>
                <c:pt idx="1">
                  <c:v>623</c:v>
                </c:pt>
              </c:numCache>
            </c:numRef>
          </c:val>
          <c:extLst>
            <c:ext xmlns:c16="http://schemas.microsoft.com/office/drawing/2014/chart" uri="{C3380CC4-5D6E-409C-BE32-E72D297353CC}">
              <c16:uniqueId val="{00000004-BDE8-44A8-AA28-FF3CC44B2EBC}"/>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Martinique</a:t>
            </a:r>
          </a:p>
        </c:rich>
      </c:tx>
      <c:layout>
        <c:manualLayout>
          <c:xMode val="edge"/>
          <c:yMode val="edge"/>
          <c:x val="0.34744465841655225"/>
          <c:y val="8.90052356020942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3_NEW'!$B$12</c:f>
              <c:strCache>
                <c:ptCount val="1"/>
                <c:pt idx="0">
                  <c:v>Martinique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0B7-4C80-B059-235D0F06064D}"/>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0B7-4C80-B059-235D0F06064D}"/>
              </c:ext>
            </c:extLst>
          </c:dPt>
          <c:dLbls>
            <c:dLbl>
              <c:idx val="0"/>
              <c:delete val="1"/>
              <c:extLst>
                <c:ext xmlns:c15="http://schemas.microsoft.com/office/drawing/2012/chart" uri="{CE6537A1-D6FC-4f65-9D91-7224C49458BB}"/>
                <c:ext xmlns:c16="http://schemas.microsoft.com/office/drawing/2014/chart" uri="{C3380CC4-5D6E-409C-BE32-E72D297353CC}">
                  <c16:uniqueId val="{00000001-40B7-4C80-B059-235D0F06064D}"/>
                </c:ext>
              </c:extLst>
            </c:dLbl>
            <c:dLbl>
              <c:idx val="1"/>
              <c:layout>
                <c:manualLayout>
                  <c:x val="4.6683064746102551E-2"/>
                  <c:y val="-1.052652300041442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4CC2606-0ED3-42AA-BA94-ECDC4BF586E6}"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19825541150163922"/>
                      <c:h val="7.3605470368835468E-2"/>
                    </c:manualLayout>
                  </c15:layout>
                  <c15:dlblFieldTable/>
                  <c15:showDataLabelsRange val="0"/>
                </c:ext>
                <c:ext xmlns:c16="http://schemas.microsoft.com/office/drawing/2014/chart" uri="{C3380CC4-5D6E-409C-BE32-E72D297353CC}">
                  <c16:uniqueId val="{00000003-40B7-4C80-B059-235D0F0606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3_NEW'!$C$12:$D$12</c:f>
              <c:numCache>
                <c:formatCode>#,##0</c:formatCode>
                <c:ptCount val="2"/>
                <c:pt idx="0" formatCode="General">
                  <c:v>103</c:v>
                </c:pt>
                <c:pt idx="1">
                  <c:v>1753</c:v>
                </c:pt>
              </c:numCache>
            </c:numRef>
          </c:val>
          <c:extLst>
            <c:ext xmlns:c16="http://schemas.microsoft.com/office/drawing/2014/chart" uri="{C3380CC4-5D6E-409C-BE32-E72D297353CC}">
              <c16:uniqueId val="{00000004-40B7-4C80-B059-235D0F06064D}"/>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Guadeloupe</a:t>
            </a:r>
          </a:p>
        </c:rich>
      </c:tx>
      <c:layout>
        <c:manualLayout>
          <c:xMode val="edge"/>
          <c:yMode val="edge"/>
          <c:x val="0.35169516101216092"/>
          <c:y val="0.1047120418848167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3_NEW'!$B$13</c:f>
              <c:strCache>
                <c:ptCount val="1"/>
                <c:pt idx="0">
                  <c:v>Guadeloupe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180F-4EC6-89AC-BA634F94596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80F-4EC6-89AC-BA634F945965}"/>
              </c:ext>
            </c:extLst>
          </c:dPt>
          <c:dLbls>
            <c:dLbl>
              <c:idx val="0"/>
              <c:delete val="1"/>
              <c:extLst>
                <c:ext xmlns:c15="http://schemas.microsoft.com/office/drawing/2012/chart" uri="{CE6537A1-D6FC-4f65-9D91-7224C49458BB}"/>
                <c:ext xmlns:c16="http://schemas.microsoft.com/office/drawing/2014/chart" uri="{C3380CC4-5D6E-409C-BE32-E72D297353CC}">
                  <c16:uniqueId val="{00000001-180F-4EC6-89AC-BA634F945965}"/>
                </c:ext>
              </c:extLst>
            </c:dLbl>
            <c:dLbl>
              <c:idx val="1"/>
              <c:layout>
                <c:manualLayout>
                  <c:x val="0.10473815461346633"/>
                  <c:y val="1.570680628272251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3011298-BA43-4863-9D63-AA821A11A97B}"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80F-4EC6-89AC-BA634F9459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3_NEW'!$C$13:$D$13</c:f>
              <c:numCache>
                <c:formatCode>#,##0</c:formatCode>
                <c:ptCount val="2"/>
                <c:pt idx="0" formatCode="General">
                  <c:v>519</c:v>
                </c:pt>
                <c:pt idx="1">
                  <c:v>2787</c:v>
                </c:pt>
              </c:numCache>
            </c:numRef>
          </c:val>
          <c:extLst>
            <c:ext xmlns:c16="http://schemas.microsoft.com/office/drawing/2014/chart" uri="{C3380CC4-5D6E-409C-BE32-E72D297353CC}">
              <c16:uniqueId val="{00000004-180F-4EC6-89AC-BA634F945965}"/>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Saint-Martin</a:t>
            </a:r>
          </a:p>
        </c:rich>
      </c:tx>
      <c:layout>
        <c:manualLayout>
          <c:xMode val="edge"/>
          <c:yMode val="edge"/>
          <c:x val="0.35003680331820419"/>
          <c:y val="9.97375328083989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3_NEW'!$B$14</c:f>
              <c:strCache>
                <c:ptCount val="1"/>
                <c:pt idx="0">
                  <c:v>Saint-Martin</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E94E-44F1-A172-D2EDCDAF8A17}"/>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E94E-44F1-A172-D2EDCDAF8A17}"/>
              </c:ext>
            </c:extLst>
          </c:dPt>
          <c:dLbls>
            <c:dLbl>
              <c:idx val="1"/>
              <c:layout>
                <c:manualLayout>
                  <c:x val="0.22549028311343333"/>
                  <c:y val="0.13648293963254593"/>
                </c:manualLayout>
              </c:layout>
              <c:tx>
                <c:rich>
                  <a:bodyPr/>
                  <a:lstStyle/>
                  <a:p>
                    <a:fld id="{B9146BD7-EC59-4FC8-B2F3-7E5481CCCE6A}"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layout>
                    <c:manualLayout>
                      <c:w val="0.16235300384167198"/>
                      <c:h val="7.3412280157893639E-2"/>
                    </c:manualLayout>
                  </c15:layout>
                  <c15:dlblFieldTable/>
                  <c15:showDataLabelsRange val="0"/>
                </c:ext>
                <c:ext xmlns:c16="http://schemas.microsoft.com/office/drawing/2014/chart" uri="{C3380CC4-5D6E-409C-BE32-E72D297353CC}">
                  <c16:uniqueId val="{00000003-E94E-44F1-A172-D2EDCDAF8A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3_NEW'!$C$14:$D$14</c:f>
              <c:numCache>
                <c:formatCode>#,##0</c:formatCode>
                <c:ptCount val="2"/>
                <c:pt idx="0" formatCode="General">
                  <c:v>9</c:v>
                </c:pt>
                <c:pt idx="1">
                  <c:v>15.47</c:v>
                </c:pt>
              </c:numCache>
            </c:numRef>
          </c:val>
          <c:extLst>
            <c:ext xmlns:c16="http://schemas.microsoft.com/office/drawing/2014/chart" uri="{C3380CC4-5D6E-409C-BE32-E72D297353CC}">
              <c16:uniqueId val="{00000004-E94E-44F1-A172-D2EDCDAF8A17}"/>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Nouvelle-Calédonie</a:t>
            </a:r>
          </a:p>
        </c:rich>
      </c:tx>
      <c:layout>
        <c:manualLayout>
          <c:xMode val="edge"/>
          <c:yMode val="edge"/>
          <c:x val="0.27312736816988786"/>
          <c:y val="9.13461538461538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3_NEW'!$B$15</c:f>
              <c:strCache>
                <c:ptCount val="1"/>
                <c:pt idx="0">
                  <c:v>Nouvelle-Calédonie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01C-452E-9B9E-8BD156CAC38E}"/>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01C-452E-9B9E-8BD156CAC38E}"/>
              </c:ext>
            </c:extLst>
          </c:dPt>
          <c:dLbls>
            <c:dLbl>
              <c:idx val="0"/>
              <c:delete val="1"/>
              <c:extLst>
                <c:ext xmlns:c15="http://schemas.microsoft.com/office/drawing/2012/chart" uri="{CE6537A1-D6FC-4f65-9D91-7224C49458BB}"/>
                <c:ext xmlns:c16="http://schemas.microsoft.com/office/drawing/2014/chart" uri="{C3380CC4-5D6E-409C-BE32-E72D297353CC}">
                  <c16:uniqueId val="{00000001-401C-452E-9B9E-8BD156CAC38E}"/>
                </c:ext>
              </c:extLst>
            </c:dLbl>
            <c:dLbl>
              <c:idx val="1"/>
              <c:layout>
                <c:manualLayout>
                  <c:x val="0.18909090909090909"/>
                  <c:y val="0.129807692307692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792FA37-087E-41C1-A8D1-B088F48C016D}"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21738162729658791"/>
                      <c:h val="6.7235766202301622E-2"/>
                    </c:manualLayout>
                  </c15:layout>
                  <c15:dlblFieldTable/>
                  <c15:showDataLabelsRange val="0"/>
                </c:ext>
                <c:ext xmlns:c16="http://schemas.microsoft.com/office/drawing/2014/chart" uri="{C3380CC4-5D6E-409C-BE32-E72D297353CC}">
                  <c16:uniqueId val="{00000003-401C-452E-9B9E-8BD156CAC3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3_NEW'!$C$15:$D$15</c:f>
              <c:numCache>
                <c:formatCode>#,##0</c:formatCode>
                <c:ptCount val="2"/>
                <c:pt idx="0" formatCode="General">
                  <c:v>10162</c:v>
                </c:pt>
                <c:pt idx="1">
                  <c:v>18114</c:v>
                </c:pt>
              </c:numCache>
            </c:numRef>
          </c:val>
          <c:extLst>
            <c:ext xmlns:c16="http://schemas.microsoft.com/office/drawing/2014/chart" uri="{C3380CC4-5D6E-409C-BE32-E72D297353CC}">
              <c16:uniqueId val="{00000004-401C-452E-9B9E-8BD156CAC38E}"/>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Guyane</a:t>
            </a:r>
          </a:p>
        </c:rich>
      </c:tx>
      <c:layout>
        <c:manualLayout>
          <c:xMode val="edge"/>
          <c:yMode val="edge"/>
          <c:x val="0.39449873688417569"/>
          <c:y val="8.65384615384615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3_NEW'!$B$16</c:f>
              <c:strCache>
                <c:ptCount val="1"/>
                <c:pt idx="0">
                  <c:v>Guyane</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3CD6-494F-8FB3-F420F1F8C1E4}"/>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CD6-494F-8FB3-F420F1F8C1E4}"/>
              </c:ext>
            </c:extLst>
          </c:dPt>
          <c:dLbls>
            <c:dLbl>
              <c:idx val="0"/>
              <c:delete val="1"/>
              <c:extLst>
                <c:ext xmlns:c15="http://schemas.microsoft.com/office/drawing/2012/chart" uri="{CE6537A1-D6FC-4f65-9D91-7224C49458BB}"/>
                <c:ext xmlns:c16="http://schemas.microsoft.com/office/drawing/2014/chart" uri="{C3380CC4-5D6E-409C-BE32-E72D297353CC}">
                  <c16:uniqueId val="{00000001-3CD6-494F-8FB3-F420F1F8C1E4}"/>
                </c:ext>
              </c:extLst>
            </c:dLbl>
            <c:dLbl>
              <c:idx val="1"/>
              <c:layout>
                <c:manualLayout>
                  <c:x val="0.19804408603434001"/>
                  <c:y val="0.2067309585099938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B968CC3-0443-4853-B231-E1999B0F3C7A}" type="VALUE">
                      <a:rPr lang="en-US" b="1"/>
                      <a:pPr>
                        <a:defRPr b="1"/>
                      </a:pPr>
                      <a:t>[VALEUR]</a:t>
                    </a:fld>
                    <a:r>
                      <a:rPr lang="en-US" b="1"/>
                      <a:t> ha</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layout>
                    <c:manualLayout>
                      <c:w val="0.23391226302380033"/>
                      <c:h val="6.7235766202301622E-2"/>
                    </c:manualLayout>
                  </c15:layout>
                  <c15:dlblFieldTable/>
                  <c15:showDataLabelsRange val="0"/>
                </c:ext>
                <c:ext xmlns:c16="http://schemas.microsoft.com/office/drawing/2014/chart" uri="{C3380CC4-5D6E-409C-BE32-E72D297353CC}">
                  <c16:uniqueId val="{00000003-3CD6-494F-8FB3-F420F1F8C1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3_NEW'!$C$16:$D$16</c:f>
              <c:numCache>
                <c:formatCode>#,##0</c:formatCode>
                <c:ptCount val="2"/>
                <c:pt idx="0" formatCode="General">
                  <c:v>23595</c:v>
                </c:pt>
                <c:pt idx="1">
                  <c:v>29752</c:v>
                </c:pt>
              </c:numCache>
            </c:numRef>
          </c:val>
          <c:extLst>
            <c:ext xmlns:c16="http://schemas.microsoft.com/office/drawing/2014/chart" uri="{C3380CC4-5D6E-409C-BE32-E72D297353CC}">
              <c16:uniqueId val="{00000004-3CD6-494F-8FB3-F420F1F8C1E4}"/>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Saint-Barthélemy</a:t>
            </a:r>
          </a:p>
        </c:rich>
      </c:tx>
      <c:layout>
        <c:manualLayout>
          <c:xMode val="edge"/>
          <c:yMode val="edge"/>
          <c:x val="0.266121116678597"/>
          <c:y val="9.3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3_NEW'!$B$17</c:f>
              <c:strCache>
                <c:ptCount val="1"/>
                <c:pt idx="0">
                  <c:v>Saint-Barthélemy</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6E8C-4CE9-9DF4-3B08183756C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6E8C-4CE9-9DF4-3B08183756CF}"/>
              </c:ext>
            </c:extLst>
          </c:dPt>
          <c:dLbls>
            <c:dLbl>
              <c:idx val="0"/>
              <c:delete val="1"/>
              <c:extLst>
                <c:ext xmlns:c15="http://schemas.microsoft.com/office/drawing/2012/chart" uri="{CE6537A1-D6FC-4f65-9D91-7224C49458BB}"/>
                <c:ext xmlns:c16="http://schemas.microsoft.com/office/drawing/2014/chart" uri="{C3380CC4-5D6E-409C-BE32-E72D297353CC}">
                  <c16:uniqueId val="{00000001-6E8C-4CE9-9DF4-3B08183756CF}"/>
                </c:ext>
              </c:extLst>
            </c:dLbl>
            <c:dLbl>
              <c:idx val="1"/>
              <c:tx>
                <c:rich>
                  <a:bodyPr/>
                  <a:lstStyle/>
                  <a:p>
                    <a:fld id="{20F7B44A-2288-4348-A0FF-BFA0A7E6D9F8}"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E8C-4CE9-9DF4-3B08183756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3_NEW'!$C$17:$D$17</c:f>
              <c:numCache>
                <c:formatCode>#,##0</c:formatCode>
                <c:ptCount val="2"/>
                <c:pt idx="0" formatCode="General">
                  <c:v>3</c:v>
                </c:pt>
                <c:pt idx="1">
                  <c:v>0.99</c:v>
                </c:pt>
              </c:numCache>
            </c:numRef>
          </c:val>
          <c:extLst>
            <c:ext xmlns:c16="http://schemas.microsoft.com/office/drawing/2014/chart" uri="{C3380CC4-5D6E-409C-BE32-E72D297353CC}">
              <c16:uniqueId val="{00000004-6E8C-4CE9-9DF4-3B08183756CF}"/>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rgbClr val="F8F314"/>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Juan de Nova</a:t>
            </a:r>
          </a:p>
        </c:rich>
      </c:tx>
      <c:layout>
        <c:manualLayout>
          <c:xMode val="edge"/>
          <c:yMode val="edge"/>
          <c:x val="0.32777480229282185"/>
          <c:y val="9.3506493506493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doughnutChart>
        <c:varyColors val="1"/>
        <c:ser>
          <c:idx val="0"/>
          <c:order val="0"/>
          <c:tx>
            <c:strRef>
              <c:f>'Graph 3_NEW'!$B$18</c:f>
              <c:strCache>
                <c:ptCount val="1"/>
                <c:pt idx="0">
                  <c:v>Juan de Nova</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BF2-4A29-A22E-6A7155FCF10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7BF2-4A29-A22E-6A7155FCF10F}"/>
              </c:ext>
            </c:extLst>
          </c:dPt>
          <c:dLbls>
            <c:dLbl>
              <c:idx val="0"/>
              <c:delete val="1"/>
              <c:extLst>
                <c:ext xmlns:c15="http://schemas.microsoft.com/office/drawing/2012/chart" uri="{CE6537A1-D6FC-4f65-9D91-7224C49458BB}"/>
                <c:ext xmlns:c16="http://schemas.microsoft.com/office/drawing/2014/chart" uri="{C3380CC4-5D6E-409C-BE32-E72D297353CC}">
                  <c16:uniqueId val="{00000001-7BF2-4A29-A22E-6A7155FCF10F}"/>
                </c:ext>
              </c:extLst>
            </c:dLbl>
            <c:dLbl>
              <c:idx val="1"/>
              <c:layout>
                <c:manualLayout>
                  <c:x val="-6.1124717911833319E-2"/>
                  <c:y val="-0.10389589937621434"/>
                </c:manualLayout>
              </c:layout>
              <c:tx>
                <c:rich>
                  <a:bodyPr/>
                  <a:lstStyle/>
                  <a:p>
                    <a:fld id="{BB153493-B32E-40B6-AB83-38EA2DCDAF7F}" type="VALUE">
                      <a:rPr lang="en-US"/>
                      <a:pPr/>
                      <a:t>[VALEUR]</a:t>
                    </a:fld>
                    <a:r>
                      <a:rPr lang="en-US"/>
                      <a:t> ha</a:t>
                    </a:r>
                  </a:p>
                </c:rich>
              </c:tx>
              <c:showLegendKey val="0"/>
              <c:showVal val="1"/>
              <c:showCatName val="0"/>
              <c:showSerName val="0"/>
              <c:showPercent val="0"/>
              <c:showBubbleSize val="0"/>
              <c:extLst>
                <c:ext xmlns:c15="http://schemas.microsoft.com/office/drawing/2012/chart" uri="{CE6537A1-D6FC-4f65-9D91-7224C49458BB}">
                  <c15:layout>
                    <c:manualLayout>
                      <c:w val="0.11520786832022345"/>
                      <c:h val="7.2649555169240196E-2"/>
                    </c:manualLayout>
                  </c15:layout>
                  <c15:dlblFieldTable/>
                  <c15:showDataLabelsRange val="0"/>
                </c:ext>
                <c:ext xmlns:c16="http://schemas.microsoft.com/office/drawing/2014/chart" uri="{C3380CC4-5D6E-409C-BE32-E72D297353CC}">
                  <c16:uniqueId val="{00000003-7BF2-4A29-A22E-6A7155FCF1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 3_NEW'!$C$7:$D$7</c:f>
              <c:strCache>
                <c:ptCount val="2"/>
                <c:pt idx="0">
                  <c:v>Surfaces non protégées 
(en ha)</c:v>
                </c:pt>
                <c:pt idx="1">
                  <c:v>Surfaces protégées 
(en ha)</c:v>
                </c:pt>
              </c:strCache>
            </c:strRef>
          </c:cat>
          <c:val>
            <c:numRef>
              <c:f>'Graph 3_NEW'!$C$18:$D$18</c:f>
              <c:numCache>
                <c:formatCode>#,##0</c:formatCode>
                <c:ptCount val="2"/>
                <c:pt idx="0" formatCode="General">
                  <c:v>0.23</c:v>
                </c:pt>
                <c:pt idx="1">
                  <c:v>0</c:v>
                </c:pt>
              </c:numCache>
            </c:numRef>
          </c:val>
          <c:extLst>
            <c:ext xmlns:c16="http://schemas.microsoft.com/office/drawing/2014/chart" uri="{C3380CC4-5D6E-409C-BE32-E72D297353CC}">
              <c16:uniqueId val="{00000004-7BF2-4A29-A22E-6A7155FCF10F}"/>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924755112914983E-2"/>
          <c:y val="6.0942216346179488E-2"/>
          <c:w val="0.87848223132599002"/>
          <c:h val="0.71558009432087932"/>
        </c:manualLayout>
      </c:layout>
      <c:lineChart>
        <c:grouping val="standard"/>
        <c:varyColors val="0"/>
        <c:ser>
          <c:idx val="0"/>
          <c:order val="0"/>
          <c:tx>
            <c:strRef>
              <c:f>'Graph 4'!$H$8</c:f>
              <c:strCache>
                <c:ptCount val="1"/>
                <c:pt idx="0">
                  <c:v>Fête des Mares </c:v>
                </c:pt>
              </c:strCache>
            </c:strRef>
          </c:tx>
          <c:spPr>
            <a:ln>
              <a:solidFill>
                <a:schemeClr val="bg2">
                  <a:lumMod val="50000"/>
                </a:schemeClr>
              </a:solidFill>
            </a:ln>
            <a:effectLst>
              <a:outerShdw blurRad="50800" dist="38100" dir="2700000" algn="tl" rotWithShape="0">
                <a:prstClr val="black">
                  <a:alpha val="40000"/>
                </a:prstClr>
              </a:outerShdw>
            </a:effectLst>
          </c:spPr>
          <c:marker>
            <c:symbol val="none"/>
          </c:marker>
          <c:cat>
            <c:numRef>
              <c:f>'Graph 4'!$A$9:$A$26</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'Graph 4'!$H$9:$H$26</c:f>
              <c:numCache>
                <c:formatCode>General</c:formatCode>
                <c:ptCount val="18"/>
                <c:pt idx="12">
                  <c:v>133</c:v>
                </c:pt>
                <c:pt idx="13">
                  <c:v>191</c:v>
                </c:pt>
                <c:pt idx="14">
                  <c:v>167</c:v>
                </c:pt>
                <c:pt idx="15">
                  <c:v>120</c:v>
                </c:pt>
                <c:pt idx="16">
                  <c:v>48</c:v>
                </c:pt>
                <c:pt idx="17">
                  <c:v>115</c:v>
                </c:pt>
              </c:numCache>
            </c:numRef>
          </c:val>
          <c:smooth val="0"/>
          <c:extLst>
            <c:ext xmlns:c16="http://schemas.microsoft.com/office/drawing/2014/chart" uri="{C3380CC4-5D6E-409C-BE32-E72D297353CC}">
              <c16:uniqueId val="{00000000-79A1-4B2B-AFFA-A7B7D1C9EE52}"/>
            </c:ext>
          </c:extLst>
        </c:ser>
        <c:ser>
          <c:idx val="1"/>
          <c:order val="1"/>
          <c:tx>
            <c:strRef>
              <c:f>'Graph 4'!$I$8</c:f>
              <c:strCache>
                <c:ptCount val="1"/>
                <c:pt idx="0">
                  <c:v>Fréquence Grenouille</c:v>
                </c:pt>
              </c:strCache>
            </c:strRef>
          </c:tx>
          <c:spPr>
            <a:ln>
              <a:solidFill>
                <a:srgbClr val="92D050"/>
              </a:solidFill>
            </a:ln>
            <a:effectLst>
              <a:outerShdw blurRad="50800" dist="38100" dir="2700000" algn="tl" rotWithShape="0">
                <a:prstClr val="black">
                  <a:alpha val="40000"/>
                </a:prstClr>
              </a:outerShdw>
            </a:effectLst>
          </c:spPr>
          <c:marker>
            <c:symbol val="none"/>
          </c:marker>
          <c:cat>
            <c:numRef>
              <c:f>'Graph 4'!$A$9:$A$26</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'Graph 4'!$I$9:$I$26</c:f>
              <c:numCache>
                <c:formatCode>General</c:formatCode>
                <c:ptCount val="18"/>
                <c:pt idx="0">
                  <c:v>170</c:v>
                </c:pt>
                <c:pt idx="1">
                  <c:v>140</c:v>
                </c:pt>
                <c:pt idx="2">
                  <c:v>170</c:v>
                </c:pt>
                <c:pt idx="3">
                  <c:v>230</c:v>
                </c:pt>
                <c:pt idx="4">
                  <c:v>250</c:v>
                </c:pt>
                <c:pt idx="5">
                  <c:v>300</c:v>
                </c:pt>
                <c:pt idx="6">
                  <c:v>400</c:v>
                </c:pt>
                <c:pt idx="7">
                  <c:v>410</c:v>
                </c:pt>
                <c:pt idx="8">
                  <c:v>430</c:v>
                </c:pt>
                <c:pt idx="9">
                  <c:v>400</c:v>
                </c:pt>
                <c:pt idx="10">
                  <c:v>400</c:v>
                </c:pt>
                <c:pt idx="11">
                  <c:v>350</c:v>
                </c:pt>
                <c:pt idx="12">
                  <c:v>370</c:v>
                </c:pt>
                <c:pt idx="13">
                  <c:v>370</c:v>
                </c:pt>
                <c:pt idx="14">
                  <c:v>297</c:v>
                </c:pt>
                <c:pt idx="15">
                  <c:v>500</c:v>
                </c:pt>
                <c:pt idx="16">
                  <c:v>50</c:v>
                </c:pt>
                <c:pt idx="17">
                  <c:v>249</c:v>
                </c:pt>
              </c:numCache>
            </c:numRef>
          </c:val>
          <c:smooth val="0"/>
          <c:extLst>
            <c:ext xmlns:c16="http://schemas.microsoft.com/office/drawing/2014/chart" uri="{C3380CC4-5D6E-409C-BE32-E72D297353CC}">
              <c16:uniqueId val="{00000001-79A1-4B2B-AFFA-A7B7D1C9EE52}"/>
            </c:ext>
          </c:extLst>
        </c:ser>
        <c:ser>
          <c:idx val="2"/>
          <c:order val="2"/>
          <c:tx>
            <c:strRef>
              <c:f>'Graph 4'!$J$8</c:f>
              <c:strCache>
                <c:ptCount val="1"/>
                <c:pt idx="0">
                  <c:v>Journée Mondiale des Zones Humides</c:v>
                </c:pt>
              </c:strCache>
            </c:strRef>
          </c:tx>
          <c:spPr>
            <a:ln cmpd="sng">
              <a:solidFill>
                <a:schemeClr val="tx2">
                  <a:lumMod val="60000"/>
                  <a:lumOff val="40000"/>
                </a:schemeClr>
              </a:solidFill>
            </a:ln>
            <a:effectLst>
              <a:outerShdw blurRad="50800" dist="38100" dir="2700000" algn="tl" rotWithShape="0">
                <a:prstClr val="black">
                  <a:alpha val="40000"/>
                </a:prstClr>
              </a:outerShdw>
            </a:effectLst>
          </c:spPr>
          <c:marker>
            <c:symbol val="none"/>
          </c:marker>
          <c:cat>
            <c:numRef>
              <c:f>'Graph 4'!$A$9:$A$26</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'Graph 4'!$J$9:$J$26</c:f>
              <c:numCache>
                <c:formatCode>General</c:formatCode>
                <c:ptCount val="18"/>
                <c:pt idx="0">
                  <c:v>25</c:v>
                </c:pt>
                <c:pt idx="1">
                  <c:v>32</c:v>
                </c:pt>
                <c:pt idx="2">
                  <c:v>189</c:v>
                </c:pt>
                <c:pt idx="3">
                  <c:v>180</c:v>
                </c:pt>
                <c:pt idx="6">
                  <c:v>282</c:v>
                </c:pt>
                <c:pt idx="7">
                  <c:v>383</c:v>
                </c:pt>
                <c:pt idx="8">
                  <c:v>475</c:v>
                </c:pt>
                <c:pt idx="9">
                  <c:v>430</c:v>
                </c:pt>
                <c:pt idx="10">
                  <c:v>489</c:v>
                </c:pt>
                <c:pt idx="11">
                  <c:v>551</c:v>
                </c:pt>
                <c:pt idx="12">
                  <c:v>626</c:v>
                </c:pt>
                <c:pt idx="13">
                  <c:v>641</c:v>
                </c:pt>
                <c:pt idx="14">
                  <c:v>647</c:v>
                </c:pt>
                <c:pt idx="15">
                  <c:v>704</c:v>
                </c:pt>
                <c:pt idx="16">
                  <c:v>789</c:v>
                </c:pt>
                <c:pt idx="17">
                  <c:v>795</c:v>
                </c:pt>
              </c:numCache>
            </c:numRef>
          </c:val>
          <c:smooth val="0"/>
          <c:extLst>
            <c:ext xmlns:c16="http://schemas.microsoft.com/office/drawing/2014/chart" uri="{C3380CC4-5D6E-409C-BE32-E72D297353CC}">
              <c16:uniqueId val="{00000002-79A1-4B2B-AFFA-A7B7D1C9EE52}"/>
            </c:ext>
          </c:extLst>
        </c:ser>
        <c:ser>
          <c:idx val="3"/>
          <c:order val="3"/>
          <c:tx>
            <c:strRef>
              <c:f>'Graph 4'!$K$8</c:f>
              <c:strCache>
                <c:ptCount val="1"/>
                <c:pt idx="0">
                  <c:v>Trois animations confondues</c:v>
                </c:pt>
              </c:strCache>
            </c:strRef>
          </c:tx>
          <c:spPr>
            <a:ln>
              <a:solidFill>
                <a:schemeClr val="accent5">
                  <a:lumMod val="50000"/>
                </a:schemeClr>
              </a:solidFill>
            </a:ln>
            <a:effectLst>
              <a:outerShdw blurRad="50800" dist="38100" dir="2700000" algn="tl" rotWithShape="0">
                <a:prstClr val="black">
                  <a:alpha val="40000"/>
                </a:prstClr>
              </a:outerShdw>
            </a:effectLst>
          </c:spPr>
          <c:marker>
            <c:symbol val="none"/>
          </c:marker>
          <c:cat>
            <c:numRef>
              <c:f>'Graph 4'!$A$9:$A$26</c:f>
              <c:numCache>
                <c:formatCode>General</c:formatCode>
                <c:ptCount val="18"/>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numCache>
            </c:numRef>
          </c:cat>
          <c:val>
            <c:numRef>
              <c:f>'Graph 4'!$K$9:$K$26</c:f>
              <c:numCache>
                <c:formatCode>General</c:formatCode>
                <c:ptCount val="18"/>
                <c:pt idx="0">
                  <c:v>195</c:v>
                </c:pt>
                <c:pt idx="1">
                  <c:v>172</c:v>
                </c:pt>
                <c:pt idx="2">
                  <c:v>359</c:v>
                </c:pt>
                <c:pt idx="3">
                  <c:v>410</c:v>
                </c:pt>
                <c:pt idx="4">
                  <c:v>250</c:v>
                </c:pt>
                <c:pt idx="5">
                  <c:v>300</c:v>
                </c:pt>
                <c:pt idx="6">
                  <c:v>682</c:v>
                </c:pt>
                <c:pt idx="7">
                  <c:v>793</c:v>
                </c:pt>
                <c:pt idx="8">
                  <c:v>905</c:v>
                </c:pt>
                <c:pt idx="9">
                  <c:v>830</c:v>
                </c:pt>
                <c:pt idx="10">
                  <c:v>889</c:v>
                </c:pt>
                <c:pt idx="11">
                  <c:v>901</c:v>
                </c:pt>
                <c:pt idx="12">
                  <c:v>1129</c:v>
                </c:pt>
                <c:pt idx="13">
                  <c:v>1202</c:v>
                </c:pt>
                <c:pt idx="14">
                  <c:v>1111</c:v>
                </c:pt>
                <c:pt idx="15">
                  <c:v>1324</c:v>
                </c:pt>
                <c:pt idx="16">
                  <c:v>887</c:v>
                </c:pt>
                <c:pt idx="17">
                  <c:v>1159</c:v>
                </c:pt>
              </c:numCache>
            </c:numRef>
          </c:val>
          <c:smooth val="0"/>
          <c:extLst>
            <c:ext xmlns:c16="http://schemas.microsoft.com/office/drawing/2014/chart" uri="{C3380CC4-5D6E-409C-BE32-E72D297353CC}">
              <c16:uniqueId val="{00000003-79A1-4B2B-AFFA-A7B7D1C9EE52}"/>
            </c:ext>
          </c:extLst>
        </c:ser>
        <c:dLbls>
          <c:showLegendKey val="0"/>
          <c:showVal val="0"/>
          <c:showCatName val="0"/>
          <c:showSerName val="0"/>
          <c:showPercent val="0"/>
          <c:showBubbleSize val="0"/>
        </c:dLbls>
        <c:smooth val="0"/>
        <c:axId val="2103735311"/>
        <c:axId val="1"/>
      </c:lineChart>
      <c:catAx>
        <c:axId val="210373531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
        <c:crosses val="autoZero"/>
        <c:auto val="1"/>
        <c:lblAlgn val="ctr"/>
        <c:lblOffset val="100"/>
        <c:noMultiLvlLbl val="0"/>
      </c:catAx>
      <c:valAx>
        <c:axId val="1"/>
        <c:scaling>
          <c:orientation val="minMax"/>
        </c:scaling>
        <c:delete val="0"/>
        <c:axPos val="l"/>
        <c:majorGridlines>
          <c:spPr>
            <a:ln w="3175">
              <a:solidFill>
                <a:schemeClr val="bg1">
                  <a:lumMod val="75000"/>
                </a:schemeClr>
              </a:solidFill>
              <a:prstDash val="dash"/>
            </a:ln>
          </c:spPr>
        </c:majorGridlines>
        <c:numFmt formatCode="#,##0" sourceLinked="0"/>
        <c:majorTickMark val="out"/>
        <c:minorTickMark val="none"/>
        <c:tickLblPos val="nextTo"/>
        <c:spPr>
          <a:ln w="25400">
            <a:noFill/>
          </a:ln>
        </c:spPr>
        <c:txPr>
          <a:bodyPr rot="0" vert="horz"/>
          <a:lstStyle/>
          <a:p>
            <a:pPr>
              <a:defRPr sz="1000" b="0" i="0" u="none" strike="noStrike" baseline="0">
                <a:solidFill>
                  <a:srgbClr val="000000"/>
                </a:solidFill>
                <a:latin typeface="Arial"/>
                <a:ea typeface="Arial"/>
                <a:cs typeface="Arial"/>
              </a:defRPr>
            </a:pPr>
            <a:endParaRPr lang="fr-FR"/>
          </a:p>
        </c:txPr>
        <c:crossAx val="2103735311"/>
        <c:crosses val="autoZero"/>
        <c:crossBetween val="between"/>
      </c:valAx>
      <c:spPr>
        <a:noFill/>
        <a:ln w="25400">
          <a:noFill/>
        </a:ln>
      </c:spPr>
    </c:plotArea>
    <c:legend>
      <c:legendPos val="r"/>
      <c:layout>
        <c:manualLayout>
          <c:xMode val="edge"/>
          <c:yMode val="edge"/>
          <c:x val="8.6710176324386767E-2"/>
          <c:y val="0.86512469805816106"/>
          <c:w val="0.85743584038295162"/>
          <c:h val="8.7774376585304292E-2"/>
        </c:manualLayout>
      </c:layout>
      <c:overlay val="0"/>
      <c:txPr>
        <a:bodyPr/>
        <a:lstStyle/>
        <a:p>
          <a:pPr>
            <a:defRPr sz="1000" b="0" i="0" u="none" strike="noStrike" baseline="0">
              <a:solidFill>
                <a:schemeClr val="tx1"/>
              </a:solidFill>
              <a:latin typeface="Arial"/>
              <a:ea typeface="Arial"/>
              <a:cs typeface="Arial"/>
            </a:defRPr>
          </a:pPr>
          <a:endParaRPr lang="fr-FR"/>
        </a:p>
      </c:txPr>
    </c:legend>
    <c:plotVisOnly val="1"/>
    <c:dispBlanksAs val="gap"/>
    <c:showDLblsOverMax val="0"/>
  </c:chart>
  <c:spPr>
    <a:solidFill>
      <a:srgbClr val="FFFFFF"/>
    </a:solidFill>
    <a:ln w="3175">
      <a:noFill/>
      <a:prstDash val="solid"/>
    </a:ln>
  </c:spPr>
  <c:txPr>
    <a:bodyPr/>
    <a:lstStyle/>
    <a:p>
      <a:pPr>
        <a:defRPr sz="12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1665212160979878"/>
          <c:y val="0.21583812158615309"/>
          <c:w val="0.77731417706398376"/>
          <c:h val="0.63292771355670885"/>
        </c:manualLayout>
      </c:layout>
      <c:lineChart>
        <c:grouping val="standard"/>
        <c:varyColors val="0"/>
        <c:ser>
          <c:idx val="0"/>
          <c:order val="0"/>
          <c:marker>
            <c:symbol val="none"/>
          </c:marker>
          <c:cat>
            <c:numRef>
              <c:f>'Graph 5'!$B$8:$Q$8</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'Graph 5'!$B$8:$Q$8</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val>
          <c:smooth val="1"/>
          <c:extLst>
            <c:ext xmlns:c16="http://schemas.microsoft.com/office/drawing/2014/chart" uri="{C3380CC4-5D6E-409C-BE32-E72D297353CC}">
              <c16:uniqueId val="{00000010-5986-49C4-9082-0E69FEF37018}"/>
            </c:ext>
          </c:extLst>
        </c:ser>
        <c:ser>
          <c:idx val="1"/>
          <c:order val="1"/>
          <c:spPr>
            <a:ln w="25400">
              <a:solidFill>
                <a:srgbClr val="685547"/>
              </a:solidFill>
              <a:prstDash val="solid"/>
            </a:ln>
          </c:spPr>
          <c:marker>
            <c:symbol val="none"/>
          </c:marker>
          <c:dLbls>
            <c:dLbl>
              <c:idx val="0"/>
              <c:layout>
                <c:manualLayout>
                  <c:x val="-3.6183917121780222E-3"/>
                  <c:y val="-2.6936078057507331E-2"/>
                </c:manualLayout>
              </c:layout>
              <c:numFmt formatCode="#,##0.0" sourceLinked="0"/>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6B-40CD-A508-75BFB5045B87}"/>
                </c:ext>
              </c:extLst>
            </c:dLbl>
            <c:dLbl>
              <c:idx val="1"/>
              <c:delete val="1"/>
              <c:extLst>
                <c:ext xmlns:c15="http://schemas.microsoft.com/office/drawing/2012/chart" uri="{CE6537A1-D6FC-4f65-9D91-7224C49458BB}"/>
                <c:ext xmlns:c16="http://schemas.microsoft.com/office/drawing/2014/chart" uri="{C3380CC4-5D6E-409C-BE32-E72D297353CC}">
                  <c16:uniqueId val="{00000001-926B-40CD-A508-75BFB5045B87}"/>
                </c:ext>
              </c:extLst>
            </c:dLbl>
            <c:dLbl>
              <c:idx val="2"/>
              <c:layout>
                <c:manualLayout>
                  <c:x val="-3.2037057796464673E-2"/>
                  <c:y val="-2.7629544793272624E-2"/>
                </c:manualLayout>
              </c:layout>
              <c:numFmt formatCode="#,##0.0" sourceLinked="0"/>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6B-40CD-A508-75BFB5045B87}"/>
                </c:ext>
              </c:extLst>
            </c:dLbl>
            <c:dLbl>
              <c:idx val="3"/>
              <c:delete val="1"/>
              <c:extLst>
                <c:ext xmlns:c15="http://schemas.microsoft.com/office/drawing/2012/chart" uri="{CE6537A1-D6FC-4f65-9D91-7224C49458BB}"/>
                <c:ext xmlns:c16="http://schemas.microsoft.com/office/drawing/2014/chart" uri="{C3380CC4-5D6E-409C-BE32-E72D297353CC}">
                  <c16:uniqueId val="{00000003-926B-40CD-A508-75BFB5045B87}"/>
                </c:ext>
              </c:extLst>
            </c:dLbl>
            <c:dLbl>
              <c:idx val="4"/>
              <c:layout>
                <c:manualLayout>
                  <c:x val="-5.1026315633601577E-2"/>
                  <c:y val="-2.6880680411923107E-2"/>
                </c:manualLayout>
              </c:layout>
              <c:numFmt formatCode="#,##0.0" sourceLinked="0"/>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6B-40CD-A508-75BFB5045B87}"/>
                </c:ext>
              </c:extLst>
            </c:dLbl>
            <c:dLbl>
              <c:idx val="5"/>
              <c:delete val="1"/>
              <c:extLst>
                <c:ext xmlns:c15="http://schemas.microsoft.com/office/drawing/2012/chart" uri="{CE6537A1-D6FC-4f65-9D91-7224C49458BB}"/>
                <c:ext xmlns:c16="http://schemas.microsoft.com/office/drawing/2014/chart" uri="{C3380CC4-5D6E-409C-BE32-E72D297353CC}">
                  <c16:uniqueId val="{00000005-926B-40CD-A508-75BFB5045B87}"/>
                </c:ext>
              </c:extLst>
            </c:dLbl>
            <c:dLbl>
              <c:idx val="6"/>
              <c:layout>
                <c:manualLayout>
                  <c:x val="-5.430323800514792E-2"/>
                  <c:y val="-3.2869475535241978E-2"/>
                </c:manualLayout>
              </c:layout>
              <c:numFmt formatCode="#,##0.0" sourceLinked="0"/>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6B-40CD-A508-75BFB5045B87}"/>
                </c:ext>
              </c:extLst>
            </c:dLbl>
            <c:dLbl>
              <c:idx val="7"/>
              <c:delete val="1"/>
              <c:extLst>
                <c:ext xmlns:c15="http://schemas.microsoft.com/office/drawing/2012/chart" uri="{CE6537A1-D6FC-4f65-9D91-7224C49458BB}"/>
                <c:ext xmlns:c16="http://schemas.microsoft.com/office/drawing/2014/chart" uri="{C3380CC4-5D6E-409C-BE32-E72D297353CC}">
                  <c16:uniqueId val="{00000007-926B-40CD-A508-75BFB5045B87}"/>
                </c:ext>
              </c:extLst>
            </c:dLbl>
            <c:dLbl>
              <c:idx val="8"/>
              <c:layout>
                <c:manualLayout>
                  <c:x val="-2.2272200349956358E-2"/>
                  <c:y val="-5.6102839974813606E-2"/>
                </c:manualLayout>
              </c:layout>
              <c:numFmt formatCode="#,##0.0" sourceLinked="0"/>
              <c:spPr>
                <a:noFill/>
                <a:ln w="25400">
                  <a:noFill/>
                </a:ln>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6B-40CD-A508-75BFB5045B87}"/>
                </c:ext>
              </c:extLst>
            </c:dLbl>
            <c:dLbl>
              <c:idx val="9"/>
              <c:delete val="1"/>
              <c:extLst>
                <c:ext xmlns:c15="http://schemas.microsoft.com/office/drawing/2012/chart" uri="{CE6537A1-D6FC-4f65-9D91-7224C49458BB}"/>
                <c:ext xmlns:c16="http://schemas.microsoft.com/office/drawing/2014/chart" uri="{C3380CC4-5D6E-409C-BE32-E72D297353CC}">
                  <c16:uniqueId val="{00000009-926B-40CD-A508-75BFB5045B87}"/>
                </c:ext>
              </c:extLst>
            </c:dLbl>
            <c:dLbl>
              <c:idx val="10"/>
              <c:layout>
                <c:manualLayout>
                  <c:x val="-1.4856081708449397E-2"/>
                  <c:y val="-2.2421524663677157E-2"/>
                </c:manualLayout>
              </c:layout>
              <c:numFmt formatCode="#,##0.0" sourceLinked="0"/>
              <c:spPr>
                <a:noFill/>
                <a:ln w="25400">
                  <a:noFill/>
                </a:ln>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6B-40CD-A508-75BFB5045B87}"/>
                </c:ext>
              </c:extLst>
            </c:dLbl>
            <c:dLbl>
              <c:idx val="11"/>
              <c:delete val="1"/>
              <c:extLst>
                <c:ext xmlns:c15="http://schemas.microsoft.com/office/drawing/2012/chart" uri="{CE6537A1-D6FC-4f65-9D91-7224C49458BB}"/>
                <c:ext xmlns:c16="http://schemas.microsoft.com/office/drawing/2014/chart" uri="{C3380CC4-5D6E-409C-BE32-E72D297353CC}">
                  <c16:uniqueId val="{0000000B-926B-40CD-A508-75BFB5045B87}"/>
                </c:ext>
              </c:extLst>
            </c:dLbl>
            <c:dLbl>
              <c:idx val="12"/>
              <c:layout>
                <c:manualLayout>
                  <c:x val="-2.4607356145027529E-2"/>
                  <c:y val="-2.4665179537541396E-2"/>
                </c:manualLayout>
              </c:layout>
              <c:numFmt formatCode="#,##0.0" sourceLinked="0"/>
              <c:spPr>
                <a:noFill/>
                <a:ln w="25400">
                  <a:noFill/>
                </a:ln>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6B-40CD-A508-75BFB5045B87}"/>
                </c:ext>
              </c:extLst>
            </c:dLbl>
            <c:dLbl>
              <c:idx val="13"/>
              <c:delete val="1"/>
              <c:extLst>
                <c:ext xmlns:c15="http://schemas.microsoft.com/office/drawing/2012/chart" uri="{CE6537A1-D6FC-4f65-9D91-7224C49458BB}"/>
                <c:ext xmlns:c16="http://schemas.microsoft.com/office/drawing/2014/chart" uri="{C3380CC4-5D6E-409C-BE32-E72D297353CC}">
                  <c16:uniqueId val="{0000000D-926B-40CD-A508-75BFB5045B87}"/>
                </c:ext>
              </c:extLst>
            </c:dLbl>
            <c:dLbl>
              <c:idx val="14"/>
              <c:layout>
                <c:manualLayout>
                  <c:x val="-3.2037057796464881E-2"/>
                  <c:y val="-2.9901047085179256E-2"/>
                </c:manualLayout>
              </c:layout>
              <c:numFmt formatCode="#,##0.0" sourceLinked="0"/>
              <c:spPr>
                <a:noFill/>
                <a:ln w="25400">
                  <a:noFill/>
                </a:ln>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26B-40CD-A508-75BFB5045B87}"/>
                </c:ext>
              </c:extLst>
            </c:dLbl>
            <c:dLbl>
              <c:idx val="15"/>
              <c:layout>
                <c:manualLayout>
                  <c:x val="-7.4280408542248344E-3"/>
                  <c:y val="-2.2421524663677157E-2"/>
                </c:manualLayout>
              </c:layout>
              <c:numFmt formatCode="#,##0.0" sourceLinked="0"/>
              <c:spPr>
                <a:noFill/>
                <a:ln w="25400">
                  <a:noFill/>
                </a:ln>
              </c:spPr>
              <c:txPr>
                <a:bodyPr/>
                <a:lstStyle/>
                <a:p>
                  <a:pPr>
                    <a:defRPr sz="1000" b="0" i="0" u="none" strike="noStrike" baseline="0">
                      <a:solidFill>
                        <a:srgbClr val="333333"/>
                      </a:solidFill>
                      <a:latin typeface="Marianne Light"/>
                      <a:ea typeface="Marianne Light"/>
                      <a:cs typeface="Marianne Light"/>
                    </a:defRPr>
                  </a:pPr>
                  <a:endParaRPr lang="fr-FR"/>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26B-40CD-A508-75BFB5045B87}"/>
                </c:ext>
              </c:extLst>
            </c:dLbl>
            <c:numFmt formatCode="#,##0.0" sourceLinked="0"/>
            <c:spPr>
              <a:noFill/>
              <a:ln w="25400">
                <a:noFill/>
              </a:ln>
            </c:spPr>
            <c:txPr>
              <a:bodyPr wrap="square" lIns="38100" tIns="19050" rIns="38100" bIns="19050" anchor="ctr">
                <a:spAutoFit/>
              </a:bodyPr>
              <a:lstStyle/>
              <a:p>
                <a:pPr>
                  <a:defRPr sz="1000" b="0" i="0" u="none" strike="noStrike" baseline="0">
                    <a:solidFill>
                      <a:srgbClr val="333333"/>
                    </a:solidFill>
                    <a:latin typeface="Marianne Light"/>
                    <a:ea typeface="Marianne Light"/>
                    <a:cs typeface="Marianne Light"/>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5'!$B$8:$Q$8</c:f>
              <c:numCache>
                <c:formatCode>General</c:formatCode>
                <c:ptCount val="16"/>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numCache>
            </c:numRef>
          </c:cat>
          <c:val>
            <c:numRef>
              <c:f>'Graph 5'!$B$9:$Q$9</c:f>
              <c:numCache>
                <c:formatCode>0.0</c:formatCode>
                <c:ptCount val="16"/>
                <c:pt idx="0">
                  <c:v>20.9</c:v>
                </c:pt>
                <c:pt idx="1">
                  <c:v>13.95</c:v>
                </c:pt>
                <c:pt idx="2">
                  <c:v>23.63</c:v>
                </c:pt>
                <c:pt idx="3">
                  <c:v>16.059999999999999</c:v>
                </c:pt>
                <c:pt idx="4">
                  <c:v>25.2</c:v>
                </c:pt>
                <c:pt idx="5">
                  <c:v>29.85</c:v>
                </c:pt>
                <c:pt idx="6">
                  <c:v>33.4</c:v>
                </c:pt>
                <c:pt idx="7">
                  <c:v>37.700000000000003</c:v>
                </c:pt>
                <c:pt idx="8">
                  <c:v>31.8</c:v>
                </c:pt>
                <c:pt idx="9">
                  <c:v>36.200000000000003</c:v>
                </c:pt>
                <c:pt idx="10">
                  <c:v>40.799999999999997</c:v>
                </c:pt>
                <c:pt idx="11">
                  <c:v>33.1</c:v>
                </c:pt>
                <c:pt idx="12">
                  <c:v>33.4</c:v>
                </c:pt>
                <c:pt idx="13">
                  <c:v>34.894999999999996</c:v>
                </c:pt>
                <c:pt idx="14">
                  <c:v>43.28</c:v>
                </c:pt>
                <c:pt idx="15">
                  <c:v>39.4</c:v>
                </c:pt>
              </c:numCache>
            </c:numRef>
          </c:val>
          <c:smooth val="1"/>
          <c:extLst>
            <c:ext xmlns:c16="http://schemas.microsoft.com/office/drawing/2014/chart" uri="{C3380CC4-5D6E-409C-BE32-E72D297353CC}">
              <c16:uniqueId val="{00000012-5986-49C4-9082-0E69FEF37018}"/>
            </c:ext>
          </c:extLst>
        </c:ser>
        <c:dLbls>
          <c:showLegendKey val="0"/>
          <c:showVal val="0"/>
          <c:showCatName val="0"/>
          <c:showSerName val="0"/>
          <c:showPercent val="0"/>
          <c:showBubbleSize val="0"/>
        </c:dLbls>
        <c:smooth val="0"/>
        <c:axId val="1162138240"/>
        <c:axId val="1"/>
      </c:lineChart>
      <c:catAx>
        <c:axId val="11621382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333333"/>
                </a:solidFill>
                <a:latin typeface="Marianne Light"/>
                <a:ea typeface="Marianne Light"/>
                <a:cs typeface="Marianne Light"/>
              </a:defRPr>
            </a:pPr>
            <a:endParaRPr lang="fr-FR"/>
          </a:p>
        </c:txPr>
        <c:crossAx val="1"/>
        <c:crosses val="autoZero"/>
        <c:auto val="1"/>
        <c:lblAlgn val="ctr"/>
        <c:lblOffset val="100"/>
        <c:tickLblSkip val="1"/>
        <c:tickMarkSkip val="1"/>
        <c:noMultiLvlLbl val="0"/>
      </c:catAx>
      <c:valAx>
        <c:axId val="1"/>
        <c:scaling>
          <c:orientation val="minMax"/>
          <c:max val="50"/>
          <c:min val="0"/>
        </c:scaling>
        <c:delete val="0"/>
        <c:axPos val="l"/>
        <c:majorGridlines>
          <c:spPr>
            <a:ln w="3175">
              <a:solidFill>
                <a:srgbClr val="FFFFFF"/>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333333"/>
                </a:solidFill>
                <a:latin typeface="Marianne Light"/>
                <a:ea typeface="Marianne Light"/>
                <a:cs typeface="Marianne Light"/>
              </a:defRPr>
            </a:pPr>
            <a:endParaRPr lang="fr-FR"/>
          </a:p>
        </c:txPr>
        <c:crossAx val="1162138240"/>
        <c:crosses val="autoZero"/>
        <c:crossBetween val="midCat"/>
        <c:majorUnit val="10"/>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1276349</xdr:colOff>
      <xdr:row>43</xdr:row>
      <xdr:rowOff>123824</xdr:rowOff>
    </xdr:from>
    <xdr:to>
      <xdr:col>7</xdr:col>
      <xdr:colOff>47624</xdr:colOff>
      <xdr:row>77</xdr:row>
      <xdr:rowOff>19050</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732066</xdr:colOff>
      <xdr:row>22</xdr:row>
      <xdr:rowOff>27214</xdr:rowOff>
    </xdr:from>
    <xdr:to>
      <xdr:col>8</xdr:col>
      <xdr:colOff>598714</xdr:colOff>
      <xdr:row>35</xdr:row>
      <xdr:rowOff>149680</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542925</xdr:colOff>
      <xdr:row>4</xdr:row>
      <xdr:rowOff>38100</xdr:rowOff>
    </xdr:from>
    <xdr:to>
      <xdr:col>14</xdr:col>
      <xdr:colOff>409575</xdr:colOff>
      <xdr:row>18</xdr:row>
      <xdr:rowOff>85725</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717549</xdr:colOff>
      <xdr:row>1</xdr:row>
      <xdr:rowOff>6349</xdr:rowOff>
    </xdr:from>
    <xdr:to>
      <xdr:col>8</xdr:col>
      <xdr:colOff>9549</xdr:colOff>
      <xdr:row>10</xdr:row>
      <xdr:rowOff>110814</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178295</xdr:colOff>
      <xdr:row>1</xdr:row>
      <xdr:rowOff>3876</xdr:rowOff>
    </xdr:from>
    <xdr:to>
      <xdr:col>20</xdr:col>
      <xdr:colOff>232295</xdr:colOff>
      <xdr:row>10</xdr:row>
      <xdr:rowOff>114526</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13936</xdr:colOff>
      <xdr:row>1</xdr:row>
      <xdr:rowOff>6349</xdr:rowOff>
    </xdr:from>
    <xdr:to>
      <xdr:col>11</xdr:col>
      <xdr:colOff>67936</xdr:colOff>
      <xdr:row>10</xdr:row>
      <xdr:rowOff>110814</xdr:rowOff>
    </xdr:to>
    <xdr:graphicFrame macro="">
      <xdr:nvGraphicFramePr>
        <xdr:cNvPr id="4" name="Graphique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717551</xdr:colOff>
      <xdr:row>10</xdr:row>
      <xdr:rowOff>114300</xdr:rowOff>
    </xdr:from>
    <xdr:to>
      <xdr:col>8</xdr:col>
      <xdr:colOff>9551</xdr:colOff>
      <xdr:row>20</xdr:row>
      <xdr:rowOff>150728</xdr:rowOff>
    </xdr:to>
    <xdr:graphicFrame macro="">
      <xdr:nvGraphicFramePr>
        <xdr:cNvPr id="5" name="Graphique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25979</xdr:colOff>
      <xdr:row>10</xdr:row>
      <xdr:rowOff>120650</xdr:rowOff>
    </xdr:from>
    <xdr:to>
      <xdr:col>11</xdr:col>
      <xdr:colOff>79979</xdr:colOff>
      <xdr:row>20</xdr:row>
      <xdr:rowOff>157078</xdr:rowOff>
    </xdr:to>
    <xdr:graphicFrame macro="">
      <xdr:nvGraphicFramePr>
        <xdr:cNvPr id="6" name="Graphique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89067</xdr:colOff>
      <xdr:row>10</xdr:row>
      <xdr:rowOff>109682</xdr:rowOff>
    </xdr:from>
    <xdr:to>
      <xdr:col>14</xdr:col>
      <xdr:colOff>143067</xdr:colOff>
      <xdr:row>20</xdr:row>
      <xdr:rowOff>147348</xdr:rowOff>
    </xdr:to>
    <xdr:graphicFrame macro="">
      <xdr:nvGraphicFramePr>
        <xdr:cNvPr id="7" name="Graphique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121310</xdr:colOff>
      <xdr:row>1</xdr:row>
      <xdr:rowOff>8493</xdr:rowOff>
    </xdr:from>
    <xdr:to>
      <xdr:col>17</xdr:col>
      <xdr:colOff>175310</xdr:colOff>
      <xdr:row>10</xdr:row>
      <xdr:rowOff>119143</xdr:rowOff>
    </xdr:to>
    <xdr:graphicFrame macro="">
      <xdr:nvGraphicFramePr>
        <xdr:cNvPr id="8" name="Graphique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180604</xdr:colOff>
      <xdr:row>10</xdr:row>
      <xdr:rowOff>129722</xdr:rowOff>
    </xdr:from>
    <xdr:to>
      <xdr:col>20</xdr:col>
      <xdr:colOff>234604</xdr:colOff>
      <xdr:row>21</xdr:row>
      <xdr:rowOff>2865</xdr:rowOff>
    </xdr:to>
    <xdr:graphicFrame macro="">
      <xdr:nvGraphicFramePr>
        <xdr:cNvPr id="9" name="Graphique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149844</xdr:colOff>
      <xdr:row>10</xdr:row>
      <xdr:rowOff>120156</xdr:rowOff>
    </xdr:from>
    <xdr:to>
      <xdr:col>17</xdr:col>
      <xdr:colOff>203844</xdr:colOff>
      <xdr:row>20</xdr:row>
      <xdr:rowOff>157822</xdr:rowOff>
    </xdr:to>
    <xdr:graphicFrame macro="">
      <xdr:nvGraphicFramePr>
        <xdr:cNvPr id="10" name="Graphique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84482</xdr:colOff>
      <xdr:row>1</xdr:row>
      <xdr:rowOff>4948</xdr:rowOff>
    </xdr:from>
    <xdr:to>
      <xdr:col>14</xdr:col>
      <xdr:colOff>138482</xdr:colOff>
      <xdr:row>10</xdr:row>
      <xdr:rowOff>109413</xdr:rowOff>
    </xdr:to>
    <xdr:graphicFrame macro="">
      <xdr:nvGraphicFramePr>
        <xdr:cNvPr id="11" name="Graphique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56</xdr:row>
      <xdr:rowOff>0</xdr:rowOff>
    </xdr:from>
    <xdr:to>
      <xdr:col>15</xdr:col>
      <xdr:colOff>0</xdr:colOff>
      <xdr:row>59</xdr:row>
      <xdr:rowOff>0</xdr:rowOff>
    </xdr:to>
    <xdr:sp macro="" textlink="">
      <xdr:nvSpPr>
        <xdr:cNvPr id="12" name="ZoneTexte 11">
          <a:extLst>
            <a:ext uri="{FF2B5EF4-FFF2-40B4-BE49-F238E27FC236}">
              <a16:creationId xmlns:a16="http://schemas.microsoft.com/office/drawing/2014/main" id="{00000000-0008-0000-0300-00000C000000}"/>
            </a:ext>
          </a:extLst>
        </xdr:cNvPr>
        <xdr:cNvSpPr txBox="1"/>
      </xdr:nvSpPr>
      <xdr:spPr>
        <a:xfrm>
          <a:off x="3810000" y="11001375"/>
          <a:ext cx="7620000"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latin typeface="Arial" panose="020B0604020202020204" pitchFamily="34" charset="0"/>
              <a:cs typeface="Arial" panose="020B0604020202020204" pitchFamily="34" charset="0"/>
            </a:rPr>
            <a:t>Champ</a:t>
          </a:r>
          <a:r>
            <a:rPr lang="fr-FR" sz="1200" baseline="0">
              <a:latin typeface="Arial" panose="020B0604020202020204" pitchFamily="34" charset="0"/>
              <a:cs typeface="Arial" panose="020B0604020202020204" pitchFamily="34" charset="0"/>
            </a:rPr>
            <a:t> : Ensemble des Outre-mer hors Polynésie française (mangroves introduites)</a:t>
          </a:r>
          <a:endParaRPr lang="fr-FR" sz="1200">
            <a:latin typeface="Arial" panose="020B0604020202020204" pitchFamily="34" charset="0"/>
            <a:cs typeface="Arial" panose="020B0604020202020204" pitchFamily="34" charset="0"/>
          </a:endParaRPr>
        </a:p>
      </xdr:txBody>
    </xdr:sp>
    <xdr:clientData/>
  </xdr:twoCellAnchor>
  <xdr:twoCellAnchor>
    <xdr:from>
      <xdr:col>5</xdr:col>
      <xdr:colOff>18142</xdr:colOff>
      <xdr:row>58</xdr:row>
      <xdr:rowOff>108857</xdr:rowOff>
    </xdr:from>
    <xdr:to>
      <xdr:col>17</xdr:col>
      <xdr:colOff>563696</xdr:colOff>
      <xdr:row>63</xdr:row>
      <xdr:rowOff>9072</xdr:rowOff>
    </xdr:to>
    <xdr:sp macro="" textlink="">
      <xdr:nvSpPr>
        <xdr:cNvPr id="13" name="Text Box 1025">
          <a:extLst>
            <a:ext uri="{FF2B5EF4-FFF2-40B4-BE49-F238E27FC236}">
              <a16:creationId xmlns:a16="http://schemas.microsoft.com/office/drawing/2014/main" id="{00000000-0008-0000-0300-00000D000000}"/>
            </a:ext>
          </a:extLst>
        </xdr:cNvPr>
        <xdr:cNvSpPr txBox="1">
          <a:spLocks noChangeArrowheads="1"/>
        </xdr:cNvSpPr>
      </xdr:nvSpPr>
      <xdr:spPr bwMode="auto">
        <a:xfrm>
          <a:off x="3828142" y="11434082"/>
          <a:ext cx="9689554" cy="709840"/>
        </a:xfrm>
        <a:prstGeom prst="rect">
          <a:avLst/>
        </a:prstGeom>
        <a:noFill/>
        <a:ln>
          <a:noFill/>
        </a:ln>
      </xdr:spPr>
      <xdr:txBody>
        <a:bodyPr wrap="square" lIns="72000" tIns="2286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lnSpc>
              <a:spcPts val="900"/>
            </a:lnSpc>
            <a:defRPr sz="1000"/>
          </a:pPr>
          <a:r>
            <a:rPr lang="fr-FR" sz="1200" b="0" i="0" u="none" strike="noStrike" baseline="0">
              <a:solidFill>
                <a:srgbClr val="000000"/>
              </a:solidFill>
              <a:latin typeface="Arial"/>
              <a:cs typeface="Arial"/>
            </a:rPr>
            <a:t>Origine des données : Pôle-relais zones humides tropicales, 2022.</a:t>
          </a:r>
        </a:p>
        <a:p>
          <a:pPr algn="l" rtl="0">
            <a:lnSpc>
              <a:spcPts val="900"/>
            </a:lnSpc>
            <a:defRPr sz="1000"/>
          </a:pPr>
          <a:endParaRPr lang="fr-FR" sz="1200" b="0" i="0" u="none" strike="noStrike" baseline="0">
            <a:solidFill>
              <a:srgbClr val="000000"/>
            </a:solidFill>
            <a:latin typeface="Arial"/>
            <a:cs typeface="Arial"/>
          </a:endParaRPr>
        </a:p>
        <a:p>
          <a:pPr algn="l" rtl="0">
            <a:lnSpc>
              <a:spcPts val="900"/>
            </a:lnSpc>
            <a:defRPr sz="1000"/>
          </a:pPr>
          <a:r>
            <a:rPr lang="fr-FR" sz="1200" b="0" i="0" u="none" strike="noStrike" baseline="0">
              <a:solidFill>
                <a:srgbClr val="000000"/>
              </a:solidFill>
              <a:latin typeface="Arial"/>
              <a:cs typeface="Arial"/>
            </a:rPr>
            <a:t>Traitements : SDES, juin 2022</a:t>
          </a:r>
        </a:p>
      </xdr:txBody>
    </xdr:sp>
    <xdr:clientData/>
  </xdr:twoCellAnchor>
  <xdr:twoCellAnchor>
    <xdr:from>
      <xdr:col>7</xdr:col>
      <xdr:colOff>6225</xdr:colOff>
      <xdr:row>21</xdr:row>
      <xdr:rowOff>8092</xdr:rowOff>
    </xdr:from>
    <xdr:to>
      <xdr:col>10</xdr:col>
      <xdr:colOff>635000</xdr:colOff>
      <xdr:row>26</xdr:row>
      <xdr:rowOff>31750</xdr:rowOff>
    </xdr:to>
    <xdr:sp macro="" textlink="">
      <xdr:nvSpPr>
        <xdr:cNvPr id="14" name="ZoneTexte 13">
          <a:extLst>
            <a:ext uri="{FF2B5EF4-FFF2-40B4-BE49-F238E27FC236}">
              <a16:creationId xmlns:a16="http://schemas.microsoft.com/office/drawing/2014/main" id="{00000000-0008-0000-0300-00000E000000}"/>
            </a:ext>
          </a:extLst>
        </xdr:cNvPr>
        <xdr:cNvSpPr txBox="1"/>
      </xdr:nvSpPr>
      <xdr:spPr>
        <a:xfrm>
          <a:off x="5340225" y="5278592"/>
          <a:ext cx="2914775" cy="8174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200">
            <a:solidFill>
              <a:schemeClr val="dk1"/>
            </a:solidFill>
            <a:effectLst/>
            <a:latin typeface="+mn-lt"/>
            <a:ea typeface="+mn-ea"/>
            <a:cs typeface="+mn-cs"/>
          </a:endParaRPr>
        </a:p>
        <a:p>
          <a:r>
            <a:rPr lang="fr-FR" sz="1200" baseline="0">
              <a:solidFill>
                <a:schemeClr val="dk1"/>
              </a:solidFill>
              <a:effectLst/>
              <a:latin typeface="+mn-lt"/>
              <a:ea typeface="+mn-ea"/>
              <a:cs typeface="+mn-cs"/>
            </a:rPr>
            <a:t>  </a:t>
          </a:r>
          <a:r>
            <a:rPr lang="fr-FR" sz="1200">
              <a:solidFill>
                <a:schemeClr val="dk1"/>
              </a:solidFill>
              <a:effectLst/>
              <a:latin typeface="+mn-lt"/>
              <a:ea typeface="+mn-ea"/>
              <a:cs typeface="+mn-cs"/>
            </a:rPr>
            <a:t>Surface </a:t>
          </a:r>
          <a:r>
            <a:rPr lang="fr-FR" sz="1200" baseline="0">
              <a:solidFill>
                <a:schemeClr val="dk1"/>
              </a:solidFill>
              <a:effectLst/>
              <a:latin typeface="+mn-lt"/>
              <a:ea typeface="+mn-ea"/>
              <a:cs typeface="+mn-cs"/>
            </a:rPr>
            <a:t>protégée </a:t>
          </a:r>
          <a:r>
            <a:rPr lang="fr-FR" sz="1200">
              <a:solidFill>
                <a:schemeClr val="dk1"/>
              </a:solidFill>
              <a:effectLst/>
              <a:latin typeface="+mn-lt"/>
              <a:ea typeface="+mn-ea"/>
              <a:cs typeface="+mn-cs"/>
            </a:rPr>
            <a:t>en</a:t>
          </a:r>
          <a:r>
            <a:rPr lang="fr-FR" sz="1200" baseline="0">
              <a:solidFill>
                <a:schemeClr val="dk1"/>
              </a:solidFill>
              <a:effectLst/>
              <a:latin typeface="+mn-lt"/>
              <a:ea typeface="+mn-ea"/>
              <a:cs typeface="+mn-cs"/>
            </a:rPr>
            <a:t> mangroves </a:t>
          </a:r>
          <a:endParaRPr lang="fr-FR" sz="1200">
            <a:effectLst/>
          </a:endParaRPr>
        </a:p>
        <a:p>
          <a:r>
            <a:rPr lang="fr-FR" sz="1200" baseline="0">
              <a:solidFill>
                <a:schemeClr val="dk1"/>
              </a:solidFill>
              <a:effectLst/>
              <a:latin typeface="+mn-lt"/>
              <a:ea typeface="+mn-ea"/>
              <a:cs typeface="+mn-cs"/>
            </a:rPr>
            <a:t>  Surface non protégées en mangroves </a:t>
          </a:r>
          <a:endParaRPr lang="fr-FR" sz="1200">
            <a:effectLst/>
          </a:endParaRPr>
        </a:p>
      </xdr:txBody>
    </xdr:sp>
    <xdr:clientData/>
  </xdr:twoCellAnchor>
  <xdr:twoCellAnchor>
    <xdr:from>
      <xdr:col>6</xdr:col>
      <xdr:colOff>519952</xdr:colOff>
      <xdr:row>24</xdr:row>
      <xdr:rowOff>11203</xdr:rowOff>
    </xdr:from>
    <xdr:to>
      <xdr:col>6</xdr:col>
      <xdr:colOff>609599</xdr:colOff>
      <xdr:row>24</xdr:row>
      <xdr:rowOff>112058</xdr:rowOff>
    </xdr:to>
    <xdr:sp macro="" textlink="">
      <xdr:nvSpPr>
        <xdr:cNvPr id="15" name="Rectangle 14">
          <a:extLst>
            <a:ext uri="{FF2B5EF4-FFF2-40B4-BE49-F238E27FC236}">
              <a16:creationId xmlns:a16="http://schemas.microsoft.com/office/drawing/2014/main" id="{00000000-0008-0000-0300-00000F000000}"/>
            </a:ext>
          </a:extLst>
        </xdr:cNvPr>
        <xdr:cNvSpPr/>
      </xdr:nvSpPr>
      <xdr:spPr>
        <a:xfrm>
          <a:off x="6615952" y="8907553"/>
          <a:ext cx="89647" cy="100855"/>
        </a:xfrm>
        <a:prstGeom prst="rect">
          <a:avLst/>
        </a:prstGeom>
        <a:solidFill>
          <a:schemeClr val="accent5">
            <a:lumMod val="5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519952</xdr:colOff>
      <xdr:row>22</xdr:row>
      <xdr:rowOff>118776</xdr:rowOff>
    </xdr:from>
    <xdr:to>
      <xdr:col>6</xdr:col>
      <xdr:colOff>609599</xdr:colOff>
      <xdr:row>23</xdr:row>
      <xdr:rowOff>62749</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6615952" y="8691276"/>
          <a:ext cx="89647" cy="105898"/>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13</xdr:col>
      <xdr:colOff>519952</xdr:colOff>
      <xdr:row>22</xdr:row>
      <xdr:rowOff>118779</xdr:rowOff>
    </xdr:from>
    <xdr:to>
      <xdr:col>13</xdr:col>
      <xdr:colOff>609599</xdr:colOff>
      <xdr:row>23</xdr:row>
      <xdr:rowOff>62752</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6615952" y="9662829"/>
          <a:ext cx="89647" cy="105898"/>
        </a:xfrm>
        <a:prstGeom prst="rect">
          <a:avLst/>
        </a:prstGeom>
        <a:solidFill>
          <a:srgbClr val="F8F314"/>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13</xdr:col>
      <xdr:colOff>519952</xdr:colOff>
      <xdr:row>24</xdr:row>
      <xdr:rowOff>2238</xdr:rowOff>
    </xdr:from>
    <xdr:to>
      <xdr:col>13</xdr:col>
      <xdr:colOff>609599</xdr:colOff>
      <xdr:row>24</xdr:row>
      <xdr:rowOff>103093</xdr:rowOff>
    </xdr:to>
    <xdr:sp macro="" textlink="">
      <xdr:nvSpPr>
        <xdr:cNvPr id="18" name="Rectangle 17">
          <a:extLst>
            <a:ext uri="{FF2B5EF4-FFF2-40B4-BE49-F238E27FC236}">
              <a16:creationId xmlns:a16="http://schemas.microsoft.com/office/drawing/2014/main" id="{00000000-0008-0000-0300-000012000000}"/>
            </a:ext>
          </a:extLst>
        </xdr:cNvPr>
        <xdr:cNvSpPr/>
      </xdr:nvSpPr>
      <xdr:spPr>
        <a:xfrm>
          <a:off x="6615952" y="9870138"/>
          <a:ext cx="89647" cy="100855"/>
        </a:xfrm>
        <a:prstGeom prst="rect">
          <a:avLst/>
        </a:prstGeom>
        <a:solidFill>
          <a:schemeClr val="accent1">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13</xdr:col>
      <xdr:colOff>519952</xdr:colOff>
      <xdr:row>25</xdr:row>
      <xdr:rowOff>31374</xdr:rowOff>
    </xdr:from>
    <xdr:to>
      <xdr:col>13</xdr:col>
      <xdr:colOff>609599</xdr:colOff>
      <xdr:row>25</xdr:row>
      <xdr:rowOff>132229</xdr:rowOff>
    </xdr:to>
    <xdr:sp macro="" textlink="">
      <xdr:nvSpPr>
        <xdr:cNvPr id="19" name="Rectangle 18">
          <a:extLst>
            <a:ext uri="{FF2B5EF4-FFF2-40B4-BE49-F238E27FC236}">
              <a16:creationId xmlns:a16="http://schemas.microsoft.com/office/drawing/2014/main" id="{00000000-0008-0000-0300-000013000000}"/>
            </a:ext>
          </a:extLst>
        </xdr:cNvPr>
        <xdr:cNvSpPr/>
      </xdr:nvSpPr>
      <xdr:spPr>
        <a:xfrm>
          <a:off x="6615952" y="10061199"/>
          <a:ext cx="89647" cy="100855"/>
        </a:xfrm>
        <a:prstGeom prst="rect">
          <a:avLst/>
        </a:prstGeom>
        <a:solidFill>
          <a:schemeClr val="bg2">
            <a:lumMod val="9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13</xdr:col>
      <xdr:colOff>666750</xdr:colOff>
      <xdr:row>21</xdr:row>
      <xdr:rowOff>21166</xdr:rowOff>
    </xdr:from>
    <xdr:to>
      <xdr:col>16</xdr:col>
      <xdr:colOff>127000</xdr:colOff>
      <xdr:row>26</xdr:row>
      <xdr:rowOff>116417</xdr:rowOff>
    </xdr:to>
    <xdr:sp macro="" textlink="">
      <xdr:nvSpPr>
        <xdr:cNvPr id="20" name="ZoneTexte 19">
          <a:extLst>
            <a:ext uri="{FF2B5EF4-FFF2-40B4-BE49-F238E27FC236}">
              <a16:creationId xmlns:a16="http://schemas.microsoft.com/office/drawing/2014/main" id="{00000000-0008-0000-0300-000014000000}"/>
            </a:ext>
          </a:extLst>
        </xdr:cNvPr>
        <xdr:cNvSpPr txBox="1"/>
      </xdr:nvSpPr>
      <xdr:spPr>
        <a:xfrm>
          <a:off x="10572750" y="5291666"/>
          <a:ext cx="1746250" cy="889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t>          Aires océaniques</a:t>
          </a:r>
        </a:p>
        <a:p>
          <a:r>
            <a:rPr lang="fr-FR" sz="1200"/>
            <a:t>     Antilles - Guyane</a:t>
          </a:r>
        </a:p>
        <a:p>
          <a:r>
            <a:rPr lang="fr-FR" sz="1200"/>
            <a:t>     Océan Pacifique</a:t>
          </a:r>
        </a:p>
        <a:p>
          <a:r>
            <a:rPr lang="fr-FR" sz="1200"/>
            <a:t>     Océan Indien</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0.36849</cdr:x>
      <cdr:y>0.48689</cdr:y>
    </cdr:from>
    <cdr:to>
      <cdr:x>0.64727</cdr:x>
      <cdr:y>0.63967</cdr:y>
    </cdr:to>
    <cdr:sp macro="" textlink="">
      <cdr:nvSpPr>
        <cdr:cNvPr id="2" name="ZoneTexte 1"/>
        <cdr:cNvSpPr txBox="1"/>
      </cdr:nvSpPr>
      <cdr:spPr>
        <a:xfrm xmlns:a="http://schemas.openxmlformats.org/drawingml/2006/main">
          <a:off x="965201" y="1205794"/>
          <a:ext cx="730250" cy="37835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6.xml><?xml version="1.0" encoding="utf-8"?>
<c:userShapes xmlns:c="http://schemas.openxmlformats.org/drawingml/2006/chart">
  <cdr:relSizeAnchor xmlns:cdr="http://schemas.openxmlformats.org/drawingml/2006/chartDrawing">
    <cdr:from>
      <cdr:x>0.39272</cdr:x>
      <cdr:y>0.48962</cdr:y>
    </cdr:from>
    <cdr:to>
      <cdr:x>0.67879</cdr:x>
      <cdr:y>0.6424</cdr:y>
    </cdr:to>
    <cdr:sp macro="" textlink="">
      <cdr:nvSpPr>
        <cdr:cNvPr id="2" name="ZoneTexte 1"/>
        <cdr:cNvSpPr txBox="1"/>
      </cdr:nvSpPr>
      <cdr:spPr>
        <a:xfrm xmlns:a="http://schemas.openxmlformats.org/drawingml/2006/main">
          <a:off x="1028694" y="1212548"/>
          <a:ext cx="749305" cy="37836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7.xml><?xml version="1.0" encoding="utf-8"?>
<c:userShapes xmlns:c="http://schemas.openxmlformats.org/drawingml/2006/chart">
  <cdr:relSizeAnchor xmlns:cdr="http://schemas.openxmlformats.org/drawingml/2006/chartDrawing">
    <cdr:from>
      <cdr:x>0.3806</cdr:x>
      <cdr:y>0.49074</cdr:y>
    </cdr:from>
    <cdr:to>
      <cdr:x>0.67151</cdr:x>
      <cdr:y>0.64352</cdr:y>
    </cdr:to>
    <cdr:sp macro="" textlink="">
      <cdr:nvSpPr>
        <cdr:cNvPr id="2" name="ZoneTexte 1"/>
        <cdr:cNvSpPr txBox="1"/>
      </cdr:nvSpPr>
      <cdr:spPr>
        <a:xfrm xmlns:a="http://schemas.openxmlformats.org/drawingml/2006/main">
          <a:off x="996944" y="1495786"/>
          <a:ext cx="762005" cy="465673"/>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8.xml><?xml version="1.0" encoding="utf-8"?>
<c:userShapes xmlns:c="http://schemas.openxmlformats.org/drawingml/2006/chart">
  <cdr:relSizeAnchor xmlns:cdr="http://schemas.openxmlformats.org/drawingml/2006/chartDrawing">
    <cdr:from>
      <cdr:x>0.39748</cdr:x>
      <cdr:y>0.48659</cdr:y>
    </cdr:from>
    <cdr:to>
      <cdr:x>0.68796</cdr:x>
      <cdr:y>0.63937</cdr:y>
    </cdr:to>
    <cdr:sp macro="" textlink="">
      <cdr:nvSpPr>
        <cdr:cNvPr id="2" name="ZoneTexte 1"/>
        <cdr:cNvSpPr txBox="1"/>
      </cdr:nvSpPr>
      <cdr:spPr>
        <a:xfrm xmlns:a="http://schemas.openxmlformats.org/drawingml/2006/main">
          <a:off x="1027263" y="1174139"/>
          <a:ext cx="750735" cy="36865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94 %</a:t>
          </a:r>
        </a:p>
      </cdr:txBody>
    </cdr:sp>
  </cdr:relSizeAnchor>
</c:userShapes>
</file>

<file path=xl/drawings/drawing9.xml><?xml version="1.0" encoding="utf-8"?>
<c:userShapes xmlns:c="http://schemas.openxmlformats.org/drawingml/2006/chart">
  <cdr:relSizeAnchor xmlns:cdr="http://schemas.openxmlformats.org/drawingml/2006/chartDrawing">
    <cdr:from>
      <cdr:x>0.39813</cdr:x>
      <cdr:y>0.49642</cdr:y>
    </cdr:from>
    <cdr:to>
      <cdr:x>0.74813</cdr:x>
      <cdr:y>0.6492</cdr:y>
    </cdr:to>
    <cdr:sp macro="" textlink="">
      <cdr:nvSpPr>
        <cdr:cNvPr id="2" name="ZoneTexte 1"/>
        <cdr:cNvSpPr txBox="1"/>
      </cdr:nvSpPr>
      <cdr:spPr>
        <a:xfrm xmlns:a="http://schemas.openxmlformats.org/drawingml/2006/main">
          <a:off x="1013779" y="1204154"/>
          <a:ext cx="891220" cy="370599"/>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84 %</a:t>
          </a:r>
        </a:p>
      </cdr:txBody>
    </cdr:sp>
  </cdr:relSizeAnchor>
</c:userShapes>
</file>

<file path=xl/drawings/drawing10.xml><?xml version="1.0" encoding="utf-8"?>
<c:userShapes xmlns:c="http://schemas.openxmlformats.org/drawingml/2006/chart">
  <cdr:relSizeAnchor xmlns:cdr="http://schemas.openxmlformats.org/drawingml/2006/chartDrawing">
    <cdr:from>
      <cdr:x>0.3975</cdr:x>
      <cdr:y>0.4785</cdr:y>
    </cdr:from>
    <cdr:to>
      <cdr:x>0.71324</cdr:x>
      <cdr:y>0.63128</cdr:y>
    </cdr:to>
    <cdr:sp macro="" textlink="">
      <cdr:nvSpPr>
        <cdr:cNvPr id="2" name="ZoneTexte 1"/>
        <cdr:cNvSpPr txBox="1"/>
      </cdr:nvSpPr>
      <cdr:spPr>
        <a:xfrm xmlns:a="http://schemas.openxmlformats.org/drawingml/2006/main">
          <a:off x="1029835" y="1157661"/>
          <a:ext cx="818014" cy="36962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64 %</a:t>
          </a:r>
        </a:p>
      </cdr:txBody>
    </cdr:sp>
  </cdr:relSizeAnchor>
</c:userShapes>
</file>

<file path=xl/drawings/drawing11.xml><?xml version="1.0" encoding="utf-8"?>
<c:userShapes xmlns:c="http://schemas.openxmlformats.org/drawingml/2006/chart">
  <cdr:relSizeAnchor xmlns:cdr="http://schemas.openxmlformats.org/drawingml/2006/chartDrawing">
    <cdr:from>
      <cdr:x>0.39273</cdr:x>
      <cdr:y>0.48433</cdr:y>
    </cdr:from>
    <cdr:to>
      <cdr:x>0.68109</cdr:x>
      <cdr:y>0.62087</cdr:y>
    </cdr:to>
    <cdr:sp macro="" textlink="">
      <cdr:nvSpPr>
        <cdr:cNvPr id="2" name="ZoneTexte 1"/>
        <cdr:cNvSpPr txBox="1"/>
      </cdr:nvSpPr>
      <cdr:spPr>
        <a:xfrm xmlns:a="http://schemas.openxmlformats.org/drawingml/2006/main">
          <a:off x="974295" y="1160021"/>
          <a:ext cx="715381" cy="327033"/>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64 %</a:t>
          </a:r>
        </a:p>
      </cdr:txBody>
    </cdr:sp>
  </cdr:relSizeAnchor>
</c:userShapes>
</file>

<file path=xl/drawings/drawing12.xml><?xml version="1.0" encoding="utf-8"?>
<c:userShapes xmlns:c="http://schemas.openxmlformats.org/drawingml/2006/chart">
  <cdr:relSizeAnchor xmlns:cdr="http://schemas.openxmlformats.org/drawingml/2006/chartDrawing">
    <cdr:from>
      <cdr:x>0.39996</cdr:x>
      <cdr:y>0.48434</cdr:y>
    </cdr:from>
    <cdr:to>
      <cdr:x>0.66015</cdr:x>
      <cdr:y>0.63712</cdr:y>
    </cdr:to>
    <cdr:sp macro="" textlink="">
      <cdr:nvSpPr>
        <cdr:cNvPr id="2" name="ZoneTexte 1"/>
        <cdr:cNvSpPr txBox="1"/>
      </cdr:nvSpPr>
      <cdr:spPr>
        <a:xfrm xmlns:a="http://schemas.openxmlformats.org/drawingml/2006/main">
          <a:off x="1038756" y="1279424"/>
          <a:ext cx="675743" cy="403584"/>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56 %</a:t>
          </a:r>
        </a:p>
      </cdr:txBody>
    </cdr:sp>
  </cdr:relSizeAnchor>
</c:userShapes>
</file>

<file path=xl/drawings/drawing13.xml><?xml version="1.0" encoding="utf-8"?>
<c:userShapes xmlns:c="http://schemas.openxmlformats.org/drawingml/2006/chart">
  <cdr:relSizeAnchor xmlns:cdr="http://schemas.openxmlformats.org/drawingml/2006/chartDrawing">
    <cdr:from>
      <cdr:x>0.3903</cdr:x>
      <cdr:y>0.48554</cdr:y>
    </cdr:from>
    <cdr:to>
      <cdr:x>0.73042</cdr:x>
      <cdr:y>0.61486</cdr:y>
    </cdr:to>
    <cdr:sp macro="" textlink="">
      <cdr:nvSpPr>
        <cdr:cNvPr id="2" name="ZoneTexte 1"/>
        <cdr:cNvSpPr txBox="1"/>
      </cdr:nvSpPr>
      <cdr:spPr>
        <a:xfrm xmlns:a="http://schemas.openxmlformats.org/drawingml/2006/main">
          <a:off x="968268" y="1150586"/>
          <a:ext cx="843792" cy="30645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24 %</a:t>
          </a:r>
        </a:p>
      </cdr:txBody>
    </cdr:sp>
  </cdr:relSizeAnchor>
</c:userShapes>
</file>

<file path=xl/drawings/drawing14.xml><?xml version="1.0" encoding="utf-8"?>
<c:userShapes xmlns:c="http://schemas.openxmlformats.org/drawingml/2006/chart">
  <cdr:relSizeAnchor xmlns:cdr="http://schemas.openxmlformats.org/drawingml/2006/chartDrawing">
    <cdr:from>
      <cdr:x>0.4073</cdr:x>
      <cdr:y>0.48293</cdr:y>
    </cdr:from>
    <cdr:to>
      <cdr:x>0.63119</cdr:x>
      <cdr:y>0.63571</cdr:y>
    </cdr:to>
    <cdr:sp macro="" textlink="">
      <cdr:nvSpPr>
        <cdr:cNvPr id="2" name="ZoneTexte 1"/>
        <cdr:cNvSpPr txBox="1"/>
      </cdr:nvSpPr>
      <cdr:spPr>
        <a:xfrm xmlns:a="http://schemas.openxmlformats.org/drawingml/2006/main">
          <a:off x="1057806" y="1180648"/>
          <a:ext cx="581501" cy="373509"/>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0 %</a:t>
          </a:r>
        </a:p>
      </cdr:txBody>
    </cdr:sp>
  </cdr:relSizeAnchor>
</c:userShapes>
</file>

<file path=xl/drawings/drawing15.xml><?xml version="1.0" encoding="utf-8"?>
<xdr:wsDr xmlns:xdr="http://schemas.openxmlformats.org/drawingml/2006/spreadsheetDrawing" xmlns:a="http://schemas.openxmlformats.org/drawingml/2006/main">
  <xdr:twoCellAnchor>
    <xdr:from>
      <xdr:col>4</xdr:col>
      <xdr:colOff>717549</xdr:colOff>
      <xdr:row>1</xdr:row>
      <xdr:rowOff>6350</xdr:rowOff>
    </xdr:from>
    <xdr:to>
      <xdr:col>8</xdr:col>
      <xdr:colOff>288924</xdr:colOff>
      <xdr:row>10</xdr:row>
      <xdr:rowOff>114300</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292101</xdr:colOff>
      <xdr:row>1</xdr:row>
      <xdr:rowOff>6350</xdr:rowOff>
    </xdr:from>
    <xdr:to>
      <xdr:col>11</xdr:col>
      <xdr:colOff>584201</xdr:colOff>
      <xdr:row>10</xdr:row>
      <xdr:rowOff>114300</xdr:rowOff>
    </xdr:to>
    <xdr:graphicFrame macro="">
      <xdr:nvGraphicFramePr>
        <xdr:cNvPr id="3" name="Graphique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584200</xdr:colOff>
      <xdr:row>1</xdr:row>
      <xdr:rowOff>6350</xdr:rowOff>
    </xdr:from>
    <xdr:to>
      <xdr:col>15</xdr:col>
      <xdr:colOff>146049</xdr:colOff>
      <xdr:row>10</xdr:row>
      <xdr:rowOff>120650</xdr:rowOff>
    </xdr:to>
    <xdr:graphicFrame macro="">
      <xdr:nvGraphicFramePr>
        <xdr:cNvPr id="4" name="Graphique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717551</xdr:colOff>
      <xdr:row>10</xdr:row>
      <xdr:rowOff>114300</xdr:rowOff>
    </xdr:from>
    <xdr:to>
      <xdr:col>8</xdr:col>
      <xdr:colOff>285750</xdr:colOff>
      <xdr:row>23</xdr:row>
      <xdr:rowOff>88900</xdr:rowOff>
    </xdr:to>
    <xdr:graphicFrame macro="">
      <xdr:nvGraphicFramePr>
        <xdr:cNvPr id="5" name="Graphique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285751</xdr:colOff>
      <xdr:row>10</xdr:row>
      <xdr:rowOff>120650</xdr:rowOff>
    </xdr:from>
    <xdr:to>
      <xdr:col>11</xdr:col>
      <xdr:colOff>577850</xdr:colOff>
      <xdr:row>23</xdr:row>
      <xdr:rowOff>95250</xdr:rowOff>
    </xdr:to>
    <xdr:graphicFrame macro="">
      <xdr:nvGraphicFramePr>
        <xdr:cNvPr id="6" name="Graphique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571501</xdr:colOff>
      <xdr:row>10</xdr:row>
      <xdr:rowOff>127000</xdr:rowOff>
    </xdr:from>
    <xdr:to>
      <xdr:col>15</xdr:col>
      <xdr:colOff>139700</xdr:colOff>
      <xdr:row>23</xdr:row>
      <xdr:rowOff>95250</xdr:rowOff>
    </xdr:to>
    <xdr:graphicFrame macro="">
      <xdr:nvGraphicFramePr>
        <xdr:cNvPr id="7" name="Graphique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717550</xdr:colOff>
      <xdr:row>23</xdr:row>
      <xdr:rowOff>88900</xdr:rowOff>
    </xdr:from>
    <xdr:to>
      <xdr:col>8</xdr:col>
      <xdr:colOff>288925</xdr:colOff>
      <xdr:row>38</xdr:row>
      <xdr:rowOff>146050</xdr:rowOff>
    </xdr:to>
    <xdr:graphicFrame macro="">
      <xdr:nvGraphicFramePr>
        <xdr:cNvPr id="8" name="Graphique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285751</xdr:colOff>
      <xdr:row>23</xdr:row>
      <xdr:rowOff>88900</xdr:rowOff>
    </xdr:from>
    <xdr:to>
      <xdr:col>11</xdr:col>
      <xdr:colOff>577850</xdr:colOff>
      <xdr:row>38</xdr:row>
      <xdr:rowOff>139700</xdr:rowOff>
    </xdr:to>
    <xdr:graphicFrame macro="">
      <xdr:nvGraphicFramePr>
        <xdr:cNvPr id="9" name="Graphique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577850</xdr:colOff>
      <xdr:row>23</xdr:row>
      <xdr:rowOff>101600</xdr:rowOff>
    </xdr:from>
    <xdr:to>
      <xdr:col>15</xdr:col>
      <xdr:colOff>149225</xdr:colOff>
      <xdr:row>38</xdr:row>
      <xdr:rowOff>133350</xdr:rowOff>
    </xdr:to>
    <xdr:graphicFrame macro="">
      <xdr:nvGraphicFramePr>
        <xdr:cNvPr id="10" name="Graphique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722779</xdr:colOff>
      <xdr:row>38</xdr:row>
      <xdr:rowOff>155761</xdr:rowOff>
    </xdr:from>
    <xdr:to>
      <xdr:col>8</xdr:col>
      <xdr:colOff>286497</xdr:colOff>
      <xdr:row>54</xdr:row>
      <xdr:rowOff>60511</xdr:rowOff>
    </xdr:to>
    <xdr:graphicFrame macro="">
      <xdr:nvGraphicFramePr>
        <xdr:cNvPr id="11" name="Graphique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0</xdr:colOff>
      <xdr:row>56</xdr:row>
      <xdr:rowOff>0</xdr:rowOff>
    </xdr:from>
    <xdr:to>
      <xdr:col>15</xdr:col>
      <xdr:colOff>0</xdr:colOff>
      <xdr:row>59</xdr:row>
      <xdr:rowOff>0</xdr:rowOff>
    </xdr:to>
    <xdr:sp macro="" textlink="">
      <xdr:nvSpPr>
        <xdr:cNvPr id="12" name="ZoneTexte 11">
          <a:extLst>
            <a:ext uri="{FF2B5EF4-FFF2-40B4-BE49-F238E27FC236}">
              <a16:creationId xmlns:a16="http://schemas.microsoft.com/office/drawing/2014/main" id="{00000000-0008-0000-0400-00000C000000}"/>
            </a:ext>
          </a:extLst>
        </xdr:cNvPr>
        <xdr:cNvSpPr txBox="1"/>
      </xdr:nvSpPr>
      <xdr:spPr>
        <a:xfrm>
          <a:off x="7581900" y="11553825"/>
          <a:ext cx="7239000"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latin typeface="Arial" panose="020B0604020202020204" pitchFamily="34" charset="0"/>
              <a:cs typeface="Arial" panose="020B0604020202020204" pitchFamily="34" charset="0"/>
            </a:rPr>
            <a:t>Champ</a:t>
          </a:r>
          <a:r>
            <a:rPr lang="fr-FR" sz="1200" baseline="0">
              <a:latin typeface="Arial" panose="020B0604020202020204" pitchFamily="34" charset="0"/>
              <a:cs typeface="Arial" panose="020B0604020202020204" pitchFamily="34" charset="0"/>
            </a:rPr>
            <a:t> : Ensemble des Outre-mer hors Polynésie française (mangroves introduites)</a:t>
          </a:r>
          <a:endParaRPr lang="fr-FR" sz="1200">
            <a:latin typeface="Arial" panose="020B0604020202020204" pitchFamily="34" charset="0"/>
            <a:cs typeface="Arial" panose="020B0604020202020204" pitchFamily="34" charset="0"/>
          </a:endParaRPr>
        </a:p>
      </xdr:txBody>
    </xdr:sp>
    <xdr:clientData/>
  </xdr:twoCellAnchor>
  <xdr:twoCellAnchor>
    <xdr:from>
      <xdr:col>5</xdr:col>
      <xdr:colOff>18142</xdr:colOff>
      <xdr:row>58</xdr:row>
      <xdr:rowOff>108857</xdr:rowOff>
    </xdr:from>
    <xdr:to>
      <xdr:col>17</xdr:col>
      <xdr:colOff>563696</xdr:colOff>
      <xdr:row>63</xdr:row>
      <xdr:rowOff>9072</xdr:rowOff>
    </xdr:to>
    <xdr:sp macro="" textlink="">
      <xdr:nvSpPr>
        <xdr:cNvPr id="13" name="Text Box 1025">
          <a:extLst>
            <a:ext uri="{FF2B5EF4-FFF2-40B4-BE49-F238E27FC236}">
              <a16:creationId xmlns:a16="http://schemas.microsoft.com/office/drawing/2014/main" id="{00000000-0008-0000-0400-00000D000000}"/>
            </a:ext>
          </a:extLst>
        </xdr:cNvPr>
        <xdr:cNvSpPr txBox="1">
          <a:spLocks noChangeArrowheads="1"/>
        </xdr:cNvSpPr>
      </xdr:nvSpPr>
      <xdr:spPr bwMode="auto">
        <a:xfrm>
          <a:off x="7600042" y="11986532"/>
          <a:ext cx="9232354" cy="709840"/>
        </a:xfrm>
        <a:prstGeom prst="rect">
          <a:avLst/>
        </a:prstGeom>
        <a:noFill/>
        <a:ln>
          <a:noFill/>
        </a:ln>
      </xdr:spPr>
      <xdr:txBody>
        <a:bodyPr wrap="square" lIns="72000" tIns="2286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lnSpc>
              <a:spcPts val="900"/>
            </a:lnSpc>
            <a:defRPr sz="1000"/>
          </a:pPr>
          <a:r>
            <a:rPr lang="fr-FR" sz="1200" b="0" i="0" u="none" strike="noStrike" baseline="0">
              <a:solidFill>
                <a:srgbClr val="000000"/>
              </a:solidFill>
              <a:latin typeface="Arial"/>
              <a:cs typeface="Arial"/>
            </a:rPr>
            <a:t>Origine des données : Pôle-relais zones humides tropicales, 2022.</a:t>
          </a:r>
        </a:p>
        <a:p>
          <a:pPr algn="l" rtl="0">
            <a:lnSpc>
              <a:spcPts val="900"/>
            </a:lnSpc>
            <a:defRPr sz="1000"/>
          </a:pPr>
          <a:endParaRPr lang="fr-FR" sz="1200" b="0" i="0" u="none" strike="noStrike" baseline="0">
            <a:solidFill>
              <a:srgbClr val="000000"/>
            </a:solidFill>
            <a:latin typeface="Arial"/>
            <a:cs typeface="Arial"/>
          </a:endParaRPr>
        </a:p>
        <a:p>
          <a:pPr algn="l" rtl="0">
            <a:lnSpc>
              <a:spcPts val="900"/>
            </a:lnSpc>
            <a:defRPr sz="1000"/>
          </a:pPr>
          <a:r>
            <a:rPr lang="fr-FR" sz="1200" b="0" i="0" u="none" strike="noStrike" baseline="0">
              <a:solidFill>
                <a:srgbClr val="000000"/>
              </a:solidFill>
              <a:latin typeface="Arial"/>
              <a:cs typeface="Arial"/>
            </a:rPr>
            <a:t>Traitements : SDES, juin 2022</a:t>
          </a:r>
        </a:p>
      </xdr:txBody>
    </xdr:sp>
    <xdr:clientData/>
  </xdr:twoCellAnchor>
  <xdr:twoCellAnchor>
    <xdr:from>
      <xdr:col>8</xdr:col>
      <xdr:colOff>302559</xdr:colOff>
      <xdr:row>38</xdr:row>
      <xdr:rowOff>145676</xdr:rowOff>
    </xdr:from>
    <xdr:to>
      <xdr:col>15</xdr:col>
      <xdr:colOff>156882</xdr:colOff>
      <xdr:row>54</xdr:row>
      <xdr:rowOff>56030</xdr:rowOff>
    </xdr:to>
    <xdr:sp macro="" textlink="">
      <xdr:nvSpPr>
        <xdr:cNvPr id="14" name="ZoneTexte 13">
          <a:extLst>
            <a:ext uri="{FF2B5EF4-FFF2-40B4-BE49-F238E27FC236}">
              <a16:creationId xmlns:a16="http://schemas.microsoft.com/office/drawing/2014/main" id="{00000000-0008-0000-0400-00000E000000}"/>
            </a:ext>
          </a:extLst>
        </xdr:cNvPr>
        <xdr:cNvSpPr txBox="1"/>
      </xdr:nvSpPr>
      <xdr:spPr>
        <a:xfrm>
          <a:off x="10056159" y="8784851"/>
          <a:ext cx="4921623" cy="2501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200">
            <a:solidFill>
              <a:schemeClr val="dk1"/>
            </a:solidFill>
            <a:effectLst/>
            <a:latin typeface="+mn-lt"/>
            <a:ea typeface="+mn-ea"/>
            <a:cs typeface="+mn-cs"/>
          </a:endParaRPr>
        </a:p>
        <a:p>
          <a:endParaRPr lang="fr-FR" sz="1200">
            <a:solidFill>
              <a:schemeClr val="dk1"/>
            </a:solidFill>
            <a:effectLst/>
            <a:latin typeface="+mn-lt"/>
            <a:ea typeface="+mn-ea"/>
            <a:cs typeface="+mn-cs"/>
          </a:endParaRPr>
        </a:p>
        <a:p>
          <a:r>
            <a:rPr lang="fr-FR" sz="1200" baseline="0">
              <a:solidFill>
                <a:schemeClr val="dk1"/>
              </a:solidFill>
              <a:effectLst/>
              <a:latin typeface="+mn-lt"/>
              <a:ea typeface="+mn-ea"/>
              <a:cs typeface="+mn-cs"/>
            </a:rPr>
            <a:t>          </a:t>
          </a:r>
          <a:r>
            <a:rPr lang="fr-FR" sz="1200">
              <a:solidFill>
                <a:schemeClr val="dk1"/>
              </a:solidFill>
              <a:effectLst/>
              <a:latin typeface="+mn-lt"/>
              <a:ea typeface="+mn-ea"/>
              <a:cs typeface="+mn-cs"/>
            </a:rPr>
            <a:t>Surface </a:t>
          </a:r>
          <a:r>
            <a:rPr lang="fr-FR" sz="1200" baseline="0">
              <a:solidFill>
                <a:schemeClr val="dk1"/>
              </a:solidFill>
              <a:effectLst/>
              <a:latin typeface="+mn-lt"/>
              <a:ea typeface="+mn-ea"/>
              <a:cs typeface="+mn-cs"/>
            </a:rPr>
            <a:t>protégée </a:t>
          </a:r>
          <a:r>
            <a:rPr lang="fr-FR" sz="1200">
              <a:solidFill>
                <a:schemeClr val="dk1"/>
              </a:solidFill>
              <a:effectLst/>
              <a:latin typeface="+mn-lt"/>
              <a:ea typeface="+mn-ea"/>
              <a:cs typeface="+mn-cs"/>
            </a:rPr>
            <a:t>en</a:t>
          </a:r>
          <a:r>
            <a:rPr lang="fr-FR" sz="1200" baseline="0">
              <a:solidFill>
                <a:schemeClr val="dk1"/>
              </a:solidFill>
              <a:effectLst/>
              <a:latin typeface="+mn-lt"/>
              <a:ea typeface="+mn-ea"/>
              <a:cs typeface="+mn-cs"/>
            </a:rPr>
            <a:t> mangroves </a:t>
          </a:r>
          <a:endParaRPr lang="fr-FR" sz="1200">
            <a:effectLst/>
          </a:endParaRPr>
        </a:p>
        <a:p>
          <a:r>
            <a:rPr lang="fr-FR" sz="1200" baseline="0">
              <a:solidFill>
                <a:schemeClr val="dk1"/>
              </a:solidFill>
              <a:effectLst/>
              <a:latin typeface="+mn-lt"/>
              <a:ea typeface="+mn-ea"/>
              <a:cs typeface="+mn-cs"/>
            </a:rPr>
            <a:t>          Surface non protégées en mangroves </a:t>
          </a:r>
          <a:endParaRPr lang="fr-FR" sz="1200">
            <a:effectLst/>
          </a:endParaRPr>
        </a:p>
        <a:p>
          <a:endParaRPr lang="fr-FR" sz="1200" b="1"/>
        </a:p>
        <a:p>
          <a:r>
            <a:rPr lang="fr-FR" sz="1200" b="1"/>
            <a:t>          Aires océaniques</a:t>
          </a:r>
        </a:p>
        <a:p>
          <a:endParaRPr lang="fr-FR" sz="1200"/>
        </a:p>
        <a:p>
          <a:r>
            <a:rPr lang="fr-FR" sz="1200"/>
            <a:t>          Antilles - Guyane</a:t>
          </a:r>
        </a:p>
        <a:p>
          <a:r>
            <a:rPr lang="fr-FR" sz="1200"/>
            <a:t>          Océan Pacifique</a:t>
          </a:r>
        </a:p>
        <a:p>
          <a:r>
            <a:rPr lang="fr-FR" sz="1200"/>
            <a:t>          Océan Indien</a:t>
          </a:r>
        </a:p>
        <a:p>
          <a:endParaRPr lang="fr-FR" sz="1100"/>
        </a:p>
      </xdr:txBody>
    </xdr:sp>
    <xdr:clientData/>
  </xdr:twoCellAnchor>
  <xdr:twoCellAnchor>
    <xdr:from>
      <xdr:col>8</xdr:col>
      <xdr:colOff>519952</xdr:colOff>
      <xdr:row>43</xdr:row>
      <xdr:rowOff>11203</xdr:rowOff>
    </xdr:from>
    <xdr:to>
      <xdr:col>8</xdr:col>
      <xdr:colOff>609599</xdr:colOff>
      <xdr:row>43</xdr:row>
      <xdr:rowOff>112058</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a:xfrm>
          <a:off x="10273552" y="9460003"/>
          <a:ext cx="89647" cy="100855"/>
        </a:xfrm>
        <a:prstGeom prst="rect">
          <a:avLst/>
        </a:prstGeom>
        <a:solidFill>
          <a:schemeClr val="accent5">
            <a:lumMod val="5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519952</xdr:colOff>
      <xdr:row>41</xdr:row>
      <xdr:rowOff>118776</xdr:rowOff>
    </xdr:from>
    <xdr:to>
      <xdr:col>8</xdr:col>
      <xdr:colOff>609599</xdr:colOff>
      <xdr:row>42</xdr:row>
      <xdr:rowOff>62749</xdr:rowOff>
    </xdr:to>
    <xdr:sp macro="" textlink="">
      <xdr:nvSpPr>
        <xdr:cNvPr id="16" name="Rectangle 15">
          <a:extLst>
            <a:ext uri="{FF2B5EF4-FFF2-40B4-BE49-F238E27FC236}">
              <a16:creationId xmlns:a16="http://schemas.microsoft.com/office/drawing/2014/main" id="{00000000-0008-0000-0400-000010000000}"/>
            </a:ext>
          </a:extLst>
        </xdr:cNvPr>
        <xdr:cNvSpPr/>
      </xdr:nvSpPr>
      <xdr:spPr>
        <a:xfrm>
          <a:off x="10273552" y="9243726"/>
          <a:ext cx="89647" cy="105898"/>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519952</xdr:colOff>
      <xdr:row>47</xdr:row>
      <xdr:rowOff>118779</xdr:rowOff>
    </xdr:from>
    <xdr:to>
      <xdr:col>8</xdr:col>
      <xdr:colOff>609599</xdr:colOff>
      <xdr:row>48</xdr:row>
      <xdr:rowOff>62752</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a:off x="10273552" y="10215279"/>
          <a:ext cx="89647" cy="105898"/>
        </a:xfrm>
        <a:prstGeom prst="rect">
          <a:avLst/>
        </a:prstGeom>
        <a:solidFill>
          <a:srgbClr val="F8F314"/>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519952</xdr:colOff>
      <xdr:row>49</xdr:row>
      <xdr:rowOff>2238</xdr:rowOff>
    </xdr:from>
    <xdr:to>
      <xdr:col>8</xdr:col>
      <xdr:colOff>609599</xdr:colOff>
      <xdr:row>49</xdr:row>
      <xdr:rowOff>103093</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a:xfrm>
          <a:off x="10273552" y="10422588"/>
          <a:ext cx="89647" cy="100855"/>
        </a:xfrm>
        <a:prstGeom prst="rect">
          <a:avLst/>
        </a:prstGeom>
        <a:solidFill>
          <a:schemeClr val="accent1">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519952</xdr:colOff>
      <xdr:row>50</xdr:row>
      <xdr:rowOff>31374</xdr:rowOff>
    </xdr:from>
    <xdr:to>
      <xdr:col>8</xdr:col>
      <xdr:colOff>609599</xdr:colOff>
      <xdr:row>50</xdr:row>
      <xdr:rowOff>132229</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10273552" y="10613649"/>
          <a:ext cx="89647" cy="100855"/>
        </a:xfrm>
        <a:prstGeom prst="rect">
          <a:avLst/>
        </a:prstGeom>
        <a:solidFill>
          <a:schemeClr val="bg2">
            <a:lumMod val="9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16.xml><?xml version="1.0" encoding="utf-8"?>
<c:userShapes xmlns:c="http://schemas.openxmlformats.org/drawingml/2006/chart">
  <cdr:relSizeAnchor xmlns:cdr="http://schemas.openxmlformats.org/drawingml/2006/chartDrawing">
    <cdr:from>
      <cdr:x>0.36849</cdr:x>
      <cdr:y>0.48689</cdr:y>
    </cdr:from>
    <cdr:to>
      <cdr:x>0.64727</cdr:x>
      <cdr:y>0.63967</cdr:y>
    </cdr:to>
    <cdr:sp macro="" textlink="">
      <cdr:nvSpPr>
        <cdr:cNvPr id="2" name="ZoneTexte 1"/>
        <cdr:cNvSpPr txBox="1"/>
      </cdr:nvSpPr>
      <cdr:spPr>
        <a:xfrm xmlns:a="http://schemas.openxmlformats.org/drawingml/2006/main">
          <a:off x="965201" y="1205794"/>
          <a:ext cx="730250" cy="37835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17.xml><?xml version="1.0" encoding="utf-8"?>
<c:userShapes xmlns:c="http://schemas.openxmlformats.org/drawingml/2006/chart">
  <cdr:relSizeAnchor xmlns:cdr="http://schemas.openxmlformats.org/drawingml/2006/chartDrawing">
    <cdr:from>
      <cdr:x>0.39272</cdr:x>
      <cdr:y>0.48962</cdr:y>
    </cdr:from>
    <cdr:to>
      <cdr:x>0.67879</cdr:x>
      <cdr:y>0.6424</cdr:y>
    </cdr:to>
    <cdr:sp macro="" textlink="">
      <cdr:nvSpPr>
        <cdr:cNvPr id="2" name="ZoneTexte 1"/>
        <cdr:cNvSpPr txBox="1"/>
      </cdr:nvSpPr>
      <cdr:spPr>
        <a:xfrm xmlns:a="http://schemas.openxmlformats.org/drawingml/2006/main">
          <a:off x="1028694" y="1212548"/>
          <a:ext cx="749305" cy="37836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18.xml><?xml version="1.0" encoding="utf-8"?>
<c:userShapes xmlns:c="http://schemas.openxmlformats.org/drawingml/2006/chart">
  <cdr:relSizeAnchor xmlns:cdr="http://schemas.openxmlformats.org/drawingml/2006/chartDrawing">
    <cdr:from>
      <cdr:x>0.3806</cdr:x>
      <cdr:y>0.49074</cdr:y>
    </cdr:from>
    <cdr:to>
      <cdr:x>0.67151</cdr:x>
      <cdr:y>0.64352</cdr:y>
    </cdr:to>
    <cdr:sp macro="" textlink="">
      <cdr:nvSpPr>
        <cdr:cNvPr id="2" name="ZoneTexte 1"/>
        <cdr:cNvSpPr txBox="1"/>
      </cdr:nvSpPr>
      <cdr:spPr>
        <a:xfrm xmlns:a="http://schemas.openxmlformats.org/drawingml/2006/main">
          <a:off x="996944" y="1495786"/>
          <a:ext cx="762005" cy="465673"/>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100 %</a:t>
          </a:r>
        </a:p>
      </cdr:txBody>
    </cdr:sp>
  </cdr:relSizeAnchor>
</c:userShapes>
</file>

<file path=xl/drawings/drawing19.xml><?xml version="1.0" encoding="utf-8"?>
<c:userShapes xmlns:c="http://schemas.openxmlformats.org/drawingml/2006/chart">
  <cdr:relSizeAnchor xmlns:cdr="http://schemas.openxmlformats.org/drawingml/2006/chartDrawing">
    <cdr:from>
      <cdr:x>0.39748</cdr:x>
      <cdr:y>0.48659</cdr:y>
    </cdr:from>
    <cdr:to>
      <cdr:x>0.68796</cdr:x>
      <cdr:y>0.63937</cdr:y>
    </cdr:to>
    <cdr:sp macro="" textlink="">
      <cdr:nvSpPr>
        <cdr:cNvPr id="2" name="ZoneTexte 1"/>
        <cdr:cNvSpPr txBox="1"/>
      </cdr:nvSpPr>
      <cdr:spPr>
        <a:xfrm xmlns:a="http://schemas.openxmlformats.org/drawingml/2006/main">
          <a:off x="1027263" y="1174139"/>
          <a:ext cx="750735" cy="36865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94 %</a:t>
          </a:r>
        </a:p>
      </cdr:txBody>
    </cdr:sp>
  </cdr:relSizeAnchor>
</c:userShapes>
</file>

<file path=xl/drawings/drawing20.xml><?xml version="1.0" encoding="utf-8"?>
<c:userShapes xmlns:c="http://schemas.openxmlformats.org/drawingml/2006/chart">
  <cdr:relSizeAnchor xmlns:cdr="http://schemas.openxmlformats.org/drawingml/2006/chartDrawing">
    <cdr:from>
      <cdr:x>0.39813</cdr:x>
      <cdr:y>0.49642</cdr:y>
    </cdr:from>
    <cdr:to>
      <cdr:x>0.74813</cdr:x>
      <cdr:y>0.6492</cdr:y>
    </cdr:to>
    <cdr:sp macro="" textlink="">
      <cdr:nvSpPr>
        <cdr:cNvPr id="2" name="ZoneTexte 1"/>
        <cdr:cNvSpPr txBox="1"/>
      </cdr:nvSpPr>
      <cdr:spPr>
        <a:xfrm xmlns:a="http://schemas.openxmlformats.org/drawingml/2006/main">
          <a:off x="1013779" y="1204154"/>
          <a:ext cx="891220" cy="370599"/>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84 %</a:t>
          </a:r>
        </a:p>
      </cdr:txBody>
    </cdr:sp>
  </cdr:relSizeAnchor>
</c:userShapes>
</file>

<file path=xl/drawings/drawing21.xml><?xml version="1.0" encoding="utf-8"?>
<c:userShapes xmlns:c="http://schemas.openxmlformats.org/drawingml/2006/chart">
  <cdr:relSizeAnchor xmlns:cdr="http://schemas.openxmlformats.org/drawingml/2006/chartDrawing">
    <cdr:from>
      <cdr:x>0.3975</cdr:x>
      <cdr:y>0.4785</cdr:y>
    </cdr:from>
    <cdr:to>
      <cdr:x>0.71324</cdr:x>
      <cdr:y>0.63128</cdr:y>
    </cdr:to>
    <cdr:sp macro="" textlink="">
      <cdr:nvSpPr>
        <cdr:cNvPr id="2" name="ZoneTexte 1"/>
        <cdr:cNvSpPr txBox="1"/>
      </cdr:nvSpPr>
      <cdr:spPr>
        <a:xfrm xmlns:a="http://schemas.openxmlformats.org/drawingml/2006/main">
          <a:off x="1029835" y="1157661"/>
          <a:ext cx="818014" cy="36962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64 %</a:t>
          </a:r>
        </a:p>
      </cdr:txBody>
    </cdr:sp>
  </cdr:relSizeAnchor>
</c:userShapes>
</file>

<file path=xl/drawings/drawing22.xml><?xml version="1.0" encoding="utf-8"?>
<c:userShapes xmlns:c="http://schemas.openxmlformats.org/drawingml/2006/chart">
  <cdr:relSizeAnchor xmlns:cdr="http://schemas.openxmlformats.org/drawingml/2006/chartDrawing">
    <cdr:from>
      <cdr:x>0.39273</cdr:x>
      <cdr:y>0.48433</cdr:y>
    </cdr:from>
    <cdr:to>
      <cdr:x>0.68109</cdr:x>
      <cdr:y>0.62087</cdr:y>
    </cdr:to>
    <cdr:sp macro="" textlink="">
      <cdr:nvSpPr>
        <cdr:cNvPr id="2" name="ZoneTexte 1"/>
        <cdr:cNvSpPr txBox="1"/>
      </cdr:nvSpPr>
      <cdr:spPr>
        <a:xfrm xmlns:a="http://schemas.openxmlformats.org/drawingml/2006/main">
          <a:off x="974295" y="1160021"/>
          <a:ext cx="715381" cy="327033"/>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64 %</a:t>
          </a:r>
        </a:p>
      </cdr:txBody>
    </cdr:sp>
  </cdr:relSizeAnchor>
</c:userShapes>
</file>

<file path=xl/drawings/drawing23.xml><?xml version="1.0" encoding="utf-8"?>
<c:userShapes xmlns:c="http://schemas.openxmlformats.org/drawingml/2006/chart">
  <cdr:relSizeAnchor xmlns:cdr="http://schemas.openxmlformats.org/drawingml/2006/chartDrawing">
    <cdr:from>
      <cdr:x>0.39996</cdr:x>
      <cdr:y>0.48434</cdr:y>
    </cdr:from>
    <cdr:to>
      <cdr:x>0.66015</cdr:x>
      <cdr:y>0.63712</cdr:y>
    </cdr:to>
    <cdr:sp macro="" textlink="">
      <cdr:nvSpPr>
        <cdr:cNvPr id="2" name="ZoneTexte 1"/>
        <cdr:cNvSpPr txBox="1"/>
      </cdr:nvSpPr>
      <cdr:spPr>
        <a:xfrm xmlns:a="http://schemas.openxmlformats.org/drawingml/2006/main">
          <a:off x="1038756" y="1279424"/>
          <a:ext cx="675743" cy="403584"/>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56 %</a:t>
          </a:r>
        </a:p>
      </cdr:txBody>
    </cdr:sp>
  </cdr:relSizeAnchor>
</c:userShapes>
</file>

<file path=xl/drawings/drawing24.xml><?xml version="1.0" encoding="utf-8"?>
<c:userShapes xmlns:c="http://schemas.openxmlformats.org/drawingml/2006/chart">
  <cdr:relSizeAnchor xmlns:cdr="http://schemas.openxmlformats.org/drawingml/2006/chartDrawing">
    <cdr:from>
      <cdr:x>0.3903</cdr:x>
      <cdr:y>0.48554</cdr:y>
    </cdr:from>
    <cdr:to>
      <cdr:x>0.73042</cdr:x>
      <cdr:y>0.61486</cdr:y>
    </cdr:to>
    <cdr:sp macro="" textlink="">
      <cdr:nvSpPr>
        <cdr:cNvPr id="2" name="ZoneTexte 1"/>
        <cdr:cNvSpPr txBox="1"/>
      </cdr:nvSpPr>
      <cdr:spPr>
        <a:xfrm xmlns:a="http://schemas.openxmlformats.org/drawingml/2006/main">
          <a:off x="968268" y="1150586"/>
          <a:ext cx="843792" cy="30645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24 %</a:t>
          </a:r>
        </a:p>
      </cdr:txBody>
    </cdr:sp>
  </cdr:relSizeAnchor>
</c:userShapes>
</file>

<file path=xl/drawings/drawing25.xml><?xml version="1.0" encoding="utf-8"?>
<c:userShapes xmlns:c="http://schemas.openxmlformats.org/drawingml/2006/chart">
  <cdr:relSizeAnchor xmlns:cdr="http://schemas.openxmlformats.org/drawingml/2006/chartDrawing">
    <cdr:from>
      <cdr:x>0.4073</cdr:x>
      <cdr:y>0.48293</cdr:y>
    </cdr:from>
    <cdr:to>
      <cdr:x>0.63119</cdr:x>
      <cdr:y>0.63571</cdr:y>
    </cdr:to>
    <cdr:sp macro="" textlink="">
      <cdr:nvSpPr>
        <cdr:cNvPr id="2" name="ZoneTexte 1"/>
        <cdr:cNvSpPr txBox="1"/>
      </cdr:nvSpPr>
      <cdr:spPr>
        <a:xfrm xmlns:a="http://schemas.openxmlformats.org/drawingml/2006/main">
          <a:off x="1057806" y="1180648"/>
          <a:ext cx="581501" cy="373509"/>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fr-FR" sz="1600" b="1"/>
            <a:t>0 %</a:t>
          </a:r>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928686</xdr:colOff>
      <xdr:row>32</xdr:row>
      <xdr:rowOff>47625</xdr:rowOff>
    </xdr:from>
    <xdr:to>
      <xdr:col>6</xdr:col>
      <xdr:colOff>219075</xdr:colOff>
      <xdr:row>61</xdr:row>
      <xdr:rowOff>133350</xdr:rowOff>
    </xdr:to>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absoluteAnchor>
    <xdr:pos x="5119688" y="2262188"/>
    <xdr:ext cx="9144000" cy="5657022"/>
    <xdr:graphicFrame macro="">
      <xdr:nvGraphicFramePr>
        <xdr:cNvPr id="5" name="Graphique 4">
          <a:extLst>
            <a:ext uri="{FF2B5EF4-FFF2-40B4-BE49-F238E27FC236}">
              <a16:creationId xmlns:a16="http://schemas.microsoft.com/office/drawing/2014/main" id="{EB57333B-5FED-4FBD-A6AA-B6ADD6C076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0.01562</cdr:x>
      <cdr:y>0.02965</cdr:y>
    </cdr:from>
    <cdr:to>
      <cdr:x>0.94847</cdr:x>
      <cdr:y>0.14715</cdr:y>
    </cdr:to>
    <cdr:sp macro="" textlink="">
      <cdr:nvSpPr>
        <cdr:cNvPr id="8" name="ZoneTexte 1"/>
        <cdr:cNvSpPr txBox="1"/>
      </cdr:nvSpPr>
      <cdr:spPr>
        <a:xfrm xmlns:a="http://schemas.openxmlformats.org/drawingml/2006/main">
          <a:off x="142874" y="167731"/>
          <a:ext cx="8529936" cy="664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eaLnBrk="1" fontAlgn="auto" latinLnBrk="0" hangingPunct="1">
            <a:lnSpc>
              <a:spcPts val="1500"/>
            </a:lnSpc>
            <a:spcBef>
              <a:spcPts val="0"/>
            </a:spcBef>
            <a:spcAft>
              <a:spcPts val="0"/>
            </a:spcAft>
            <a:buClrTx/>
            <a:buSzTx/>
            <a:buFontTx/>
            <a:buNone/>
            <a:tabLst/>
            <a:defRPr/>
          </a:pPr>
          <a:r>
            <a:rPr lang="fr-FR" sz="1000" b="1" i="0" baseline="0">
              <a:solidFill>
                <a:schemeClr val="tx1"/>
              </a:solidFill>
              <a:effectLst/>
              <a:latin typeface="Marianne" panose="02000000000000000000" pitchFamily="50" charset="0"/>
              <a:ea typeface="+mn-ea"/>
              <a:cs typeface="+mn-cs"/>
            </a:rPr>
            <a:t>Montants annuels globaux engagés par les Agences de l'eau pour l'acquisition et la gestion des milieux humides</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fr-FR" sz="1000" b="0" i="0" baseline="0">
              <a:solidFill>
                <a:schemeClr val="tx1"/>
              </a:solidFill>
              <a:effectLst/>
              <a:latin typeface="Marianne" panose="02000000000000000000" pitchFamily="50" charset="0"/>
              <a:ea typeface="+mn-ea"/>
              <a:cs typeface="+mn-cs"/>
            </a:rPr>
            <a:t>(en France métropolitaine)</a:t>
          </a:r>
          <a:endParaRPr lang="fr-FR" sz="1000" b="0">
            <a:solidFill>
              <a:schemeClr val="tx1"/>
            </a:solidFill>
            <a:effectLst/>
            <a:latin typeface="Marianne" panose="02000000000000000000" pitchFamily="50" charset="0"/>
          </a:endParaRPr>
        </a:p>
        <a:p xmlns:a="http://schemas.openxmlformats.org/drawingml/2006/main">
          <a:pPr>
            <a:lnSpc>
              <a:spcPts val="1200"/>
            </a:lnSpc>
          </a:pPr>
          <a:endParaRPr lang="fr-FR" sz="1100">
            <a:solidFill>
              <a:schemeClr val="tx1"/>
            </a:solidFill>
          </a:endParaRPr>
        </a:p>
      </cdr:txBody>
    </cdr:sp>
  </cdr:relSizeAnchor>
  <cdr:relSizeAnchor xmlns:cdr="http://schemas.openxmlformats.org/drawingml/2006/chartDrawing">
    <cdr:from>
      <cdr:x>0</cdr:x>
      <cdr:y>0.13783</cdr:y>
    </cdr:from>
    <cdr:to>
      <cdr:x>0.16158</cdr:x>
      <cdr:y>0.17842</cdr:y>
    </cdr:to>
    <cdr:sp macro="" textlink="">
      <cdr:nvSpPr>
        <cdr:cNvPr id="9" name="ZoneTexte 1"/>
        <cdr:cNvSpPr txBox="1"/>
      </cdr:nvSpPr>
      <cdr:spPr>
        <a:xfrm xmlns:a="http://schemas.openxmlformats.org/drawingml/2006/main">
          <a:off x="0" y="785847"/>
          <a:ext cx="1473119" cy="23117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000" b="1">
              <a:solidFill>
                <a:schemeClr val="tx1">
                  <a:lumMod val="75000"/>
                  <a:lumOff val="25000"/>
                </a:schemeClr>
              </a:solidFill>
              <a:latin typeface="Marianne" panose="02000000000000000000" pitchFamily="50" charset="0"/>
            </a:rPr>
            <a:t>En million d'euros</a:t>
          </a:r>
        </a:p>
      </cdr:txBody>
    </cdr:sp>
  </cdr:relSizeAnchor>
  <cdr:relSizeAnchor xmlns:cdr="http://schemas.openxmlformats.org/drawingml/2006/chartDrawing">
    <cdr:from>
      <cdr:x>0.47889</cdr:x>
      <cdr:y>0.91326</cdr:y>
    </cdr:from>
    <cdr:to>
      <cdr:x>0.73812</cdr:x>
      <cdr:y>0.95718</cdr:y>
    </cdr:to>
    <cdr:sp macro="" textlink="">
      <cdr:nvSpPr>
        <cdr:cNvPr id="15" name="ZoneTexte 14"/>
        <cdr:cNvSpPr txBox="1"/>
      </cdr:nvSpPr>
      <cdr:spPr>
        <a:xfrm xmlns:a="http://schemas.openxmlformats.org/drawingml/2006/main">
          <a:off x="4379008" y="5166308"/>
          <a:ext cx="2370399" cy="2484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b="1">
              <a:solidFill>
                <a:schemeClr val="tx1">
                  <a:lumMod val="75000"/>
                  <a:lumOff val="25000"/>
                </a:schemeClr>
              </a:solidFill>
              <a:latin typeface="Marianne" panose="02000000000000000000" pitchFamily="50" charset="0"/>
            </a:rPr>
            <a:t>Année</a:t>
          </a:r>
        </a:p>
      </cdr:txBody>
    </cdr:sp>
  </cdr:relSizeAnchor>
  <cdr:relSizeAnchor xmlns:cdr="http://schemas.openxmlformats.org/drawingml/2006/chartDrawing">
    <cdr:from>
      <cdr:x>0.4915</cdr:x>
      <cdr:y>1</cdr:y>
    </cdr:from>
    <cdr:to>
      <cdr:x>0.4915</cdr:x>
      <cdr:y>1</cdr:y>
    </cdr:to>
    <cdr:sp macro="" textlink="">
      <cdr:nvSpPr>
        <cdr:cNvPr id="20" name="Text Box 1"/>
        <cdr:cNvSpPr txBox="1">
          <a:spLocks xmlns:a="http://schemas.openxmlformats.org/drawingml/2006/main" noChangeArrowheads="1"/>
        </cdr:cNvSpPr>
      </cdr:nvSpPr>
      <cdr:spPr bwMode="auto">
        <a:xfrm xmlns:a="http://schemas.openxmlformats.org/drawingml/2006/main">
          <a:off x="809229" y="4919871"/>
          <a:ext cx="4016491" cy="71820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27432" tIns="2286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l" defTabSz="914400" rtl="0" eaLnBrk="1" fontAlgn="auto" latinLnBrk="0" hangingPunct="1">
            <a:lnSpc>
              <a:spcPct val="100000"/>
            </a:lnSpc>
            <a:spcBef>
              <a:spcPts val="0"/>
            </a:spcBef>
            <a:spcAft>
              <a:spcPts val="100"/>
            </a:spcAft>
            <a:buClrTx/>
            <a:buSzTx/>
            <a:buFontTx/>
            <a:buNone/>
            <a:tabLst/>
            <a:defRPr sz="1000"/>
          </a:pPr>
          <a:r>
            <a:rPr kumimoji="0" lang="fr-FR" sz="800" b="0" i="1"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Times New Roman" panose="02020603050405020304" pitchFamily="18" charset="0"/>
            </a:rPr>
            <a:t>Visuel ONB, d'après : </a:t>
          </a:r>
        </a:p>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fr-FR" sz="800" b="0" i="0"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Times New Roman" panose="02020603050405020304" pitchFamily="18" charset="0"/>
            </a:rPr>
            <a:t>Origine des données: Ministère de la transition écologique / OFB</a:t>
          </a:r>
        </a:p>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fr-FR" sz="800" b="0" i="0"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Times New Roman" panose="02020603050405020304" pitchFamily="18" charset="0"/>
            </a:rPr>
            <a:t>Traitements : Tour du Valat/SDES, août 2023. </a:t>
          </a:r>
        </a:p>
        <a:p xmlns:a="http://schemas.openxmlformats.org/drawingml/2006/main">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fr-FR" sz="800" b="0" i="0"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mn-cs"/>
            </a:rPr>
            <a:t>© </a:t>
          </a:r>
          <a:r>
            <a:rPr kumimoji="0" lang="fr-FR" sz="800" b="0" i="0"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Times New Roman" panose="02020603050405020304" pitchFamily="18" charset="0"/>
            </a:rPr>
            <a:t>SDES, OFB, 2023</a:t>
          </a:r>
          <a:endParaRPr kumimoji="0" lang="fr-FR" sz="800" b="0" i="1" u="none" strike="noStrike" kern="0" cap="none" spc="0" normalizeH="0" baseline="0" noProof="0">
            <a:ln>
              <a:noFill/>
            </a:ln>
            <a:solidFill>
              <a:prstClr val="black">
                <a:lumMod val="65000"/>
                <a:lumOff val="35000"/>
              </a:prstClr>
            </a:solidFill>
            <a:effectLst/>
            <a:uLnTx/>
            <a:uFillTx/>
            <a:latin typeface="Marianne" panose="02000000000000000000" pitchFamily="50" charset="0"/>
            <a:ea typeface="+mn-ea"/>
            <a:cs typeface="Times New Roman" panose="02020603050405020304" pitchFamily="18" charset="0"/>
          </a:endParaRPr>
        </a:p>
      </cdr:txBody>
    </cdr:sp>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5"/>
  <sheetViews>
    <sheetView showGridLines="0" tabSelected="1" zoomScaleNormal="100" workbookViewId="0">
      <selection activeCell="R24" sqref="R24"/>
    </sheetView>
  </sheetViews>
  <sheetFormatPr baseColWidth="10" defaultColWidth="11.42578125" defaultRowHeight="12.75"/>
  <cols>
    <col min="1" max="1" width="42.85546875" style="2" customWidth="1"/>
    <col min="2" max="2" width="17.140625" style="2" customWidth="1"/>
    <col min="3" max="3" width="18.42578125" style="2" bestFit="1" customWidth="1"/>
    <col min="4" max="4" width="12.7109375" style="2" bestFit="1" customWidth="1"/>
    <col min="5" max="5" width="16.140625" style="2" bestFit="1" customWidth="1"/>
    <col min="6" max="6" width="16.140625" style="2" customWidth="1"/>
    <col min="7" max="16384" width="11.42578125" style="2"/>
  </cols>
  <sheetData>
    <row r="1" spans="1:11" s="17" customFormat="1" ht="18">
      <c r="A1" s="18" t="s">
        <v>3</v>
      </c>
      <c r="B1" s="45" t="s">
        <v>21</v>
      </c>
    </row>
    <row r="2" spans="1:11" s="17" customFormat="1" ht="20.25" customHeight="1">
      <c r="A2" s="17" t="s">
        <v>20</v>
      </c>
      <c r="B2" s="165" t="s">
        <v>19</v>
      </c>
      <c r="C2" s="165"/>
      <c r="D2" s="165"/>
      <c r="E2" s="165"/>
      <c r="F2" s="165"/>
      <c r="G2" s="165"/>
      <c r="H2" s="165"/>
      <c r="I2" s="165"/>
      <c r="J2" s="165"/>
    </row>
    <row r="3" spans="1:11" s="42" customFormat="1" ht="15">
      <c r="A3" s="44" t="s">
        <v>2</v>
      </c>
      <c r="B3" s="43" t="s">
        <v>18</v>
      </c>
    </row>
    <row r="4" spans="1:11" s="42" customFormat="1" ht="15">
      <c r="A4" s="44"/>
      <c r="B4" s="43"/>
    </row>
    <row r="5" spans="1:11" ht="13.5" thickBot="1">
      <c r="A5" s="41" t="s">
        <v>17</v>
      </c>
    </row>
    <row r="6" spans="1:11" s="17" customFormat="1" ht="18.75" thickBot="1">
      <c r="A6" s="40" t="s">
        <v>1</v>
      </c>
      <c r="B6" s="39">
        <f>E17</f>
        <v>0.41447368421052633</v>
      </c>
      <c r="C6" s="38" t="s">
        <v>16</v>
      </c>
      <c r="D6" s="37"/>
      <c r="E6" s="35"/>
      <c r="F6" s="36"/>
      <c r="G6" s="36"/>
      <c r="H6" s="36"/>
      <c r="I6" s="34"/>
      <c r="J6" s="35"/>
      <c r="K6" s="34"/>
    </row>
    <row r="7" spans="1:11" s="17" customFormat="1"/>
    <row r="8" spans="1:11" s="17" customFormat="1" ht="15.75">
      <c r="A8" s="33" t="s">
        <v>15</v>
      </c>
    </row>
    <row r="9" spans="1:11" s="17" customFormat="1">
      <c r="A9" s="32"/>
      <c r="B9" s="32"/>
      <c r="C9" s="32"/>
      <c r="D9" s="32"/>
      <c r="E9" s="164" t="s">
        <v>14</v>
      </c>
      <c r="F9" s="164"/>
      <c r="G9" s="164"/>
    </row>
    <row r="10" spans="1:11" s="26" customFormat="1">
      <c r="A10" s="31"/>
      <c r="B10" s="30" t="s">
        <v>13</v>
      </c>
      <c r="C10" s="29" t="s">
        <v>12</v>
      </c>
      <c r="D10" s="28" t="s">
        <v>11</v>
      </c>
      <c r="E10" s="27" t="s">
        <v>13</v>
      </c>
      <c r="F10" s="27" t="s">
        <v>12</v>
      </c>
      <c r="G10" s="27" t="s">
        <v>11</v>
      </c>
    </row>
    <row r="11" spans="1:11" s="17" customFormat="1">
      <c r="A11" s="25" t="s">
        <v>5</v>
      </c>
      <c r="B11" s="24">
        <v>24</v>
      </c>
      <c r="C11" s="24">
        <v>19</v>
      </c>
      <c r="D11" s="24">
        <v>6</v>
      </c>
      <c r="E11" s="23">
        <f t="shared" ref="E11:E17" si="0">B11/(B11+C11+D11)</f>
        <v>0.48979591836734693</v>
      </c>
      <c r="F11" s="23">
        <f t="shared" ref="F11:F17" si="1">C11/(B11+C11+D11)</f>
        <v>0.38775510204081631</v>
      </c>
      <c r="G11" s="23">
        <f t="shared" ref="G11:G17" si="2">D11/(B11+C11+D11)</f>
        <v>0.12244897959183673</v>
      </c>
      <c r="H11" s="19"/>
    </row>
    <row r="12" spans="1:11" s="17" customFormat="1">
      <c r="A12" s="25" t="s">
        <v>6</v>
      </c>
      <c r="B12" s="24">
        <v>15</v>
      </c>
      <c r="C12" s="24">
        <v>15</v>
      </c>
      <c r="D12" s="24">
        <v>3</v>
      </c>
      <c r="E12" s="23">
        <f t="shared" si="0"/>
        <v>0.45454545454545453</v>
      </c>
      <c r="F12" s="23">
        <f t="shared" si="1"/>
        <v>0.45454545454545453</v>
      </c>
      <c r="G12" s="23">
        <f t="shared" si="2"/>
        <v>9.0909090909090912E-2</v>
      </c>
      <c r="H12" s="19"/>
    </row>
    <row r="13" spans="1:11" s="17" customFormat="1">
      <c r="A13" s="25" t="s">
        <v>4</v>
      </c>
      <c r="B13" s="24">
        <v>10</v>
      </c>
      <c r="C13" s="24">
        <v>6</v>
      </c>
      <c r="D13" s="24">
        <v>3</v>
      </c>
      <c r="E13" s="23">
        <f t="shared" si="0"/>
        <v>0.52631578947368418</v>
      </c>
      <c r="F13" s="23">
        <f t="shared" si="1"/>
        <v>0.31578947368421051</v>
      </c>
      <c r="G13" s="23">
        <f t="shared" si="2"/>
        <v>0.15789473684210525</v>
      </c>
      <c r="H13" s="19"/>
    </row>
    <row r="14" spans="1:11" s="17" customFormat="1">
      <c r="A14" s="25" t="s">
        <v>7</v>
      </c>
      <c r="B14" s="24">
        <v>8</v>
      </c>
      <c r="C14" s="24">
        <v>11</v>
      </c>
      <c r="D14" s="24">
        <v>0</v>
      </c>
      <c r="E14" s="23">
        <f t="shared" si="0"/>
        <v>0.42105263157894735</v>
      </c>
      <c r="F14" s="23">
        <f t="shared" si="1"/>
        <v>0.57894736842105265</v>
      </c>
      <c r="G14" s="23">
        <f t="shared" si="2"/>
        <v>0</v>
      </c>
      <c r="H14" s="19"/>
    </row>
    <row r="15" spans="1:11" s="17" customFormat="1">
      <c r="A15" s="25" t="s">
        <v>10</v>
      </c>
      <c r="B15" s="24">
        <v>3</v>
      </c>
      <c r="C15" s="24">
        <v>14</v>
      </c>
      <c r="D15" s="24">
        <v>4</v>
      </c>
      <c r="E15" s="23">
        <f t="shared" si="0"/>
        <v>0.14285714285714285</v>
      </c>
      <c r="F15" s="23">
        <f t="shared" si="1"/>
        <v>0.66666666666666663</v>
      </c>
      <c r="G15" s="23">
        <f t="shared" si="2"/>
        <v>0.19047619047619047</v>
      </c>
      <c r="H15" s="19"/>
    </row>
    <row r="16" spans="1:11" s="17" customFormat="1">
      <c r="A16" s="25" t="s">
        <v>9</v>
      </c>
      <c r="B16" s="24">
        <v>3</v>
      </c>
      <c r="C16" s="24">
        <v>8</v>
      </c>
      <c r="D16" s="24">
        <v>0</v>
      </c>
      <c r="E16" s="23">
        <f t="shared" si="0"/>
        <v>0.27272727272727271</v>
      </c>
      <c r="F16" s="23">
        <f t="shared" si="1"/>
        <v>0.72727272727272729</v>
      </c>
      <c r="G16" s="23">
        <f t="shared" si="2"/>
        <v>0</v>
      </c>
      <c r="H16" s="19"/>
    </row>
    <row r="17" spans="1:9" s="18" customFormat="1">
      <c r="A17" s="22" t="s">
        <v>8</v>
      </c>
      <c r="B17" s="21">
        <v>63</v>
      </c>
      <c r="C17" s="21">
        <v>73</v>
      </c>
      <c r="D17" s="21">
        <v>16</v>
      </c>
      <c r="E17" s="20">
        <f t="shared" si="0"/>
        <v>0.41447368421052633</v>
      </c>
      <c r="F17" s="20">
        <f t="shared" si="1"/>
        <v>0.48026315789473684</v>
      </c>
      <c r="G17" s="20">
        <f t="shared" si="2"/>
        <v>0.10526315789473684</v>
      </c>
      <c r="H17" s="19"/>
    </row>
    <row r="18" spans="1:9" s="17" customFormat="1"/>
    <row r="19" spans="1:9" s="17" customFormat="1">
      <c r="A19" s="100" t="s">
        <v>59</v>
      </c>
    </row>
    <row r="20" spans="1:9" s="17" customFormat="1">
      <c r="A20" s="100" t="s">
        <v>60</v>
      </c>
    </row>
    <row r="21" spans="1:9" s="17" customFormat="1"/>
    <row r="22" spans="1:9" s="17" customFormat="1">
      <c r="A22" s="16"/>
      <c r="B22" s="16"/>
      <c r="C22" s="16"/>
      <c r="D22" s="16"/>
    </row>
    <row r="23" spans="1:9">
      <c r="A23" s="16"/>
      <c r="B23" s="15"/>
      <c r="C23" s="14"/>
      <c r="D23" s="14"/>
      <c r="E23" s="13"/>
      <c r="F23" s="13"/>
      <c r="G23" s="13"/>
      <c r="H23" s="12"/>
    </row>
    <row r="24" spans="1:9">
      <c r="A24" s="16"/>
      <c r="B24" s="15"/>
      <c r="C24" s="14"/>
      <c r="D24" s="14"/>
      <c r="E24" s="13"/>
      <c r="F24" s="13"/>
      <c r="G24" s="13"/>
      <c r="H24" s="12"/>
    </row>
    <row r="25" spans="1:9">
      <c r="A25" s="4"/>
      <c r="B25" s="6"/>
      <c r="C25" s="6"/>
      <c r="D25" s="6"/>
      <c r="E25" s="5"/>
      <c r="F25" s="5"/>
      <c r="G25" s="5"/>
      <c r="H25" s="4"/>
      <c r="I25" s="3"/>
    </row>
    <row r="26" spans="1:9">
      <c r="A26" s="4"/>
      <c r="B26" s="6"/>
      <c r="C26" s="6"/>
      <c r="D26" s="6"/>
      <c r="E26" s="5"/>
      <c r="F26" s="5"/>
      <c r="G26" s="5"/>
      <c r="H26" s="4"/>
      <c r="I26" s="3"/>
    </row>
    <row r="27" spans="1:9">
      <c r="A27" s="4"/>
      <c r="B27" s="6"/>
      <c r="C27" s="6"/>
      <c r="D27" s="6"/>
      <c r="E27" s="5"/>
      <c r="F27" s="5"/>
      <c r="G27" s="5"/>
      <c r="H27" s="4"/>
      <c r="I27" s="3"/>
    </row>
    <row r="28" spans="1:9">
      <c r="A28" s="4"/>
      <c r="B28" s="6"/>
      <c r="C28" s="6"/>
      <c r="D28" s="6"/>
      <c r="E28" s="5"/>
      <c r="F28" s="5"/>
      <c r="G28" s="5"/>
      <c r="H28" s="4"/>
      <c r="I28" s="3"/>
    </row>
    <row r="29" spans="1:9">
      <c r="A29" s="9"/>
      <c r="B29" s="8"/>
      <c r="C29" s="8"/>
      <c r="D29" s="8"/>
      <c r="E29" s="7"/>
      <c r="F29" s="7"/>
      <c r="G29" s="7"/>
      <c r="H29" s="4"/>
      <c r="I29" s="3"/>
    </row>
    <row r="30" spans="1:9">
      <c r="A30" s="11"/>
      <c r="B30" s="10" t="s">
        <v>13</v>
      </c>
      <c r="C30" s="10" t="s">
        <v>12</v>
      </c>
      <c r="D30" s="10" t="s">
        <v>11</v>
      </c>
      <c r="E30" s="10" t="s">
        <v>13</v>
      </c>
      <c r="F30" s="10" t="s">
        <v>12</v>
      </c>
      <c r="G30" s="10" t="s">
        <v>11</v>
      </c>
      <c r="H30" s="4"/>
      <c r="I30" s="3"/>
    </row>
    <row r="31" spans="1:9">
      <c r="A31" s="4" t="s">
        <v>10</v>
      </c>
      <c r="B31" s="6">
        <v>3</v>
      </c>
      <c r="C31" s="6">
        <v>14</v>
      </c>
      <c r="D31" s="6">
        <v>4</v>
      </c>
      <c r="E31" s="5">
        <f t="shared" ref="E31:E37" si="3">B31/(B31+C31+D31)</f>
        <v>0.14285714285714285</v>
      </c>
      <c r="F31" s="5">
        <f t="shared" ref="F31:F37" si="4">C31/(B31+C31+D31)</f>
        <v>0.66666666666666663</v>
      </c>
      <c r="G31" s="5">
        <f t="shared" ref="G31:G37" si="5">D31/(B31+C31+D31)</f>
        <v>0.19047619047619047</v>
      </c>
      <c r="H31" s="4"/>
      <c r="I31" s="3"/>
    </row>
    <row r="32" spans="1:9">
      <c r="A32" s="4" t="s">
        <v>9</v>
      </c>
      <c r="B32" s="6">
        <v>3</v>
      </c>
      <c r="C32" s="6">
        <v>8</v>
      </c>
      <c r="D32" s="6">
        <v>0</v>
      </c>
      <c r="E32" s="5">
        <f t="shared" si="3"/>
        <v>0.27272727272727271</v>
      </c>
      <c r="F32" s="5">
        <f t="shared" si="4"/>
        <v>0.72727272727272729</v>
      </c>
      <c r="G32" s="5">
        <f t="shared" si="5"/>
        <v>0</v>
      </c>
      <c r="H32" s="4"/>
      <c r="I32" s="3"/>
    </row>
    <row r="33" spans="1:9">
      <c r="A33" s="9" t="s">
        <v>8</v>
      </c>
      <c r="B33" s="8">
        <v>63</v>
      </c>
      <c r="C33" s="8">
        <v>73</v>
      </c>
      <c r="D33" s="8">
        <v>16</v>
      </c>
      <c r="E33" s="7">
        <f t="shared" si="3"/>
        <v>0.41447368421052633</v>
      </c>
      <c r="F33" s="7">
        <f t="shared" si="4"/>
        <v>0.48026315789473684</v>
      </c>
      <c r="G33" s="7">
        <f t="shared" si="5"/>
        <v>0.10526315789473684</v>
      </c>
      <c r="H33" s="4"/>
      <c r="I33" s="3"/>
    </row>
    <row r="34" spans="1:9">
      <c r="A34" s="4" t="s">
        <v>7</v>
      </c>
      <c r="B34" s="6">
        <v>8</v>
      </c>
      <c r="C34" s="6">
        <v>11</v>
      </c>
      <c r="D34" s="6">
        <v>0</v>
      </c>
      <c r="E34" s="5">
        <f t="shared" si="3"/>
        <v>0.42105263157894735</v>
      </c>
      <c r="F34" s="5">
        <f t="shared" si="4"/>
        <v>0.57894736842105265</v>
      </c>
      <c r="G34" s="5">
        <f t="shared" si="5"/>
        <v>0</v>
      </c>
      <c r="H34" s="4"/>
      <c r="I34" s="3"/>
    </row>
    <row r="35" spans="1:9">
      <c r="A35" s="4" t="s">
        <v>6</v>
      </c>
      <c r="B35" s="6">
        <v>15</v>
      </c>
      <c r="C35" s="6">
        <v>15</v>
      </c>
      <c r="D35" s="6">
        <v>3</v>
      </c>
      <c r="E35" s="5">
        <f t="shared" si="3"/>
        <v>0.45454545454545453</v>
      </c>
      <c r="F35" s="5">
        <f t="shared" si="4"/>
        <v>0.45454545454545453</v>
      </c>
      <c r="G35" s="5">
        <f t="shared" si="5"/>
        <v>9.0909090909090912E-2</v>
      </c>
      <c r="H35" s="4"/>
      <c r="I35" s="3"/>
    </row>
    <row r="36" spans="1:9">
      <c r="A36" s="4" t="s">
        <v>5</v>
      </c>
      <c r="B36" s="6">
        <v>24</v>
      </c>
      <c r="C36" s="6">
        <v>19</v>
      </c>
      <c r="D36" s="6">
        <v>6</v>
      </c>
      <c r="E36" s="5">
        <f t="shared" si="3"/>
        <v>0.48979591836734693</v>
      </c>
      <c r="F36" s="5">
        <f t="shared" si="4"/>
        <v>0.38775510204081631</v>
      </c>
      <c r="G36" s="5">
        <f t="shared" si="5"/>
        <v>0.12244897959183673</v>
      </c>
      <c r="H36" s="4"/>
      <c r="I36" s="3"/>
    </row>
    <row r="37" spans="1:9">
      <c r="A37" s="4" t="s">
        <v>4</v>
      </c>
      <c r="B37" s="6">
        <v>10</v>
      </c>
      <c r="C37" s="6">
        <v>6</v>
      </c>
      <c r="D37" s="6">
        <v>3</v>
      </c>
      <c r="E37" s="5">
        <f t="shared" si="3"/>
        <v>0.52631578947368418</v>
      </c>
      <c r="F37" s="5">
        <f t="shared" si="4"/>
        <v>0.31578947368421051</v>
      </c>
      <c r="G37" s="5">
        <f t="shared" si="5"/>
        <v>0.15789473684210525</v>
      </c>
      <c r="H37" s="4"/>
      <c r="I37" s="3"/>
    </row>
    <row r="38" spans="1:9">
      <c r="A38" s="3"/>
      <c r="B38" s="3"/>
      <c r="C38" s="3"/>
      <c r="D38" s="3"/>
      <c r="E38" s="3"/>
      <c r="F38" s="3"/>
      <c r="G38" s="3"/>
      <c r="H38" s="3"/>
      <c r="I38" s="3"/>
    </row>
    <row r="39" spans="1:9">
      <c r="A39" s="3"/>
      <c r="B39" s="3"/>
      <c r="C39" s="3"/>
      <c r="D39" s="3"/>
      <c r="E39" s="3"/>
      <c r="F39" s="3"/>
      <c r="G39" s="3"/>
      <c r="H39" s="3"/>
      <c r="I39" s="3"/>
    </row>
    <row r="40" spans="1:9">
      <c r="A40" s="4"/>
      <c r="B40" s="4"/>
      <c r="C40" s="4"/>
      <c r="D40" s="4"/>
      <c r="E40" s="4"/>
      <c r="F40" s="4"/>
      <c r="G40" s="4"/>
      <c r="H40" s="4"/>
      <c r="I40" s="3"/>
    </row>
    <row r="41" spans="1:9">
      <c r="A41" s="4"/>
      <c r="B41" s="4"/>
      <c r="C41" s="4"/>
      <c r="D41" s="4"/>
      <c r="E41" s="4"/>
      <c r="F41" s="4"/>
      <c r="G41" s="4"/>
      <c r="H41" s="4"/>
      <c r="I41" s="3"/>
    </row>
    <row r="42" spans="1:9">
      <c r="A42" s="4"/>
      <c r="B42" s="4"/>
      <c r="C42" s="4"/>
      <c r="D42" s="4"/>
      <c r="E42" s="4"/>
      <c r="F42" s="4"/>
      <c r="G42" s="4"/>
      <c r="H42" s="4"/>
      <c r="I42" s="3"/>
    </row>
    <row r="43" spans="1:9">
      <c r="A43" s="4"/>
      <c r="B43" s="4"/>
      <c r="C43" s="4"/>
      <c r="D43" s="4"/>
      <c r="E43" s="4"/>
      <c r="F43" s="4"/>
      <c r="G43" s="4"/>
      <c r="H43" s="4"/>
      <c r="I43" s="3"/>
    </row>
    <row r="44" spans="1:9">
      <c r="A44" s="3"/>
      <c r="B44" s="3"/>
      <c r="C44" s="3"/>
      <c r="D44" s="3"/>
      <c r="E44" s="3"/>
      <c r="F44" s="3"/>
      <c r="G44" s="3"/>
      <c r="H44" s="3"/>
      <c r="I44" s="3"/>
    </row>
    <row r="45" spans="1:9">
      <c r="A45" s="3"/>
      <c r="B45" s="3"/>
      <c r="C45" s="3"/>
      <c r="D45" s="3"/>
      <c r="E45" s="3"/>
      <c r="F45" s="3"/>
      <c r="G45" s="3"/>
      <c r="H45" s="3"/>
      <c r="I45" s="3"/>
    </row>
  </sheetData>
  <mergeCells count="2">
    <mergeCell ref="E9:G9"/>
    <mergeCell ref="B2:J2"/>
  </mergeCells>
  <pageMargins left="0.78740157499999996" right="0.78740157499999996" top="0.984251969" bottom="0.984251969" header="0.4921259845" footer="0.4921259845"/>
  <pageSetup paperSize="9" scale="64"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zoomScaleNormal="100" workbookViewId="0">
      <selection activeCell="R24" sqref="R24"/>
    </sheetView>
  </sheetViews>
  <sheetFormatPr baseColWidth="10" defaultColWidth="11.42578125" defaultRowHeight="15"/>
  <cols>
    <col min="1" max="1" width="25.5703125" style="1" customWidth="1"/>
    <col min="2" max="16384" width="11.42578125" style="1"/>
  </cols>
  <sheetData>
    <row r="1" spans="1:2" s="50" customFormat="1" ht="23.25">
      <c r="A1" s="51" t="s">
        <v>31</v>
      </c>
    </row>
    <row r="2" spans="1:2">
      <c r="A2" s="52" t="s">
        <v>17</v>
      </c>
    </row>
    <row r="3" spans="1:2">
      <c r="A3" s="48" t="s">
        <v>30</v>
      </c>
    </row>
    <row r="4" spans="1:2" ht="30">
      <c r="A4" s="49" t="s">
        <v>29</v>
      </c>
      <c r="B4" s="47">
        <v>23.459715639810426</v>
      </c>
    </row>
    <row r="5" spans="1:2" ht="30">
      <c r="A5" s="49" t="s">
        <v>28</v>
      </c>
      <c r="B5" s="47">
        <v>13.507109004739336</v>
      </c>
    </row>
    <row r="6" spans="1:2" ht="30">
      <c r="A6" s="49" t="s">
        <v>27</v>
      </c>
      <c r="B6" s="47">
        <v>0.7109004739336493</v>
      </c>
    </row>
    <row r="7" spans="1:2" ht="30">
      <c r="A7" s="49" t="s">
        <v>26</v>
      </c>
      <c r="B7" s="47">
        <v>11.611374407582938</v>
      </c>
    </row>
    <row r="8" spans="1:2" ht="30">
      <c r="A8" s="49" t="s">
        <v>25</v>
      </c>
      <c r="B8" s="47">
        <v>26.540284360189574</v>
      </c>
    </row>
    <row r="9" spans="1:2" ht="30">
      <c r="A9" s="49" t="s">
        <v>24</v>
      </c>
      <c r="B9" s="47">
        <v>2.3696682464454977</v>
      </c>
    </row>
    <row r="10" spans="1:2">
      <c r="A10" s="48" t="s">
        <v>23</v>
      </c>
      <c r="B10" s="47">
        <v>15.402843601895734</v>
      </c>
    </row>
    <row r="11" spans="1:2">
      <c r="A11" s="48" t="s">
        <v>22</v>
      </c>
      <c r="B11" s="47">
        <v>6.3981042654028437</v>
      </c>
    </row>
    <row r="13" spans="1:2">
      <c r="A13" s="46" t="s">
        <v>61</v>
      </c>
    </row>
    <row r="14" spans="1:2">
      <c r="A14" s="46" t="s">
        <v>62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21"/>
  <sheetViews>
    <sheetView showGridLines="0" zoomScaleNormal="100" workbookViewId="0">
      <selection activeCell="R24" sqref="R24"/>
    </sheetView>
  </sheetViews>
  <sheetFormatPr baseColWidth="10" defaultRowHeight="15"/>
  <sheetData>
    <row r="2" spans="1:4" ht="38.25">
      <c r="A2" s="87"/>
      <c r="B2" s="91" t="s">
        <v>67</v>
      </c>
      <c r="C2" s="91" t="s">
        <v>68</v>
      </c>
    </row>
    <row r="3" spans="1:4" ht="24">
      <c r="A3" s="96" t="s">
        <v>58</v>
      </c>
      <c r="B3" s="95">
        <v>0.23</v>
      </c>
      <c r="C3" s="98">
        <v>0</v>
      </c>
      <c r="D3" s="99">
        <f t="shared" ref="D3:D12" si="0">B3+C3</f>
        <v>0.23</v>
      </c>
    </row>
    <row r="4" spans="1:4" ht="24">
      <c r="A4" s="92" t="s">
        <v>56</v>
      </c>
      <c r="B4" s="93">
        <v>3.1099999999999994</v>
      </c>
      <c r="C4" s="94">
        <v>1</v>
      </c>
      <c r="D4" s="99">
        <f t="shared" si="0"/>
        <v>4.1099999999999994</v>
      </c>
    </row>
    <row r="5" spans="1:4">
      <c r="A5" s="96" t="s">
        <v>54</v>
      </c>
      <c r="B5" s="95">
        <v>9</v>
      </c>
      <c r="C5" s="94">
        <v>15.47</v>
      </c>
      <c r="D5" s="99">
        <f t="shared" si="0"/>
        <v>24.47</v>
      </c>
    </row>
    <row r="6" spans="1:4">
      <c r="A6" s="96" t="s">
        <v>50</v>
      </c>
      <c r="B6" s="95">
        <v>0</v>
      </c>
      <c r="C6" s="94">
        <v>36</v>
      </c>
      <c r="D6" s="99">
        <f t="shared" si="0"/>
        <v>36</v>
      </c>
    </row>
    <row r="7" spans="1:4">
      <c r="A7" s="96" t="s">
        <v>51</v>
      </c>
      <c r="B7" s="95">
        <v>0</v>
      </c>
      <c r="C7" s="94">
        <v>623</v>
      </c>
      <c r="D7" s="99">
        <f t="shared" si="0"/>
        <v>623</v>
      </c>
    </row>
    <row r="8" spans="1:4">
      <c r="A8" s="92" t="s">
        <v>49</v>
      </c>
      <c r="B8" s="95">
        <v>0</v>
      </c>
      <c r="C8" s="94">
        <v>626</v>
      </c>
      <c r="D8" s="99">
        <f t="shared" si="0"/>
        <v>626</v>
      </c>
    </row>
    <row r="9" spans="1:4">
      <c r="A9" s="92" t="s">
        <v>52</v>
      </c>
      <c r="B9" s="95">
        <v>103</v>
      </c>
      <c r="C9" s="94">
        <v>1753</v>
      </c>
      <c r="D9" s="99">
        <f t="shared" si="0"/>
        <v>1856</v>
      </c>
    </row>
    <row r="10" spans="1:4">
      <c r="A10" s="92" t="s">
        <v>53</v>
      </c>
      <c r="B10" s="95">
        <v>519</v>
      </c>
      <c r="C10" s="94">
        <v>2787</v>
      </c>
      <c r="D10" s="99">
        <f t="shared" si="0"/>
        <v>3306</v>
      </c>
    </row>
    <row r="11" spans="1:4" ht="24">
      <c r="A11" s="92" t="s">
        <v>55</v>
      </c>
      <c r="B11" s="95">
        <v>10162</v>
      </c>
      <c r="C11" s="94">
        <v>18114</v>
      </c>
      <c r="D11" s="99">
        <f t="shared" si="0"/>
        <v>28276</v>
      </c>
    </row>
    <row r="12" spans="1:4">
      <c r="A12" s="92" t="s">
        <v>57</v>
      </c>
      <c r="B12" s="95">
        <v>23595</v>
      </c>
      <c r="C12" s="97">
        <v>29752</v>
      </c>
      <c r="D12" s="99">
        <f t="shared" si="0"/>
        <v>53347</v>
      </c>
    </row>
    <row r="20" spans="1:1">
      <c r="A20" s="101" t="s">
        <v>63</v>
      </c>
    </row>
    <row r="21" spans="1:1">
      <c r="A21" s="101" t="s">
        <v>64</v>
      </c>
    </row>
  </sheetData>
  <sortState xmlns:xlrd2="http://schemas.microsoft.com/office/spreadsheetml/2017/richdata2" ref="A3:D13">
    <sortCondition ref="D3:D13"/>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18"/>
  <sheetViews>
    <sheetView showGridLines="0" zoomScaleNormal="100" workbookViewId="0">
      <selection activeCell="R24" sqref="R24"/>
    </sheetView>
  </sheetViews>
  <sheetFormatPr baseColWidth="10" defaultColWidth="11.42578125" defaultRowHeight="12.75"/>
  <cols>
    <col min="1" max="4" width="11.42578125" style="87"/>
    <col min="5" max="5" width="4.42578125" style="88" customWidth="1"/>
    <col min="6" max="21" width="11.42578125" style="88"/>
    <col min="22" max="16384" width="11.42578125" style="87"/>
  </cols>
  <sheetData>
    <row r="1" spans="2:9" ht="64.5" customHeight="1">
      <c r="I1" s="89" t="s">
        <v>48</v>
      </c>
    </row>
    <row r="7" spans="2:9" ht="51">
      <c r="C7" s="91" t="s">
        <v>47</v>
      </c>
      <c r="D7" s="91" t="s">
        <v>43</v>
      </c>
    </row>
    <row r="8" spans="2:9" ht="24">
      <c r="B8" s="92" t="s">
        <v>56</v>
      </c>
      <c r="C8" s="93">
        <v>3.1099999999999994</v>
      </c>
      <c r="D8" s="94">
        <v>1</v>
      </c>
    </row>
    <row r="9" spans="2:9">
      <c r="B9" s="92" t="s">
        <v>49</v>
      </c>
      <c r="C9" s="95">
        <v>0</v>
      </c>
      <c r="D9" s="94">
        <v>626</v>
      </c>
    </row>
    <row r="10" spans="2:9">
      <c r="B10" s="96" t="s">
        <v>50</v>
      </c>
      <c r="C10" s="95">
        <v>0</v>
      </c>
      <c r="D10" s="94">
        <v>36</v>
      </c>
    </row>
    <row r="11" spans="2:9">
      <c r="B11" s="96" t="s">
        <v>51</v>
      </c>
      <c r="C11" s="95">
        <v>0</v>
      </c>
      <c r="D11" s="94">
        <v>623</v>
      </c>
    </row>
    <row r="12" spans="2:9">
      <c r="B12" s="92" t="s">
        <v>52</v>
      </c>
      <c r="C12" s="95">
        <v>103</v>
      </c>
      <c r="D12" s="94">
        <v>1753</v>
      </c>
    </row>
    <row r="13" spans="2:9">
      <c r="B13" s="92" t="s">
        <v>53</v>
      </c>
      <c r="C13" s="95">
        <v>519</v>
      </c>
      <c r="D13" s="94">
        <v>2787</v>
      </c>
    </row>
    <row r="14" spans="2:9">
      <c r="B14" s="96" t="s">
        <v>54</v>
      </c>
      <c r="C14" s="95">
        <v>9</v>
      </c>
      <c r="D14" s="94">
        <v>15.47</v>
      </c>
    </row>
    <row r="15" spans="2:9" ht="24">
      <c r="B15" s="92" t="s">
        <v>55</v>
      </c>
      <c r="C15" s="95">
        <v>10162</v>
      </c>
      <c r="D15" s="94">
        <v>18114</v>
      </c>
    </row>
    <row r="16" spans="2:9">
      <c r="B16" s="92" t="s">
        <v>57</v>
      </c>
      <c r="C16" s="95">
        <v>23595</v>
      </c>
      <c r="D16" s="97">
        <v>29752</v>
      </c>
    </row>
    <row r="17" spans="2:4" ht="24">
      <c r="B17" s="92" t="s">
        <v>56</v>
      </c>
      <c r="C17" s="95">
        <v>3</v>
      </c>
      <c r="D17" s="94">
        <v>0.99</v>
      </c>
    </row>
    <row r="18" spans="2:4" ht="24">
      <c r="B18" s="96" t="s">
        <v>58</v>
      </c>
      <c r="C18" s="95">
        <v>0.23</v>
      </c>
      <c r="D18" s="98">
        <v>0</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18"/>
  <sheetViews>
    <sheetView showGridLines="0" zoomScaleNormal="100" workbookViewId="0">
      <selection activeCell="R24" sqref="R24"/>
    </sheetView>
  </sheetViews>
  <sheetFormatPr baseColWidth="10" defaultColWidth="11.42578125" defaultRowHeight="12.75"/>
  <cols>
    <col min="1" max="4" width="11.42578125" style="87"/>
    <col min="5" max="17" width="11.42578125" style="88"/>
    <col min="18" max="16384" width="11.42578125" style="87"/>
  </cols>
  <sheetData>
    <row r="1" spans="2:21" ht="64.5" customHeight="1">
      <c r="I1" s="89" t="s">
        <v>48</v>
      </c>
    </row>
    <row r="7" spans="2:21" ht="51">
      <c r="C7" s="91" t="s">
        <v>47</v>
      </c>
      <c r="D7" s="91" t="s">
        <v>43</v>
      </c>
    </row>
    <row r="8" spans="2:21" ht="24">
      <c r="B8" s="92" t="s">
        <v>56</v>
      </c>
      <c r="C8" s="93">
        <v>3.1099999999999994</v>
      </c>
      <c r="D8" s="94">
        <v>1</v>
      </c>
      <c r="U8" s="90"/>
    </row>
    <row r="9" spans="2:21">
      <c r="B9" s="92" t="s">
        <v>49</v>
      </c>
      <c r="C9" s="95">
        <v>0</v>
      </c>
      <c r="D9" s="94">
        <v>626</v>
      </c>
    </row>
    <row r="10" spans="2:21">
      <c r="B10" s="96" t="s">
        <v>50</v>
      </c>
      <c r="C10" s="95">
        <v>0</v>
      </c>
      <c r="D10" s="94">
        <v>36</v>
      </c>
    </row>
    <row r="11" spans="2:21">
      <c r="B11" s="96" t="s">
        <v>51</v>
      </c>
      <c r="C11" s="95">
        <v>0</v>
      </c>
      <c r="D11" s="94">
        <v>623</v>
      </c>
    </row>
    <row r="12" spans="2:21">
      <c r="B12" s="92" t="s">
        <v>52</v>
      </c>
      <c r="C12" s="95">
        <v>103</v>
      </c>
      <c r="D12" s="94">
        <v>1753</v>
      </c>
    </row>
    <row r="13" spans="2:21">
      <c r="B13" s="92" t="s">
        <v>53</v>
      </c>
      <c r="C13" s="95">
        <v>519</v>
      </c>
      <c r="D13" s="94">
        <v>2787</v>
      </c>
    </row>
    <row r="14" spans="2:21">
      <c r="B14" s="96" t="s">
        <v>54</v>
      </c>
      <c r="C14" s="95">
        <v>9</v>
      </c>
      <c r="D14" s="94">
        <v>15.47</v>
      </c>
    </row>
    <row r="15" spans="2:21" ht="24">
      <c r="B15" s="92" t="s">
        <v>55</v>
      </c>
      <c r="C15" s="95">
        <v>10162</v>
      </c>
      <c r="D15" s="94">
        <v>18114</v>
      </c>
    </row>
    <row r="16" spans="2:21">
      <c r="B16" s="92" t="s">
        <v>57</v>
      </c>
      <c r="C16" s="95">
        <v>23595</v>
      </c>
      <c r="D16" s="97">
        <v>29752</v>
      </c>
    </row>
    <row r="17" spans="2:4" ht="24">
      <c r="B17" s="92" t="s">
        <v>56</v>
      </c>
      <c r="C17" s="95">
        <v>3</v>
      </c>
      <c r="D17" s="94">
        <v>0.99</v>
      </c>
    </row>
    <row r="18" spans="2:4" ht="24">
      <c r="B18" s="96" t="s">
        <v>58</v>
      </c>
      <c r="C18" s="95">
        <v>0.23</v>
      </c>
      <c r="D18" s="98">
        <v>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
  <dimension ref="A1:L31"/>
  <sheetViews>
    <sheetView showGridLines="0" zoomScaleNormal="100" workbookViewId="0">
      <selection activeCell="R24" sqref="R24"/>
    </sheetView>
  </sheetViews>
  <sheetFormatPr baseColWidth="10" defaultColWidth="11.42578125" defaultRowHeight="12.75"/>
  <cols>
    <col min="1" max="1" width="30.140625" style="2" customWidth="1"/>
    <col min="2" max="2" width="18.140625" style="2" customWidth="1"/>
    <col min="3" max="3" width="18.42578125" style="2" customWidth="1"/>
    <col min="4" max="4" width="18" style="2" customWidth="1"/>
    <col min="5" max="6" width="19" style="2" customWidth="1"/>
    <col min="7" max="7" width="16" style="2" customWidth="1"/>
    <col min="8" max="8" width="16.140625" style="81" customWidth="1"/>
    <col min="9" max="12" width="11.42578125" style="81"/>
    <col min="13" max="16384" width="11.42578125" style="2"/>
  </cols>
  <sheetData>
    <row r="1" spans="1:12" s="17" customFormat="1" ht="18">
      <c r="A1" s="18" t="s">
        <v>3</v>
      </c>
      <c r="B1" s="45" t="s">
        <v>42</v>
      </c>
      <c r="C1" s="45"/>
      <c r="D1" s="45"/>
      <c r="E1" s="45"/>
      <c r="F1" s="45"/>
      <c r="H1" s="81"/>
      <c r="I1" s="81"/>
      <c r="J1" s="81"/>
      <c r="K1" s="81"/>
      <c r="L1" s="81"/>
    </row>
    <row r="2" spans="1:12" s="17" customFormat="1" ht="30.75" customHeight="1">
      <c r="B2" s="165" t="s">
        <v>41</v>
      </c>
      <c r="C2" s="165"/>
      <c r="D2" s="165"/>
      <c r="E2" s="165"/>
      <c r="F2" s="165"/>
      <c r="G2" s="165"/>
      <c r="H2" s="165"/>
      <c r="I2" s="165"/>
      <c r="J2" s="165"/>
      <c r="K2" s="165"/>
      <c r="L2" s="165"/>
    </row>
    <row r="3" spans="1:12" s="42" customFormat="1" ht="15">
      <c r="A3" s="44" t="s">
        <v>2</v>
      </c>
      <c r="B3" s="43" t="s">
        <v>40</v>
      </c>
      <c r="C3" s="43"/>
      <c r="D3" s="43"/>
      <c r="E3" s="43"/>
      <c r="F3" s="43"/>
      <c r="H3" s="82"/>
      <c r="I3" s="82"/>
      <c r="J3" s="82"/>
      <c r="K3" s="82"/>
      <c r="L3" s="82"/>
    </row>
    <row r="4" spans="1:12" s="42" customFormat="1" ht="15.75" thickBot="1">
      <c r="A4" s="44"/>
      <c r="B4" s="43"/>
      <c r="C4" s="43"/>
      <c r="D4" s="43"/>
      <c r="E4" s="43"/>
      <c r="F4" s="43"/>
      <c r="H4" s="82"/>
      <c r="I4" s="82"/>
      <c r="J4" s="82"/>
      <c r="K4" s="82"/>
      <c r="L4" s="82"/>
    </row>
    <row r="5" spans="1:12" s="17" customFormat="1" ht="18.75" thickBot="1">
      <c r="A5" s="78" t="s">
        <v>1</v>
      </c>
      <c r="B5" s="77">
        <f>F26</f>
        <v>1159</v>
      </c>
      <c r="C5" s="76" t="s">
        <v>46</v>
      </c>
      <c r="D5" s="76"/>
      <c r="E5" s="75"/>
      <c r="F5" s="74"/>
      <c r="G5" s="73"/>
      <c r="H5" s="83"/>
      <c r="I5" s="84"/>
      <c r="J5" s="85"/>
      <c r="K5" s="85"/>
      <c r="L5" s="81"/>
    </row>
    <row r="6" spans="1:12" s="17" customFormat="1">
      <c r="B6" s="72"/>
      <c r="C6" s="72"/>
      <c r="D6" s="72"/>
      <c r="E6" s="72"/>
      <c r="F6" s="72"/>
      <c r="G6" s="56"/>
      <c r="H6" s="56"/>
      <c r="I6" s="56"/>
      <c r="J6" s="56"/>
      <c r="K6" s="56"/>
      <c r="L6" s="55"/>
    </row>
    <row r="7" spans="1:12" s="17" customFormat="1">
      <c r="B7" s="166" t="s">
        <v>39</v>
      </c>
      <c r="C7" s="166"/>
      <c r="D7" s="166"/>
      <c r="E7" s="166"/>
      <c r="F7" s="166"/>
      <c r="G7" s="56"/>
      <c r="H7" s="56"/>
      <c r="I7" s="56"/>
      <c r="J7" s="56"/>
      <c r="K7" s="56"/>
      <c r="L7" s="55"/>
    </row>
    <row r="8" spans="1:12" s="18" customFormat="1" ht="48">
      <c r="A8" s="71" t="s">
        <v>0</v>
      </c>
      <c r="B8" s="70" t="s">
        <v>38</v>
      </c>
      <c r="C8" s="70" t="s">
        <v>45</v>
      </c>
      <c r="D8" s="70" t="s">
        <v>35</v>
      </c>
      <c r="E8" s="69" t="s">
        <v>44</v>
      </c>
      <c r="F8" s="69" t="s">
        <v>37</v>
      </c>
      <c r="G8" s="68" t="s">
        <v>0</v>
      </c>
      <c r="H8" s="67" t="s">
        <v>36</v>
      </c>
      <c r="I8" s="67" t="s">
        <v>35</v>
      </c>
      <c r="J8" s="66" t="s">
        <v>34</v>
      </c>
      <c r="K8" s="66" t="s">
        <v>33</v>
      </c>
      <c r="L8" s="65"/>
    </row>
    <row r="9" spans="1:12" s="17" customFormat="1">
      <c r="A9" s="61">
        <v>2004</v>
      </c>
      <c r="B9" s="63" t="s">
        <v>32</v>
      </c>
      <c r="C9" s="63" t="s">
        <v>32</v>
      </c>
      <c r="D9" s="61">
        <v>170</v>
      </c>
      <c r="E9" s="64">
        <v>25</v>
      </c>
      <c r="F9" s="62">
        <f t="shared" ref="F9:F24" si="0">K9</f>
        <v>195</v>
      </c>
      <c r="G9" s="56">
        <v>2004</v>
      </c>
      <c r="H9" s="56"/>
      <c r="I9" s="56">
        <v>170</v>
      </c>
      <c r="J9" s="56">
        <v>25</v>
      </c>
      <c r="K9" s="56">
        <f t="shared" ref="K9:K24" si="1">SUM(H9+I9+J9)</f>
        <v>195</v>
      </c>
      <c r="L9" s="55"/>
    </row>
    <row r="10" spans="1:12" s="17" customFormat="1">
      <c r="A10" s="61">
        <v>2005</v>
      </c>
      <c r="B10" s="63" t="s">
        <v>32</v>
      </c>
      <c r="C10" s="63" t="s">
        <v>32</v>
      </c>
      <c r="D10" s="61">
        <v>140</v>
      </c>
      <c r="E10" s="64">
        <v>32</v>
      </c>
      <c r="F10" s="62">
        <f t="shared" si="0"/>
        <v>172</v>
      </c>
      <c r="G10" s="56">
        <v>2005</v>
      </c>
      <c r="H10" s="56"/>
      <c r="I10" s="56">
        <v>140</v>
      </c>
      <c r="J10" s="56">
        <v>32</v>
      </c>
      <c r="K10" s="56">
        <f t="shared" si="1"/>
        <v>172</v>
      </c>
      <c r="L10" s="55"/>
    </row>
    <row r="11" spans="1:12">
      <c r="A11" s="61">
        <v>2006</v>
      </c>
      <c r="B11" s="63" t="s">
        <v>32</v>
      </c>
      <c r="C11" s="63" t="s">
        <v>32</v>
      </c>
      <c r="D11" s="61">
        <v>170</v>
      </c>
      <c r="E11" s="60">
        <v>189</v>
      </c>
      <c r="F11" s="62">
        <f t="shared" si="0"/>
        <v>359</v>
      </c>
      <c r="G11" s="56">
        <v>2006</v>
      </c>
      <c r="H11" s="56"/>
      <c r="I11" s="56">
        <v>170</v>
      </c>
      <c r="J11" s="56">
        <v>189</v>
      </c>
      <c r="K11" s="56">
        <f t="shared" si="1"/>
        <v>359</v>
      </c>
      <c r="L11" s="55"/>
    </row>
    <row r="12" spans="1:12">
      <c r="A12" s="61">
        <v>2007</v>
      </c>
      <c r="B12" s="63" t="s">
        <v>32</v>
      </c>
      <c r="C12" s="63" t="s">
        <v>32</v>
      </c>
      <c r="D12" s="61">
        <v>230</v>
      </c>
      <c r="E12" s="60">
        <v>180</v>
      </c>
      <c r="F12" s="62">
        <f t="shared" si="0"/>
        <v>410</v>
      </c>
      <c r="G12" s="56">
        <v>2007</v>
      </c>
      <c r="H12" s="56"/>
      <c r="I12" s="56">
        <v>230</v>
      </c>
      <c r="J12" s="56">
        <v>180</v>
      </c>
      <c r="K12" s="56">
        <f t="shared" si="1"/>
        <v>410</v>
      </c>
      <c r="L12" s="55"/>
    </row>
    <row r="13" spans="1:12">
      <c r="A13" s="61">
        <v>2008</v>
      </c>
      <c r="B13" s="63" t="s">
        <v>32</v>
      </c>
      <c r="C13" s="63" t="s">
        <v>32</v>
      </c>
      <c r="D13" s="61">
        <v>250</v>
      </c>
      <c r="E13" s="63" t="s">
        <v>32</v>
      </c>
      <c r="F13" s="62">
        <f t="shared" si="0"/>
        <v>250</v>
      </c>
      <c r="G13" s="56">
        <v>2008</v>
      </c>
      <c r="H13" s="56"/>
      <c r="I13" s="56">
        <v>250</v>
      </c>
      <c r="J13" s="56"/>
      <c r="K13" s="56">
        <f t="shared" si="1"/>
        <v>250</v>
      </c>
      <c r="L13" s="55"/>
    </row>
    <row r="14" spans="1:12">
      <c r="A14" s="61">
        <v>2009</v>
      </c>
      <c r="B14" s="63" t="s">
        <v>32</v>
      </c>
      <c r="C14" s="63" t="s">
        <v>32</v>
      </c>
      <c r="D14" s="61">
        <v>300</v>
      </c>
      <c r="E14" s="63" t="s">
        <v>32</v>
      </c>
      <c r="F14" s="62">
        <f t="shared" si="0"/>
        <v>300</v>
      </c>
      <c r="G14" s="56">
        <v>2009</v>
      </c>
      <c r="H14" s="56"/>
      <c r="I14" s="56">
        <v>300</v>
      </c>
      <c r="J14" s="56"/>
      <c r="K14" s="56">
        <f t="shared" si="1"/>
        <v>300</v>
      </c>
      <c r="L14" s="55"/>
    </row>
    <row r="15" spans="1:12">
      <c r="A15" s="61">
        <v>2010</v>
      </c>
      <c r="B15" s="63" t="s">
        <v>32</v>
      </c>
      <c r="C15" s="63" t="s">
        <v>32</v>
      </c>
      <c r="D15" s="61">
        <v>400</v>
      </c>
      <c r="E15" s="60">
        <v>282</v>
      </c>
      <c r="F15" s="62">
        <f t="shared" si="0"/>
        <v>682</v>
      </c>
      <c r="G15" s="56">
        <v>2010</v>
      </c>
      <c r="H15" s="56"/>
      <c r="I15" s="56">
        <v>400</v>
      </c>
      <c r="J15" s="56">
        <v>282</v>
      </c>
      <c r="K15" s="56">
        <f t="shared" si="1"/>
        <v>682</v>
      </c>
      <c r="L15" s="55"/>
    </row>
    <row r="16" spans="1:12">
      <c r="A16" s="61">
        <v>2011</v>
      </c>
      <c r="B16" s="63" t="s">
        <v>32</v>
      </c>
      <c r="C16" s="63" t="s">
        <v>32</v>
      </c>
      <c r="D16" s="61">
        <v>410</v>
      </c>
      <c r="E16" s="60">
        <v>383</v>
      </c>
      <c r="F16" s="62">
        <f t="shared" si="0"/>
        <v>793</v>
      </c>
      <c r="G16" s="56">
        <v>2011</v>
      </c>
      <c r="H16" s="56"/>
      <c r="I16" s="56">
        <v>410</v>
      </c>
      <c r="J16" s="56">
        <v>383</v>
      </c>
      <c r="K16" s="56">
        <f t="shared" si="1"/>
        <v>793</v>
      </c>
      <c r="L16" s="55"/>
    </row>
    <row r="17" spans="1:12">
      <c r="A17" s="61">
        <v>2012</v>
      </c>
      <c r="B17" s="63" t="s">
        <v>32</v>
      </c>
      <c r="C17" s="63" t="s">
        <v>32</v>
      </c>
      <c r="D17" s="61">
        <v>430</v>
      </c>
      <c r="E17" s="60">
        <v>475</v>
      </c>
      <c r="F17" s="62">
        <f t="shared" si="0"/>
        <v>905</v>
      </c>
      <c r="G17" s="56">
        <v>2012</v>
      </c>
      <c r="H17" s="56"/>
      <c r="I17" s="56">
        <v>430</v>
      </c>
      <c r="J17" s="56">
        <v>475</v>
      </c>
      <c r="K17" s="56">
        <f t="shared" si="1"/>
        <v>905</v>
      </c>
      <c r="L17" s="55"/>
    </row>
    <row r="18" spans="1:12">
      <c r="A18" s="61">
        <v>2013</v>
      </c>
      <c r="B18" s="63" t="s">
        <v>32</v>
      </c>
      <c r="C18" s="63" t="s">
        <v>32</v>
      </c>
      <c r="D18" s="61">
        <v>400</v>
      </c>
      <c r="E18" s="60">
        <v>430</v>
      </c>
      <c r="F18" s="62">
        <f t="shared" si="0"/>
        <v>830</v>
      </c>
      <c r="G18" s="56">
        <v>2013</v>
      </c>
      <c r="H18" s="56"/>
      <c r="I18" s="56">
        <v>400</v>
      </c>
      <c r="J18" s="56">
        <v>430</v>
      </c>
      <c r="K18" s="56">
        <f t="shared" si="1"/>
        <v>830</v>
      </c>
      <c r="L18" s="55"/>
    </row>
    <row r="19" spans="1:12">
      <c r="A19" s="61">
        <v>2014</v>
      </c>
      <c r="B19" s="63" t="s">
        <v>32</v>
      </c>
      <c r="C19" s="63" t="s">
        <v>32</v>
      </c>
      <c r="D19" s="61">
        <v>400</v>
      </c>
      <c r="E19" s="60">
        <v>489</v>
      </c>
      <c r="F19" s="62">
        <f t="shared" si="0"/>
        <v>889</v>
      </c>
      <c r="G19" s="56">
        <v>2014</v>
      </c>
      <c r="H19" s="56"/>
      <c r="I19" s="56">
        <v>400</v>
      </c>
      <c r="J19" s="56">
        <v>489</v>
      </c>
      <c r="K19" s="56">
        <f t="shared" si="1"/>
        <v>889</v>
      </c>
      <c r="L19" s="55"/>
    </row>
    <row r="20" spans="1:12">
      <c r="A20" s="61">
        <v>2015</v>
      </c>
      <c r="B20" s="63" t="s">
        <v>32</v>
      </c>
      <c r="C20" s="63" t="s">
        <v>32</v>
      </c>
      <c r="D20" s="61">
        <v>350</v>
      </c>
      <c r="E20" s="60">
        <v>551</v>
      </c>
      <c r="F20" s="62">
        <f t="shared" si="0"/>
        <v>901</v>
      </c>
      <c r="G20" s="56">
        <v>2015</v>
      </c>
      <c r="H20" s="56"/>
      <c r="I20" s="56">
        <v>350</v>
      </c>
      <c r="J20" s="56">
        <v>551</v>
      </c>
      <c r="K20" s="56">
        <f t="shared" si="1"/>
        <v>901</v>
      </c>
      <c r="L20" s="55"/>
    </row>
    <row r="21" spans="1:12">
      <c r="A21" s="61">
        <v>2016</v>
      </c>
      <c r="B21" s="61">
        <v>133</v>
      </c>
      <c r="C21" s="63" t="s">
        <v>32</v>
      </c>
      <c r="D21" s="61">
        <v>370</v>
      </c>
      <c r="E21" s="60">
        <v>626</v>
      </c>
      <c r="F21" s="62">
        <f t="shared" si="0"/>
        <v>1129</v>
      </c>
      <c r="G21" s="56">
        <v>2016</v>
      </c>
      <c r="H21" s="56">
        <v>133</v>
      </c>
      <c r="I21" s="56">
        <v>370</v>
      </c>
      <c r="J21" s="56">
        <v>626</v>
      </c>
      <c r="K21" s="56">
        <f t="shared" si="1"/>
        <v>1129</v>
      </c>
      <c r="L21" s="55"/>
    </row>
    <row r="22" spans="1:12">
      <c r="A22" s="61">
        <v>2017</v>
      </c>
      <c r="B22" s="61">
        <v>191</v>
      </c>
      <c r="C22" s="63" t="s">
        <v>32</v>
      </c>
      <c r="D22" s="61">
        <v>370</v>
      </c>
      <c r="E22" s="60">
        <v>641</v>
      </c>
      <c r="F22" s="62">
        <f t="shared" si="0"/>
        <v>1202</v>
      </c>
      <c r="G22" s="56">
        <v>2017</v>
      </c>
      <c r="H22" s="56">
        <v>191</v>
      </c>
      <c r="I22" s="56">
        <v>370</v>
      </c>
      <c r="J22" s="56">
        <v>641</v>
      </c>
      <c r="K22" s="56">
        <f t="shared" si="1"/>
        <v>1202</v>
      </c>
      <c r="L22" s="55"/>
    </row>
    <row r="23" spans="1:12">
      <c r="A23" s="61">
        <v>2018</v>
      </c>
      <c r="B23" s="61">
        <v>167</v>
      </c>
      <c r="C23" s="61">
        <v>109</v>
      </c>
      <c r="D23" s="61">
        <v>297</v>
      </c>
      <c r="E23" s="60">
        <v>647</v>
      </c>
      <c r="F23" s="58">
        <f t="shared" si="0"/>
        <v>1111</v>
      </c>
      <c r="G23" s="56">
        <v>2018</v>
      </c>
      <c r="H23" s="56">
        <v>167</v>
      </c>
      <c r="I23" s="56">
        <v>297</v>
      </c>
      <c r="J23" s="56">
        <v>647</v>
      </c>
      <c r="K23" s="59">
        <f t="shared" si="1"/>
        <v>1111</v>
      </c>
      <c r="L23" s="55"/>
    </row>
    <row r="24" spans="1:12">
      <c r="A24" s="57">
        <v>2019</v>
      </c>
      <c r="B24" s="57">
        <v>120</v>
      </c>
      <c r="C24" s="57">
        <v>72</v>
      </c>
      <c r="D24" s="57">
        <v>500</v>
      </c>
      <c r="E24" s="57">
        <v>704</v>
      </c>
      <c r="F24" s="58">
        <f t="shared" si="0"/>
        <v>1324</v>
      </c>
      <c r="G24" s="56">
        <v>2019</v>
      </c>
      <c r="H24" s="56">
        <v>120</v>
      </c>
      <c r="I24" s="56">
        <v>500</v>
      </c>
      <c r="J24" s="56">
        <v>704</v>
      </c>
      <c r="K24" s="56">
        <f t="shared" si="1"/>
        <v>1324</v>
      </c>
      <c r="L24" s="55"/>
    </row>
    <row r="25" spans="1:12">
      <c r="A25" s="57">
        <v>2020</v>
      </c>
      <c r="B25" s="57">
        <v>48</v>
      </c>
      <c r="C25" s="57">
        <v>12</v>
      </c>
      <c r="D25" s="57">
        <v>50</v>
      </c>
      <c r="E25" s="57">
        <v>789</v>
      </c>
      <c r="F25" s="58">
        <f>B25+D25+E25</f>
        <v>887</v>
      </c>
      <c r="G25" s="56">
        <v>2020</v>
      </c>
      <c r="H25" s="56">
        <v>48</v>
      </c>
      <c r="I25" s="56">
        <v>50</v>
      </c>
      <c r="J25" s="56">
        <v>789</v>
      </c>
      <c r="K25" s="56">
        <v>887</v>
      </c>
      <c r="L25" s="55"/>
    </row>
    <row r="26" spans="1:12">
      <c r="A26" s="79">
        <v>2021</v>
      </c>
      <c r="B26" s="79">
        <v>115</v>
      </c>
      <c r="C26" s="80">
        <v>109</v>
      </c>
      <c r="D26" s="79">
        <v>249</v>
      </c>
      <c r="E26" s="79">
        <v>795</v>
      </c>
      <c r="F26" s="58">
        <f>B26+D26+E26</f>
        <v>1159</v>
      </c>
      <c r="G26" s="54"/>
      <c r="H26" s="54">
        <v>115</v>
      </c>
      <c r="I26" s="54">
        <v>249</v>
      </c>
      <c r="J26" s="54">
        <v>795</v>
      </c>
      <c r="K26" s="86">
        <v>1159</v>
      </c>
    </row>
    <row r="27" spans="1:12">
      <c r="G27" s="54"/>
      <c r="H27" s="54"/>
      <c r="I27" s="54"/>
      <c r="J27" s="54"/>
      <c r="K27" s="86"/>
    </row>
    <row r="28" spans="1:12" ht="24.95" customHeight="1">
      <c r="A28" s="167" t="s">
        <v>65</v>
      </c>
      <c r="B28" s="168"/>
      <c r="C28" s="168"/>
      <c r="D28" s="168"/>
      <c r="E28" s="168"/>
      <c r="F28" s="168"/>
      <c r="G28" s="53"/>
      <c r="H28" s="86"/>
      <c r="I28" s="86"/>
      <c r="J28" s="86"/>
      <c r="K28" s="86"/>
    </row>
    <row r="29" spans="1:12">
      <c r="A29" s="102" t="s">
        <v>66</v>
      </c>
      <c r="G29" s="3"/>
    </row>
    <row r="30" spans="1:12">
      <c r="G30" s="3"/>
    </row>
    <row r="31" spans="1:12">
      <c r="G31" s="3"/>
    </row>
  </sheetData>
  <mergeCells count="3">
    <mergeCell ref="B2:L2"/>
    <mergeCell ref="B7:F7"/>
    <mergeCell ref="A28:F28"/>
  </mergeCells>
  <pageMargins left="0.78740157499999996" right="0.78740157499999996" top="0.984251969" bottom="0.984251969" header="0.4921259845" footer="0.492125984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A382-640D-4FA3-9092-7B990CB11FDC}">
  <sheetPr codeName="Feuil1"/>
  <dimension ref="A1:AI38"/>
  <sheetViews>
    <sheetView showGridLines="0" zoomScaleNormal="100" workbookViewId="0">
      <pane xSplit="1" topLeftCell="B1" activePane="topRight" state="frozen"/>
      <selection activeCell="A4" sqref="A4"/>
      <selection pane="topRight" activeCell="R24" sqref="R24"/>
    </sheetView>
  </sheetViews>
  <sheetFormatPr baseColWidth="10" defaultRowHeight="12.75"/>
  <cols>
    <col min="1" max="1" width="53.28515625" style="103" customWidth="1"/>
    <col min="2" max="14" width="11.85546875" style="103" customWidth="1"/>
    <col min="15" max="15" width="13" style="103" customWidth="1"/>
    <col min="16" max="19" width="11.85546875" style="103" customWidth="1"/>
    <col min="20" max="24" width="11.42578125" style="103"/>
    <col min="25" max="25" width="12.5703125" style="103" customWidth="1"/>
    <col min="26" max="27" width="11.42578125" style="103"/>
    <col min="28" max="28" width="11.140625" style="103" customWidth="1"/>
    <col min="29" max="29" width="12.28515625" style="103" customWidth="1"/>
    <col min="30" max="30" width="11.140625" style="103" customWidth="1"/>
    <col min="31" max="32" width="14.140625" style="103" customWidth="1"/>
    <col min="33" max="33" width="12.28515625" style="104" customWidth="1"/>
    <col min="34" max="35" width="12.85546875" style="104" customWidth="1"/>
    <col min="36" max="36" width="11.42578125" style="103"/>
    <col min="37" max="37" width="14.7109375" style="103" customWidth="1"/>
    <col min="38" max="16384" width="11.42578125" style="103"/>
  </cols>
  <sheetData>
    <row r="1" spans="1:35" s="138" customFormat="1" ht="18">
      <c r="A1" s="157" t="s">
        <v>3</v>
      </c>
      <c r="B1" s="156" t="s">
        <v>84</v>
      </c>
      <c r="AG1" s="141"/>
      <c r="AH1" s="141"/>
      <c r="AI1" s="141"/>
    </row>
    <row r="2" spans="1:35" s="138" customFormat="1" ht="15" customHeight="1">
      <c r="B2" s="155" t="s">
        <v>83</v>
      </c>
      <c r="C2" s="154"/>
      <c r="D2" s="154"/>
      <c r="E2" s="154"/>
      <c r="F2" s="154"/>
      <c r="AG2" s="141"/>
      <c r="AH2" s="141"/>
      <c r="AI2" s="141"/>
    </row>
    <row r="3" spans="1:35" s="149" customFormat="1" ht="15.75">
      <c r="A3" s="153" t="s">
        <v>2</v>
      </c>
      <c r="B3" s="152" t="s">
        <v>82</v>
      </c>
      <c r="D3" s="151"/>
      <c r="AG3" s="150"/>
      <c r="AH3" s="150"/>
      <c r="AI3" s="150"/>
    </row>
    <row r="4" spans="1:35" s="138" customFormat="1" ht="15.75" thickBot="1">
      <c r="A4" s="148"/>
      <c r="B4" s="147"/>
      <c r="P4" s="146"/>
      <c r="Q4" s="146"/>
      <c r="R4" s="145"/>
      <c r="S4" s="145"/>
      <c r="AG4" s="141"/>
      <c r="AH4" s="141"/>
      <c r="AI4" s="141"/>
    </row>
    <row r="5" spans="1:35" s="138" customFormat="1" ht="18.75" thickBot="1">
      <c r="A5" s="144" t="s">
        <v>1</v>
      </c>
      <c r="B5" s="143">
        <f>Q9</f>
        <v>39.4</v>
      </c>
      <c r="C5" s="169" t="s">
        <v>81</v>
      </c>
      <c r="D5" s="169"/>
      <c r="E5" s="169"/>
      <c r="F5" s="169"/>
      <c r="G5" s="169"/>
      <c r="H5" s="169"/>
      <c r="I5" s="169"/>
      <c r="J5" s="169"/>
      <c r="K5" s="169"/>
      <c r="L5" s="169"/>
      <c r="M5" s="169"/>
      <c r="N5" s="169"/>
      <c r="O5" s="169"/>
      <c r="P5" s="169"/>
      <c r="Q5" s="170"/>
      <c r="R5" s="142"/>
      <c r="S5" s="142"/>
      <c r="AG5" s="141"/>
      <c r="AH5" s="141"/>
      <c r="AI5" s="141"/>
    </row>
    <row r="6" spans="1:35" s="138" customFormat="1">
      <c r="AG6" s="141"/>
      <c r="AH6" s="141"/>
      <c r="AI6" s="141"/>
    </row>
    <row r="7" spans="1:35" s="138" customFormat="1">
      <c r="B7" s="171" t="s">
        <v>80</v>
      </c>
      <c r="C7" s="172"/>
      <c r="D7" s="172"/>
      <c r="E7" s="172"/>
      <c r="F7" s="172"/>
      <c r="G7" s="172"/>
      <c r="H7" s="172"/>
      <c r="I7" s="172"/>
      <c r="J7" s="172"/>
      <c r="K7" s="172"/>
      <c r="L7" s="172"/>
      <c r="M7" s="172"/>
      <c r="N7" s="173"/>
      <c r="AG7" s="141"/>
      <c r="AH7" s="141"/>
      <c r="AI7" s="141"/>
    </row>
    <row r="8" spans="1:35" s="137" customFormat="1">
      <c r="B8" s="136">
        <v>2007</v>
      </c>
      <c r="C8" s="136">
        <v>2008</v>
      </c>
      <c r="D8" s="136">
        <v>2009</v>
      </c>
      <c r="E8" s="136">
        <v>2010</v>
      </c>
      <c r="F8" s="135">
        <v>2011</v>
      </c>
      <c r="G8" s="136">
        <v>2012</v>
      </c>
      <c r="H8" s="135">
        <v>2013</v>
      </c>
      <c r="I8" s="135">
        <v>2014</v>
      </c>
      <c r="J8" s="135">
        <v>2015</v>
      </c>
      <c r="K8" s="135">
        <v>2016</v>
      </c>
      <c r="L8" s="135">
        <v>2017</v>
      </c>
      <c r="M8" s="135">
        <v>2018</v>
      </c>
      <c r="N8" s="135">
        <v>2019</v>
      </c>
      <c r="O8" s="135">
        <v>2020</v>
      </c>
      <c r="P8" s="135">
        <v>2021</v>
      </c>
      <c r="Q8" s="134">
        <v>2022</v>
      </c>
    </row>
    <row r="9" spans="1:35" s="139" customFormat="1" ht="25.5">
      <c r="A9" s="133" t="s">
        <v>79</v>
      </c>
      <c r="B9" s="158">
        <v>20.9</v>
      </c>
      <c r="C9" s="159">
        <v>13.95</v>
      </c>
      <c r="D9" s="159">
        <v>23.63</v>
      </c>
      <c r="E9" s="159">
        <v>16.059999999999999</v>
      </c>
      <c r="F9" s="159">
        <v>25.2</v>
      </c>
      <c r="G9" s="159">
        <v>29.85</v>
      </c>
      <c r="H9" s="159">
        <v>33.4</v>
      </c>
      <c r="I9" s="159">
        <v>37.700000000000003</v>
      </c>
      <c r="J9" s="159">
        <v>31.8</v>
      </c>
      <c r="K9" s="159">
        <v>36.200000000000003</v>
      </c>
      <c r="L9" s="159">
        <v>40.799999999999997</v>
      </c>
      <c r="M9" s="160">
        <v>33.1</v>
      </c>
      <c r="N9" s="161">
        <v>33.4</v>
      </c>
      <c r="O9" s="162">
        <v>34.894999999999996</v>
      </c>
      <c r="P9" s="162">
        <v>43.28</v>
      </c>
      <c r="Q9" s="163">
        <v>39.4</v>
      </c>
      <c r="Y9" s="140"/>
      <c r="Z9" s="140"/>
      <c r="AA9" s="140"/>
      <c r="AB9" s="140"/>
      <c r="AC9" s="140"/>
    </row>
    <row r="10" spans="1:35" ht="15">
      <c r="A10" s="126" t="s">
        <v>78</v>
      </c>
      <c r="M10" s="132"/>
      <c r="N10" s="131"/>
      <c r="O10" s="130"/>
      <c r="P10" s="129"/>
      <c r="S10" s="127"/>
      <c r="T10" s="128"/>
      <c r="U10" s="128"/>
      <c r="V10" s="104"/>
      <c r="W10" s="127"/>
      <c r="X10" s="127"/>
      <c r="Y10" s="121"/>
      <c r="Z10" s="121"/>
      <c r="AG10" s="103"/>
      <c r="AH10" s="103"/>
      <c r="AI10" s="103"/>
    </row>
    <row r="11" spans="1:35" ht="15">
      <c r="A11" s="126" t="s">
        <v>77</v>
      </c>
      <c r="N11" s="125"/>
      <c r="O11" s="124"/>
      <c r="P11" s="123"/>
      <c r="S11" s="121"/>
      <c r="T11" s="121"/>
      <c r="U11" s="121"/>
      <c r="V11" s="122"/>
      <c r="W11" s="122"/>
      <c r="X11" s="122"/>
      <c r="Y11" s="121"/>
      <c r="Z11" s="121"/>
      <c r="AG11" s="103"/>
      <c r="AH11" s="103"/>
      <c r="AI11" s="103"/>
    </row>
    <row r="12" spans="1:35">
      <c r="V12" s="104"/>
      <c r="W12" s="104"/>
      <c r="X12" s="104"/>
      <c r="AG12" s="103"/>
      <c r="AH12" s="103"/>
      <c r="AI12" s="103"/>
    </row>
    <row r="13" spans="1:35">
      <c r="V13" s="104"/>
      <c r="W13" s="104"/>
      <c r="X13" s="104"/>
      <c r="AG13" s="103"/>
      <c r="AH13" s="103"/>
      <c r="AI13" s="103"/>
    </row>
    <row r="14" spans="1:35" s="106" customFormat="1" ht="14.25">
      <c r="B14" s="120"/>
      <c r="C14" s="115">
        <v>2007</v>
      </c>
      <c r="D14" s="115">
        <v>2008</v>
      </c>
      <c r="E14" s="115">
        <v>2009</v>
      </c>
      <c r="F14" s="115">
        <v>2010</v>
      </c>
      <c r="G14" s="115">
        <v>2011</v>
      </c>
      <c r="H14" s="115">
        <v>2012</v>
      </c>
      <c r="I14" s="115">
        <v>2013</v>
      </c>
      <c r="J14" s="115">
        <v>2014</v>
      </c>
      <c r="K14" s="115">
        <v>2015</v>
      </c>
      <c r="L14" s="115">
        <v>2016</v>
      </c>
      <c r="M14" s="115">
        <v>2017</v>
      </c>
      <c r="N14" s="115">
        <v>2018</v>
      </c>
      <c r="O14" s="115">
        <v>2019</v>
      </c>
      <c r="P14" s="115">
        <v>2020</v>
      </c>
      <c r="Q14" s="115">
        <v>2021</v>
      </c>
      <c r="R14" s="115">
        <v>2022</v>
      </c>
      <c r="S14" s="120"/>
      <c r="V14" s="107"/>
      <c r="W14" s="107"/>
      <c r="X14" s="107"/>
    </row>
    <row r="15" spans="1:35" s="106" customFormat="1" ht="25.5">
      <c r="A15" s="108"/>
      <c r="B15" s="110" t="s">
        <v>72</v>
      </c>
      <c r="C15" s="118">
        <v>54</v>
      </c>
      <c r="D15" s="118">
        <v>118</v>
      </c>
      <c r="E15" s="118">
        <v>745</v>
      </c>
      <c r="F15" s="118">
        <v>158</v>
      </c>
      <c r="G15" s="118">
        <v>246</v>
      </c>
      <c r="H15" s="118">
        <v>113</v>
      </c>
      <c r="I15" s="118">
        <v>149</v>
      </c>
      <c r="J15" s="118">
        <v>257</v>
      </c>
      <c r="K15" s="118">
        <v>78</v>
      </c>
      <c r="L15" s="118">
        <v>300</v>
      </c>
      <c r="M15" s="118">
        <v>662</v>
      </c>
      <c r="N15" s="118">
        <v>289</v>
      </c>
      <c r="O15" s="117">
        <v>268</v>
      </c>
      <c r="P15" s="109">
        <v>185</v>
      </c>
      <c r="Q15" s="109">
        <v>197</v>
      </c>
      <c r="R15" s="109">
        <v>122</v>
      </c>
      <c r="S15" s="110" t="s">
        <v>70</v>
      </c>
      <c r="U15" s="108"/>
      <c r="V15" s="119"/>
      <c r="W15" s="119"/>
      <c r="X15" s="119"/>
    </row>
    <row r="16" spans="1:35" s="106" customFormat="1" ht="25.5">
      <c r="A16" s="108"/>
      <c r="B16" s="110" t="s">
        <v>71</v>
      </c>
      <c r="C16" s="118">
        <v>3580</v>
      </c>
      <c r="D16" s="118">
        <v>12670</v>
      </c>
      <c r="E16" s="118">
        <v>13200</v>
      </c>
      <c r="F16" s="118">
        <v>14272</v>
      </c>
      <c r="G16" s="118">
        <v>18154</v>
      </c>
      <c r="H16" s="118">
        <v>17797</v>
      </c>
      <c r="I16" s="118">
        <v>572</v>
      </c>
      <c r="J16" s="118">
        <v>1574</v>
      </c>
      <c r="K16" s="118">
        <v>1067</v>
      </c>
      <c r="L16" s="118">
        <v>610</v>
      </c>
      <c r="M16" s="118">
        <v>381</v>
      </c>
      <c r="N16" s="118">
        <v>358</v>
      </c>
      <c r="O16" s="117">
        <v>32440</v>
      </c>
      <c r="P16" s="109">
        <v>34571</v>
      </c>
      <c r="Q16" s="109">
        <v>34657</v>
      </c>
      <c r="R16" s="109">
        <v>35615</v>
      </c>
      <c r="S16" s="110" t="s">
        <v>70</v>
      </c>
      <c r="U16" s="108"/>
      <c r="V16" s="119"/>
      <c r="W16" s="119"/>
      <c r="X16" s="119"/>
    </row>
    <row r="17" spans="1:35" s="106" customFormat="1" ht="25.5">
      <c r="A17" s="108"/>
      <c r="B17" s="110" t="s">
        <v>72</v>
      </c>
      <c r="C17" s="118">
        <v>178</v>
      </c>
      <c r="D17" s="118">
        <v>92</v>
      </c>
      <c r="E17" s="118">
        <v>78</v>
      </c>
      <c r="F17" s="118">
        <v>437</v>
      </c>
      <c r="G17" s="118">
        <v>213</v>
      </c>
      <c r="H17" s="118">
        <v>235</v>
      </c>
      <c r="I17" s="118">
        <v>124</v>
      </c>
      <c r="J17" s="118">
        <v>126</v>
      </c>
      <c r="K17" s="118">
        <v>126.9</v>
      </c>
      <c r="L17" s="118">
        <v>238.5</v>
      </c>
      <c r="M17" s="118">
        <v>40.9</v>
      </c>
      <c r="N17" s="118">
        <v>113.5</v>
      </c>
      <c r="O17" s="117">
        <v>220</v>
      </c>
      <c r="P17" s="109">
        <v>365</v>
      </c>
      <c r="Q17" s="109">
        <v>228.88050000000001</v>
      </c>
      <c r="R17" s="109">
        <v>187.2</v>
      </c>
      <c r="S17" s="110" t="s">
        <v>76</v>
      </c>
      <c r="U17" s="108"/>
      <c r="V17" s="119"/>
      <c r="W17" s="119"/>
      <c r="X17" s="119"/>
    </row>
    <row r="18" spans="1:35" s="106" customFormat="1" ht="25.5">
      <c r="A18" s="108"/>
      <c r="B18" s="110" t="s">
        <v>71</v>
      </c>
      <c r="C18" s="118">
        <v>1476</v>
      </c>
      <c r="D18" s="118">
        <v>1387</v>
      </c>
      <c r="E18" s="118">
        <v>1835</v>
      </c>
      <c r="F18" s="118">
        <v>2528</v>
      </c>
      <c r="G18" s="118">
        <v>3575</v>
      </c>
      <c r="H18" s="118">
        <v>2356</v>
      </c>
      <c r="I18" s="118">
        <v>4211</v>
      </c>
      <c r="J18" s="118">
        <v>4101</v>
      </c>
      <c r="K18" s="118">
        <v>4612.1000000000004</v>
      </c>
      <c r="L18" s="118">
        <v>4944.3999999999996</v>
      </c>
      <c r="M18" s="118">
        <v>4257.1000000000004</v>
      </c>
      <c r="N18" s="118">
        <v>4595.5</v>
      </c>
      <c r="O18" s="117">
        <v>4500.5</v>
      </c>
      <c r="P18" s="109">
        <v>9408</v>
      </c>
      <c r="Q18" s="109">
        <v>10010.8984</v>
      </c>
      <c r="R18" s="109">
        <v>11421.7</v>
      </c>
      <c r="S18" s="110" t="s">
        <v>76</v>
      </c>
      <c r="U18" s="108"/>
      <c r="V18" s="119"/>
      <c r="W18" s="119"/>
      <c r="X18" s="119"/>
    </row>
    <row r="19" spans="1:35" s="106" customFormat="1" ht="25.5">
      <c r="A19" s="108"/>
      <c r="B19" s="110" t="s">
        <v>72</v>
      </c>
      <c r="C19" s="118">
        <v>199</v>
      </c>
      <c r="D19" s="118">
        <v>140</v>
      </c>
      <c r="E19" s="118">
        <v>180</v>
      </c>
      <c r="F19" s="118">
        <v>212</v>
      </c>
      <c r="G19" s="118">
        <v>541</v>
      </c>
      <c r="H19" s="118">
        <v>999</v>
      </c>
      <c r="I19" s="118">
        <v>700</v>
      </c>
      <c r="J19" s="118">
        <v>696</v>
      </c>
      <c r="K19" s="118">
        <v>840</v>
      </c>
      <c r="L19" s="118">
        <v>855</v>
      </c>
      <c r="M19" s="118">
        <v>931</v>
      </c>
      <c r="N19" s="118">
        <v>516</v>
      </c>
      <c r="O19" s="117">
        <v>242</v>
      </c>
      <c r="P19" s="109">
        <v>142</v>
      </c>
      <c r="Q19" s="109">
        <v>139</v>
      </c>
      <c r="R19" s="109">
        <v>231</v>
      </c>
      <c r="S19" s="110" t="s">
        <v>75</v>
      </c>
      <c r="U19" s="108"/>
      <c r="V19" s="119"/>
      <c r="W19" s="119"/>
      <c r="X19" s="119"/>
    </row>
    <row r="20" spans="1:35" s="106" customFormat="1" ht="25.5">
      <c r="A20" s="108"/>
      <c r="B20" s="110" t="s">
        <v>71</v>
      </c>
      <c r="C20" s="118">
        <v>2321</v>
      </c>
      <c r="D20" s="118">
        <v>2460</v>
      </c>
      <c r="E20" s="118">
        <v>4120</v>
      </c>
      <c r="F20" s="118">
        <v>3720</v>
      </c>
      <c r="G20" s="118">
        <v>4684</v>
      </c>
      <c r="H20" s="118">
        <v>3731</v>
      </c>
      <c r="I20" s="118">
        <v>4550</v>
      </c>
      <c r="J20" s="118">
        <v>3505</v>
      </c>
      <c r="K20" s="118">
        <v>3955</v>
      </c>
      <c r="L20" s="118">
        <v>4010</v>
      </c>
      <c r="M20" s="118">
        <v>5163</v>
      </c>
      <c r="N20" s="118">
        <v>7031</v>
      </c>
      <c r="O20" s="117">
        <v>1812</v>
      </c>
      <c r="P20" s="109">
        <v>0</v>
      </c>
      <c r="Q20" s="109">
        <v>0</v>
      </c>
      <c r="R20" s="109">
        <v>0</v>
      </c>
      <c r="S20" s="110" t="s">
        <v>75</v>
      </c>
      <c r="U20" s="108"/>
      <c r="V20" s="119"/>
      <c r="W20" s="119"/>
      <c r="X20" s="119"/>
    </row>
    <row r="21" spans="1:35" s="106" customFormat="1" ht="25.5">
      <c r="A21" s="108"/>
      <c r="B21" s="110" t="s">
        <v>72</v>
      </c>
      <c r="C21" s="118">
        <v>137.6</v>
      </c>
      <c r="D21" s="118">
        <v>43</v>
      </c>
      <c r="E21" s="118">
        <v>282</v>
      </c>
      <c r="F21" s="118">
        <v>375</v>
      </c>
      <c r="G21" s="118">
        <v>573</v>
      </c>
      <c r="H21" s="118">
        <v>323</v>
      </c>
      <c r="I21" s="118">
        <v>321</v>
      </c>
      <c r="J21" s="118">
        <v>158</v>
      </c>
      <c r="K21" s="118">
        <v>156</v>
      </c>
      <c r="L21" s="118">
        <v>245</v>
      </c>
      <c r="M21" s="118">
        <v>341</v>
      </c>
      <c r="N21" s="118">
        <v>451</v>
      </c>
      <c r="O21" s="117">
        <v>156</v>
      </c>
      <c r="P21" s="109">
        <v>22</v>
      </c>
      <c r="Q21" s="109">
        <v>179</v>
      </c>
      <c r="R21" s="109">
        <v>291</v>
      </c>
      <c r="S21" s="110" t="s">
        <v>74</v>
      </c>
      <c r="T21" s="111"/>
      <c r="U21" s="112"/>
      <c r="V21" s="112"/>
      <c r="W21" s="112"/>
      <c r="X21" s="112"/>
      <c r="Y21" s="111"/>
      <c r="Z21" s="111"/>
      <c r="AA21" s="111"/>
      <c r="AB21" s="111"/>
      <c r="AC21" s="111"/>
      <c r="AD21" s="111"/>
      <c r="AG21" s="107"/>
      <c r="AH21" s="107"/>
      <c r="AI21" s="107"/>
    </row>
    <row r="22" spans="1:35" s="106" customFormat="1" ht="25.5">
      <c r="A22" s="108"/>
      <c r="B22" s="110" t="s">
        <v>71</v>
      </c>
      <c r="C22" s="118">
        <v>53.4</v>
      </c>
      <c r="D22" s="118">
        <v>173</v>
      </c>
      <c r="E22" s="118">
        <v>136</v>
      </c>
      <c r="F22" s="118">
        <v>456</v>
      </c>
      <c r="G22" s="118">
        <v>141</v>
      </c>
      <c r="H22" s="118">
        <v>172</v>
      </c>
      <c r="I22" s="118">
        <v>140</v>
      </c>
      <c r="J22" s="118">
        <v>679</v>
      </c>
      <c r="K22" s="118">
        <v>470</v>
      </c>
      <c r="L22" s="118">
        <v>786</v>
      </c>
      <c r="M22" s="118">
        <v>931</v>
      </c>
      <c r="N22" s="118">
        <v>923</v>
      </c>
      <c r="O22" s="117">
        <v>641</v>
      </c>
      <c r="P22" s="109">
        <v>0</v>
      </c>
      <c r="Q22" s="109">
        <v>0</v>
      </c>
      <c r="R22" s="109">
        <v>0</v>
      </c>
      <c r="S22" s="110" t="s">
        <v>74</v>
      </c>
      <c r="T22" s="111"/>
      <c r="U22" s="112"/>
      <c r="V22" s="112"/>
      <c r="W22" s="112"/>
      <c r="X22" s="112"/>
      <c r="Y22" s="111"/>
      <c r="Z22" s="111"/>
      <c r="AA22" s="111"/>
      <c r="AB22" s="111"/>
      <c r="AC22" s="111"/>
      <c r="AD22" s="111"/>
      <c r="AG22" s="107"/>
      <c r="AH22" s="107"/>
      <c r="AI22" s="107"/>
    </row>
    <row r="23" spans="1:35" s="106" customFormat="1" ht="38.25">
      <c r="A23" s="108"/>
      <c r="B23" s="110" t="s">
        <v>72</v>
      </c>
      <c r="C23" s="118">
        <v>4020</v>
      </c>
      <c r="D23" s="118">
        <v>853</v>
      </c>
      <c r="E23" s="118">
        <v>5274</v>
      </c>
      <c r="F23" s="118">
        <v>153.5</v>
      </c>
      <c r="G23" s="118">
        <v>723</v>
      </c>
      <c r="H23" s="118">
        <v>318</v>
      </c>
      <c r="I23" s="118">
        <v>270</v>
      </c>
      <c r="J23" s="118">
        <v>692</v>
      </c>
      <c r="K23" s="118">
        <v>1112</v>
      </c>
      <c r="L23" s="118">
        <v>736</v>
      </c>
      <c r="M23" s="118">
        <v>1559</v>
      </c>
      <c r="N23" s="118">
        <v>411</v>
      </c>
      <c r="O23" s="117">
        <v>401</v>
      </c>
      <c r="P23" s="109">
        <v>628.6</v>
      </c>
      <c r="Q23" s="109">
        <v>365.8</v>
      </c>
      <c r="R23" s="109">
        <v>292</v>
      </c>
      <c r="S23" s="110" t="s">
        <v>73</v>
      </c>
      <c r="T23" s="115"/>
      <c r="U23" s="116"/>
      <c r="V23" s="116"/>
      <c r="W23" s="116"/>
      <c r="X23" s="116"/>
      <c r="Y23" s="115"/>
      <c r="Z23" s="115"/>
      <c r="AA23" s="115"/>
      <c r="AB23" s="115"/>
      <c r="AC23" s="115"/>
      <c r="AD23" s="115"/>
      <c r="AG23" s="107"/>
      <c r="AH23" s="107"/>
      <c r="AI23" s="107"/>
    </row>
    <row r="24" spans="1:35" s="106" customFormat="1" ht="38.25">
      <c r="A24" s="108"/>
      <c r="B24" s="110" t="s">
        <v>71</v>
      </c>
      <c r="C24" s="118">
        <v>3361</v>
      </c>
      <c r="D24" s="118">
        <v>194</v>
      </c>
      <c r="E24" s="118">
        <v>3378</v>
      </c>
      <c r="F24" s="118">
        <v>1082.5</v>
      </c>
      <c r="G24" s="118">
        <v>525</v>
      </c>
      <c r="H24" s="118">
        <v>7800</v>
      </c>
      <c r="I24" s="118">
        <v>950</v>
      </c>
      <c r="J24" s="118">
        <v>2857</v>
      </c>
      <c r="K24" s="118">
        <v>1776</v>
      </c>
      <c r="L24" s="118">
        <v>1027</v>
      </c>
      <c r="M24" s="118">
        <v>1604</v>
      </c>
      <c r="N24" s="118">
        <v>1154</v>
      </c>
      <c r="O24" s="117">
        <v>373.5</v>
      </c>
      <c r="P24" s="109">
        <v>0</v>
      </c>
      <c r="Q24" s="109">
        <v>0</v>
      </c>
      <c r="R24" s="109">
        <v>0</v>
      </c>
      <c r="S24" s="110" t="s">
        <v>73</v>
      </c>
      <c r="T24" s="111"/>
      <c r="U24" s="112"/>
      <c r="V24" s="112"/>
      <c r="W24" s="112"/>
      <c r="X24" s="112"/>
      <c r="Y24" s="111"/>
      <c r="Z24" s="111"/>
      <c r="AA24" s="111"/>
      <c r="AB24" s="111"/>
      <c r="AC24" s="111"/>
      <c r="AD24" s="111"/>
      <c r="AG24" s="107"/>
      <c r="AH24" s="107"/>
      <c r="AI24" s="107"/>
    </row>
    <row r="25" spans="1:35" s="106" customFormat="1" ht="25.5">
      <c r="A25" s="108"/>
      <c r="B25" s="110" t="s">
        <v>72</v>
      </c>
      <c r="C25" s="118">
        <v>243</v>
      </c>
      <c r="D25" s="118">
        <v>600</v>
      </c>
      <c r="E25" s="118">
        <v>60</v>
      </c>
      <c r="F25" s="118">
        <v>159</v>
      </c>
      <c r="G25" s="118">
        <v>481</v>
      </c>
      <c r="H25" s="118">
        <v>479</v>
      </c>
      <c r="I25" s="118">
        <v>332</v>
      </c>
      <c r="J25" s="118">
        <v>176</v>
      </c>
      <c r="K25" s="118">
        <v>266</v>
      </c>
      <c r="L25" s="118">
        <v>666</v>
      </c>
      <c r="M25" s="118">
        <v>233</v>
      </c>
      <c r="N25" s="118">
        <v>158</v>
      </c>
      <c r="O25" s="117">
        <v>228</v>
      </c>
      <c r="P25" s="109">
        <v>236</v>
      </c>
      <c r="Q25" s="109">
        <v>260</v>
      </c>
      <c r="R25" s="109">
        <v>245</v>
      </c>
      <c r="S25" s="110" t="s">
        <v>69</v>
      </c>
      <c r="T25" s="111"/>
      <c r="U25" s="112"/>
      <c r="V25" s="112"/>
      <c r="W25" s="112"/>
      <c r="X25" s="112"/>
      <c r="Y25" s="111"/>
      <c r="Z25" s="111"/>
      <c r="AA25" s="111"/>
      <c r="AB25" s="111"/>
      <c r="AC25" s="111"/>
      <c r="AD25" s="111"/>
      <c r="AG25" s="107"/>
      <c r="AH25" s="107"/>
      <c r="AI25" s="107"/>
    </row>
    <row r="26" spans="1:35" s="106" customFormat="1" ht="25.5">
      <c r="A26" s="108"/>
      <c r="B26" s="110" t="s">
        <v>71</v>
      </c>
      <c r="C26" s="118">
        <v>3374</v>
      </c>
      <c r="D26" s="118">
        <v>3419</v>
      </c>
      <c r="E26" s="118">
        <v>2540</v>
      </c>
      <c r="F26" s="118">
        <v>2030</v>
      </c>
      <c r="G26" s="118">
        <v>2330</v>
      </c>
      <c r="H26" s="118">
        <v>1856</v>
      </c>
      <c r="I26" s="118">
        <v>2107</v>
      </c>
      <c r="J26" s="118">
        <v>2496</v>
      </c>
      <c r="K26" s="118">
        <v>1600</v>
      </c>
      <c r="L26" s="118">
        <v>1808</v>
      </c>
      <c r="M26" s="118">
        <v>2310</v>
      </c>
      <c r="N26" s="118">
        <v>1587</v>
      </c>
      <c r="O26" s="117">
        <v>3135</v>
      </c>
      <c r="P26" s="109">
        <v>3053</v>
      </c>
      <c r="Q26" s="109">
        <v>3043</v>
      </c>
      <c r="R26" s="109">
        <v>3139</v>
      </c>
      <c r="S26" s="110" t="s">
        <v>69</v>
      </c>
      <c r="T26" s="115"/>
      <c r="U26" s="116"/>
      <c r="V26" s="116"/>
      <c r="W26" s="116"/>
      <c r="X26" s="116"/>
      <c r="Y26" s="115"/>
      <c r="Z26" s="115"/>
      <c r="AA26" s="115"/>
      <c r="AB26" s="115"/>
      <c r="AC26" s="115"/>
      <c r="AD26" s="115"/>
      <c r="AG26" s="107"/>
      <c r="AH26" s="107"/>
      <c r="AI26" s="107"/>
    </row>
    <row r="27" spans="1:35" s="106" customFormat="1" ht="15">
      <c r="A27" s="108"/>
      <c r="R27" s="110"/>
      <c r="S27" s="111"/>
      <c r="T27" s="111"/>
      <c r="U27" s="112"/>
      <c r="V27" s="112"/>
      <c r="W27" s="112"/>
      <c r="X27" s="112"/>
      <c r="Y27" s="111"/>
      <c r="Z27" s="111"/>
      <c r="AA27" s="111"/>
      <c r="AB27" s="111"/>
      <c r="AC27" s="111"/>
      <c r="AD27" s="111"/>
      <c r="AG27" s="107"/>
      <c r="AH27" s="107"/>
      <c r="AI27" s="107"/>
    </row>
    <row r="28" spans="1:35" s="106" customFormat="1" ht="14.25">
      <c r="A28" s="108"/>
      <c r="B28" s="108"/>
      <c r="C28" s="113"/>
      <c r="D28" s="113"/>
      <c r="E28" s="108"/>
      <c r="F28" s="108"/>
      <c r="G28" s="108"/>
      <c r="H28" s="108"/>
      <c r="I28" s="108"/>
      <c r="J28" s="108"/>
      <c r="K28" s="108"/>
      <c r="L28" s="108"/>
      <c r="M28" s="108"/>
      <c r="N28" s="108"/>
      <c r="O28" s="108"/>
      <c r="P28" s="108"/>
      <c r="Q28" s="108"/>
      <c r="R28" s="108"/>
      <c r="S28" s="116"/>
      <c r="T28" s="116"/>
      <c r="U28" s="116"/>
      <c r="V28" s="116"/>
      <c r="W28" s="116"/>
      <c r="X28" s="116"/>
      <c r="Y28" s="115"/>
      <c r="Z28" s="115"/>
      <c r="AA28" s="115"/>
      <c r="AB28" s="115"/>
      <c r="AC28" s="115"/>
      <c r="AD28" s="115"/>
      <c r="AG28" s="107"/>
      <c r="AH28" s="107"/>
      <c r="AI28" s="107"/>
    </row>
    <row r="29" spans="1:35" s="106" customFormat="1" ht="15">
      <c r="A29" s="108"/>
      <c r="B29" s="108"/>
      <c r="C29" s="114"/>
      <c r="D29" s="114"/>
      <c r="E29" s="108"/>
      <c r="F29" s="108"/>
      <c r="G29" s="108"/>
      <c r="H29" s="108"/>
      <c r="I29" s="108"/>
      <c r="J29" s="108"/>
      <c r="K29" s="108"/>
      <c r="L29" s="108"/>
      <c r="M29" s="108"/>
      <c r="N29" s="108"/>
      <c r="O29" s="108"/>
      <c r="P29" s="108"/>
      <c r="Q29" s="108"/>
      <c r="R29" s="113"/>
      <c r="S29" s="112"/>
      <c r="T29" s="112"/>
      <c r="U29" s="112"/>
      <c r="V29" s="112"/>
      <c r="W29" s="112"/>
      <c r="X29" s="112"/>
      <c r="Y29" s="111"/>
      <c r="Z29" s="111"/>
      <c r="AA29" s="111"/>
      <c r="AB29" s="111"/>
      <c r="AC29" s="111"/>
      <c r="AD29" s="111"/>
      <c r="AG29" s="107"/>
      <c r="AH29" s="107"/>
      <c r="AI29" s="107"/>
    </row>
    <row r="30" spans="1:35" s="106" customFormat="1" ht="15">
      <c r="A30" s="108"/>
      <c r="C30" s="106">
        <v>2020</v>
      </c>
      <c r="D30" s="106">
        <v>2021</v>
      </c>
      <c r="E30" s="106">
        <v>2022</v>
      </c>
      <c r="G30" s="108"/>
      <c r="H30" s="108"/>
      <c r="I30" s="108"/>
      <c r="J30" s="108"/>
      <c r="K30" s="108"/>
      <c r="L30" s="108"/>
      <c r="M30" s="108"/>
      <c r="N30" s="108"/>
      <c r="O30" s="108"/>
      <c r="P30" s="108"/>
      <c r="Q30" s="108"/>
      <c r="R30" s="113"/>
      <c r="S30" s="112"/>
      <c r="T30" s="112"/>
      <c r="U30" s="112"/>
      <c r="V30" s="112"/>
      <c r="W30" s="112"/>
      <c r="X30" s="112"/>
      <c r="Y30" s="111"/>
      <c r="Z30" s="111"/>
      <c r="AA30" s="111"/>
      <c r="AB30" s="111"/>
      <c r="AC30" s="111"/>
      <c r="AD30" s="111"/>
      <c r="AG30" s="107"/>
      <c r="AH30" s="107"/>
      <c r="AI30" s="107"/>
    </row>
    <row r="31" spans="1:35" s="106" customFormat="1" ht="25.5">
      <c r="A31" s="108"/>
      <c r="B31" s="110" t="s">
        <v>70</v>
      </c>
      <c r="C31" s="106">
        <v>825</v>
      </c>
      <c r="D31" s="106">
        <v>1003</v>
      </c>
      <c r="E31" s="109">
        <v>362</v>
      </c>
      <c r="G31" s="108"/>
      <c r="H31" s="108"/>
      <c r="I31" s="108"/>
      <c r="J31" s="108"/>
      <c r="K31" s="108"/>
      <c r="L31" s="108"/>
      <c r="M31" s="108"/>
      <c r="N31" s="108"/>
      <c r="O31" s="108"/>
      <c r="P31" s="108"/>
      <c r="Q31" s="108"/>
      <c r="R31" s="108"/>
      <c r="S31" s="108"/>
      <c r="T31" s="108"/>
      <c r="U31" s="108"/>
      <c r="V31" s="108"/>
      <c r="W31" s="108"/>
      <c r="X31" s="108"/>
      <c r="AG31" s="107"/>
      <c r="AH31" s="107"/>
      <c r="AI31" s="107"/>
    </row>
    <row r="32" spans="1:35" s="106" customFormat="1" ht="25.5">
      <c r="A32" s="108"/>
      <c r="B32" s="110" t="s">
        <v>69</v>
      </c>
      <c r="C32" s="106">
        <v>1362</v>
      </c>
      <c r="D32" s="174" t="s">
        <v>78</v>
      </c>
      <c r="E32" s="174"/>
      <c r="F32" s="174"/>
      <c r="G32" s="174"/>
      <c r="H32" s="174"/>
      <c r="I32" s="108"/>
      <c r="J32" s="108"/>
      <c r="K32" s="108"/>
      <c r="L32" s="108"/>
      <c r="M32" s="108"/>
      <c r="N32" s="108"/>
      <c r="O32" s="108"/>
      <c r="P32" s="108"/>
      <c r="Q32" s="108"/>
      <c r="R32" s="108"/>
      <c r="S32" s="108"/>
      <c r="T32" s="108"/>
      <c r="U32" s="108"/>
      <c r="V32" s="108"/>
      <c r="W32" s="108"/>
      <c r="X32" s="108"/>
      <c r="AG32" s="107"/>
      <c r="AH32" s="107"/>
      <c r="AI32" s="107"/>
    </row>
    <row r="33" spans="1:35" s="106" customFormat="1" ht="15">
      <c r="A33" s="108"/>
      <c r="B33" s="108"/>
      <c r="C33" s="108"/>
      <c r="D33" s="126" t="s">
        <v>77</v>
      </c>
      <c r="E33" s="108"/>
      <c r="F33" s="108"/>
      <c r="G33" s="108"/>
      <c r="H33" s="108"/>
      <c r="I33" s="108"/>
      <c r="J33" s="108"/>
      <c r="K33" s="108"/>
      <c r="L33" s="108"/>
      <c r="M33" s="108"/>
      <c r="N33" s="108"/>
      <c r="O33" s="108"/>
      <c r="P33" s="108"/>
      <c r="Q33" s="108"/>
      <c r="R33" s="108"/>
      <c r="S33" s="108"/>
      <c r="T33" s="108"/>
      <c r="U33" s="108"/>
      <c r="V33" s="108"/>
      <c r="W33" s="108"/>
      <c r="X33" s="108"/>
      <c r="AG33" s="107"/>
      <c r="AH33" s="107"/>
      <c r="AI33" s="107"/>
    </row>
    <row r="34" spans="1:35" s="106" customForma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AG34" s="107"/>
      <c r="AH34" s="107"/>
      <c r="AI34" s="107"/>
    </row>
    <row r="35" spans="1:35" s="106" customForma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AG35" s="107"/>
      <c r="AH35" s="107"/>
      <c r="AI35" s="107"/>
    </row>
    <row r="36" spans="1:35" s="106" customForma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AG36" s="107"/>
      <c r="AH36" s="107"/>
      <c r="AI36" s="107"/>
    </row>
    <row r="37" spans="1:35">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row>
    <row r="38" spans="1:35">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row>
  </sheetData>
  <sheetProtection selectLockedCells="1" selectUnlockedCells="1"/>
  <mergeCells count="3">
    <mergeCell ref="C5:Q5"/>
    <mergeCell ref="B7:N7"/>
    <mergeCell ref="D32:H32"/>
  </mergeCells>
  <pageMargins left="0.2361111111111111" right="0.2361111111111111" top="0.74791666666666667" bottom="0.74861111111111112" header="0.51180555555555551" footer="0.31527777777777777"/>
  <pageSetup paperSize="8" scale="90" firstPageNumber="0" orientation="landscape" horizontalDpi="300" verticalDpi="300" r:id="rId1"/>
  <headerFooter alignWithMargins="0">
    <oddFooter>&amp;CSDES - Indicateurs de biodiversité</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Graph 1</vt:lpstr>
      <vt:lpstr>Graph 2</vt:lpstr>
      <vt:lpstr>Graph 3_classique</vt:lpstr>
      <vt:lpstr>Graph 3_NEW (2)</vt:lpstr>
      <vt:lpstr>Graph 3_NEW</vt:lpstr>
      <vt:lpstr>Graph 4</vt:lpstr>
      <vt:lpstr>Graph 5</vt:lpstr>
    </vt:vector>
  </TitlesOfParts>
  <Company>MTES\MCTRCT - 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«zones humides»</dc:title>
  <dc:subject>bilan environnemental 2023</dc:subject>
  <dc:creator>SDES</dc:creator>
  <cp:keywords>zone humide; biodiversité; eau; espace naturel; espèces</cp:keywords>
  <cp:lastModifiedBy>THIRIAT Sébastien</cp:lastModifiedBy>
  <cp:lastPrinted>2022-02-01T11:03:55Z</cp:lastPrinted>
  <dcterms:created xsi:type="dcterms:W3CDTF">2021-12-13T15:33:13Z</dcterms:created>
  <dcterms:modified xsi:type="dcterms:W3CDTF">2024-01-03T09:42:00Z</dcterms:modified>
</cp:coreProperties>
</file>