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EnvironmentalAccounts\EA01.04 ENV TRANSFERS\5 - DISSEMINATION\2025\SEarticle\"/>
    </mc:Choice>
  </mc:AlternateContent>
  <xr:revisionPtr revIDLastSave="0" documentId="13_ncr:1_{21334BDD-432A-4D3B-B9DE-0D6C59E27F80}" xr6:coauthVersionLast="47" xr6:coauthVersionMax="47" xr10:uidLastSave="{00000000-0000-0000-0000-000000000000}"/>
  <bookViews>
    <workbookView xWindow="-28920" yWindow="-120" windowWidth="29040" windowHeight="15840" tabRatio="843" activeTab="7" xr2:uid="{00000000-000D-0000-FFFF-FFFF00000000}"/>
  </bookViews>
  <sheets>
    <sheet name="Sheet 1" sheetId="1" r:id="rId1"/>
    <sheet name="Figure1" sheetId="2" r:id="rId2"/>
    <sheet name="Figure2" sheetId="3" r:id="rId3"/>
    <sheet name="Figure3" sheetId="4" r:id="rId4"/>
    <sheet name="Figure4" sheetId="5" r:id="rId5"/>
    <sheet name="Figure5" sheetId="6" r:id="rId6"/>
    <sheet name="Figure6" sheetId="7" r:id="rId7"/>
    <sheet name="Figure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8" l="1"/>
  <c r="Z4" i="8"/>
  <c r="Z3" i="8"/>
  <c r="Y13" i="7"/>
  <c r="Y12" i="7"/>
  <c r="Y11" i="7"/>
  <c r="Y10" i="7"/>
  <c r="Y9" i="7"/>
  <c r="Y8" i="7"/>
  <c r="Y7" i="7"/>
  <c r="Y6" i="7"/>
  <c r="Y5" i="7"/>
  <c r="Y4" i="7"/>
  <c r="Y13" i="6"/>
  <c r="Y12" i="6"/>
  <c r="Y11" i="6"/>
  <c r="Y10" i="6"/>
  <c r="Y9" i="6"/>
  <c r="Y8" i="6"/>
  <c r="Y7" i="6"/>
  <c r="Y6" i="6"/>
  <c r="Y5" i="6"/>
  <c r="Y4" i="6"/>
</calcChain>
</file>

<file path=xl/sharedStrings.xml><?xml version="1.0" encoding="utf-8"?>
<sst xmlns="http://schemas.openxmlformats.org/spreadsheetml/2006/main" count="429" uniqueCount="127">
  <si>
    <t>geo</t>
  </si>
  <si>
    <t>time</t>
  </si>
  <si>
    <t>HR</t>
  </si>
  <si>
    <t>2021</t>
  </si>
  <si>
    <t>MT</t>
  </si>
  <si>
    <t>NL</t>
  </si>
  <si>
    <t>CH</t>
  </si>
  <si>
    <t>2022</t>
  </si>
  <si>
    <t>AT</t>
  </si>
  <si>
    <t>2020</t>
  </si>
  <si>
    <t>FI</t>
  </si>
  <si>
    <t>BE</t>
  </si>
  <si>
    <t>DK</t>
  </si>
  <si>
    <t>ES</t>
  </si>
  <si>
    <t>IE</t>
  </si>
  <si>
    <t>NO</t>
  </si>
  <si>
    <t>PT</t>
  </si>
  <si>
    <t>RO</t>
  </si>
  <si>
    <t>SE</t>
  </si>
  <si>
    <t>BG</t>
  </si>
  <si>
    <t>LT</t>
  </si>
  <si>
    <t>LU</t>
  </si>
  <si>
    <t>SI</t>
  </si>
  <si>
    <t>2018</t>
  </si>
  <si>
    <t>2019</t>
  </si>
  <si>
    <t>S2</t>
  </si>
  <si>
    <t>S1</t>
  </si>
  <si>
    <t>shareGG</t>
  </si>
  <si>
    <t>sector</t>
  </si>
  <si>
    <t>S13</t>
  </si>
  <si>
    <t>S14</t>
  </si>
  <si>
    <t>S15</t>
  </si>
  <si>
    <t>naceR2</t>
  </si>
  <si>
    <t>NAL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</si>
  <si>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</si>
  <si>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</si>
  <si>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</si>
  <si>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</si>
  <si>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</si>
  <si>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</si>
  <si>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</si>
  <si>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</si>
  <si>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</si>
  <si>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I-U</t>
  </si>
  <si>
    <t>ceparema</t>
  </si>
  <si>
    <t>FR</t>
  </si>
  <si>
    <t>TOT_CEPA</t>
  </si>
  <si>
    <t>TOT_CREMA</t>
  </si>
  <si>
    <t>Country</t>
  </si>
  <si>
    <t>Croatia</t>
  </si>
  <si>
    <t>Malta</t>
  </si>
  <si>
    <t>Netherlands</t>
  </si>
  <si>
    <t>Finland</t>
  </si>
  <si>
    <t>Belgium</t>
  </si>
  <si>
    <t>Denmark</t>
  </si>
  <si>
    <t>Ireland</t>
  </si>
  <si>
    <t>Norway</t>
  </si>
  <si>
    <t>Portugal</t>
  </si>
  <si>
    <t>Romania</t>
  </si>
  <si>
    <t>Sweden</t>
  </si>
  <si>
    <t>Bulgaria</t>
  </si>
  <si>
    <t>Lithuania</t>
  </si>
  <si>
    <t>Luxembourg</t>
  </si>
  <si>
    <t>Slovenia</t>
  </si>
  <si>
    <r>
      <t>Source:</t>
    </r>
    <r>
      <rPr>
        <sz val="10"/>
        <color theme="1"/>
        <rFont val="Arial"/>
        <family val="2"/>
      </rPr>
      <t xml:space="preserve"> Eurostat (online data codes: env_esst_gg, env_esst_rw)</t>
    </r>
  </si>
  <si>
    <t>Environmental transfers as percentage of GDP</t>
  </si>
  <si>
    <t>Spain</t>
  </si>
  <si>
    <t>Austria</t>
  </si>
  <si>
    <t>Switzerland</t>
  </si>
  <si>
    <t xml:space="preserve">Title: </t>
  </si>
  <si>
    <t>Source:</t>
  </si>
  <si>
    <t>From general government</t>
  </si>
  <si>
    <t>From abroad</t>
  </si>
  <si>
    <t>Total</t>
  </si>
  <si>
    <t>Title:</t>
  </si>
  <si>
    <t>Total economy</t>
  </si>
  <si>
    <t>General government</t>
  </si>
  <si>
    <t>Households</t>
  </si>
  <si>
    <t>Non-profit institutions serving households</t>
  </si>
  <si>
    <t>Sent to other countries</t>
  </si>
  <si>
    <t>Corporations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</si>
  <si>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</si>
  <si>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</si>
  <si>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</si>
  <si>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</si>
  <si>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</si>
  <si>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</si>
  <si>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</si>
  <si>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</si>
  <si>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Services (except wholesale and retail trade, transportation and storage)</t>
  </si>
  <si>
    <t>Not allocated</t>
  </si>
  <si>
    <t>Total - all NACE activities</t>
  </si>
  <si>
    <t>Source</t>
  </si>
  <si>
    <r>
      <t>Source:</t>
    </r>
    <r>
      <rPr>
        <sz val="10"/>
        <color theme="1"/>
        <rFont val="Arial"/>
        <family val="2"/>
      </rPr>
      <t xml:space="preserve"> Eurostat (online data code: env_esst_ggcp)</t>
    </r>
  </si>
  <si>
    <r>
      <t>Source:</t>
    </r>
    <r>
      <rPr>
        <sz val="10"/>
        <color rgb="FF000000"/>
        <rFont val="Arial"/>
        <family val="2"/>
      </rPr>
      <t xml:space="preserve"> Eurostat (online data codes: env_esst_gg, env_esst_rw)</t>
    </r>
  </si>
  <si>
    <r>
      <t>Source:</t>
    </r>
    <r>
      <rPr>
        <sz val="10"/>
        <color theme="1"/>
        <rFont val="Arial"/>
        <family val="2"/>
      </rPr>
      <t xml:space="preserve"> Eurostat  (online data codes: env_esst_gg, env_esst_rw)</t>
    </r>
  </si>
  <si>
    <r>
      <t>Source:</t>
    </r>
    <r>
      <rPr>
        <sz val="10"/>
        <color theme="1"/>
        <rFont val="Arial"/>
        <family val="2"/>
      </rPr>
      <t xml:space="preserve"> Eurostat (online data code: env_esst_gg)</t>
    </r>
  </si>
  <si>
    <t>Distribution of environmental transfers received by the national economy, classified by environmental objectives (%), 2020</t>
  </si>
  <si>
    <t>Environmental objective</t>
  </si>
  <si>
    <t>Total environmental protection and resource management activities</t>
  </si>
  <si>
    <t>Total environmental protection activities</t>
  </si>
  <si>
    <t>Total resource management activities</t>
  </si>
  <si>
    <t>SE article</t>
  </si>
  <si>
    <t>Environmental subsidies and similar transfers, 2022</t>
  </si>
  <si>
    <t>EE</t>
  </si>
  <si>
    <t>LV</t>
  </si>
  <si>
    <t>Estonia</t>
  </si>
  <si>
    <t>Latvia</t>
  </si>
  <si>
    <t>Total environmental transfers received by the national economy as percentage of GDP (%), years 2018-2022</t>
  </si>
  <si>
    <t>(¹): Data for 2021</t>
  </si>
  <si>
    <t>Distribution of environmental transfers received by the national economy from the general government and abroad (%), 2022</t>
  </si>
  <si>
    <t>Millions EUR</t>
  </si>
  <si>
    <t>Environmental transfers paid to  each institutional sector by the general government (as percentage out of total), 2022</t>
  </si>
  <si>
    <t xml:space="preserve"> </t>
  </si>
  <si>
    <t>Environmental transfers received by corporations broken down by economic activities (%), 2022</t>
  </si>
  <si>
    <t>Environmental transfers received by corporations broken down by economic activities (%) - 'n.e.c.' discounted, 2022</t>
  </si>
  <si>
    <t>Total environmental transfers received by the national economy as percentage of GDP (%), 2022</t>
  </si>
  <si>
    <t>Denmark (¹)</t>
  </si>
  <si>
    <t>Sum(¹)</t>
  </si>
  <si>
    <t>(¹): For the representation of ‘Sum of reporting countries’ in the figure, values by reporting countries are summed up for each economic activity</t>
  </si>
  <si>
    <t>Sum (¹)</t>
  </si>
  <si>
    <t>France(¹)</t>
  </si>
  <si>
    <t>(¹): Only environment protection activities</t>
  </si>
  <si>
    <t>Sum (²)</t>
  </si>
  <si>
    <t>(²): For the representation of ‘Sum of reporting countries’ in the figure, values by reporting countries are summed up for each economic activity</t>
  </si>
  <si>
    <t xml:space="preserve">Data extraction for GDP (nama_10_gdp) on 27 March 2025 </t>
  </si>
  <si>
    <t>Data extraction for GDP (nama_10_gdp) on 27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</si>
</sst>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2" x14ac:knownFonts="1"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i/>
      <sz val="10"/>
      <color rgb="FF000000"/>
      <name val="Arial"/>
      <family val="2"/>
    </font>
    <font>
      <b/>
      <sz val="10"/>
      <color indexed="8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hair">
        <color rgb="FFA6A6A6"/>
      </left>
      <right/>
      <top/>
      <bottom/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00000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hair">
        <color rgb="FFA6A6A6"/>
      </left>
      <right/>
      <top/>
      <bottom style="thin">
        <color auto="1"/>
      </bottom>
      <diagonal/>
    </border>
  </borders>
  <cellStyleXfs count="3">
    <xf numFmtId="0" fontId="0" fillId="0" borderId="0"/>
    <xf numFmtId="0" fontId="6" fillId="0" borderId="0"/>
    <xf numFmtId="9" fontId="11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/>
    <xf numFmtId="0" fontId="1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left"/>
    </xf>
    <xf numFmtId="0" fontId="1" fillId="0" borderId="0" xfId="0" applyFont="1" applyBorder="1"/>
    <xf numFmtId="0" fontId="4" fillId="0" borderId="0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2" borderId="0" xfId="0" applyFont="1" applyFill="1" applyAlignment="1">
      <alignment horizontal="left"/>
    </xf>
    <xf numFmtId="0" fontId="4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7" fillId="2" borderId="0" xfId="1" applyFont="1" applyFill="1"/>
    <xf numFmtId="164" fontId="8" fillId="0" borderId="10" xfId="1" applyNumberFormat="1" applyFont="1" applyBorder="1" applyAlignment="1">
      <alignment horizontal="left"/>
    </xf>
    <xf numFmtId="164" fontId="8" fillId="0" borderId="10" xfId="0" applyNumberFormat="1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164" fontId="8" fillId="0" borderId="12" xfId="0" applyNumberFormat="1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9" fillId="0" borderId="0" xfId="0" applyFont="1" applyAlignment="1"/>
    <xf numFmtId="0" fontId="10" fillId="2" borderId="0" xfId="1" applyFont="1" applyFill="1" applyAlignment="1">
      <alignment horizontal="left"/>
    </xf>
    <xf numFmtId="165" fontId="1" fillId="0" borderId="4" xfId="0" applyNumberFormat="1" applyFont="1" applyBorder="1"/>
    <xf numFmtId="165" fontId="1" fillId="0" borderId="5" xfId="0" applyNumberFormat="1" applyFont="1" applyBorder="1"/>
    <xf numFmtId="165" fontId="1" fillId="0" borderId="0" xfId="0" applyNumberFormat="1" applyFont="1"/>
    <xf numFmtId="0" fontId="1" fillId="0" borderId="13" xfId="0" applyFont="1" applyBorder="1"/>
    <xf numFmtId="165" fontId="1" fillId="0" borderId="14" xfId="0" applyNumberFormat="1" applyFont="1" applyBorder="1"/>
    <xf numFmtId="0" fontId="4" fillId="0" borderId="14" xfId="0" applyFont="1" applyBorder="1" applyAlignment="1">
      <alignment horizontal="left"/>
    </xf>
    <xf numFmtId="165" fontId="1" fillId="0" borderId="0" xfId="0" applyNumberFormat="1" applyFont="1" applyBorder="1"/>
    <xf numFmtId="0" fontId="4" fillId="0" borderId="13" xfId="0" applyFont="1" applyBorder="1" applyAlignment="1">
      <alignment horizontal="left"/>
    </xf>
    <xf numFmtId="165" fontId="1" fillId="0" borderId="13" xfId="0" applyNumberFormat="1" applyFont="1" applyBorder="1"/>
    <xf numFmtId="9" fontId="1" fillId="0" borderId="0" xfId="2" applyFont="1"/>
    <xf numFmtId="165" fontId="1" fillId="0" borderId="1" xfId="0" applyNumberFormat="1" applyFont="1" applyBorder="1"/>
    <xf numFmtId="165" fontId="1" fillId="0" borderId="3" xfId="0" applyNumberFormat="1" applyFont="1" applyBorder="1"/>
    <xf numFmtId="0" fontId="4" fillId="3" borderId="9" xfId="0" applyFont="1" applyFill="1" applyBorder="1" applyAlignment="1">
      <alignment horizontal="center" vertical="center" wrapText="1"/>
    </xf>
    <xf numFmtId="0" fontId="1" fillId="4" borderId="0" xfId="0" applyFont="1" applyFill="1"/>
    <xf numFmtId="165" fontId="1" fillId="4" borderId="0" xfId="0" applyNumberFormat="1" applyFont="1" applyFill="1"/>
    <xf numFmtId="0" fontId="1" fillId="0" borderId="0" xfId="0" applyFont="1" applyAlignment="1"/>
    <xf numFmtId="15" fontId="1" fillId="0" borderId="0" xfId="0" applyNumberFormat="1" applyFont="1"/>
  </cellXfs>
  <cellStyles count="3">
    <cellStyle name="Normal" xfId="0" builtinId="0"/>
    <cellStyle name="Normal 2" xfId="1" xr:uid="{6DCAF1E6-C3F6-485D-8A84-0AAD5BA0B15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 environmental transfers received by the national economy as percentage of GDP (%), 2022</a:t>
            </a:r>
          </a:p>
        </c:rich>
      </c:tx>
      <c:layout>
        <c:manualLayout>
          <c:xMode val="edge"/>
          <c:yMode val="edge"/>
          <c:x val="5.3333333333333332E-3"/>
          <c:y val="8.177451996103153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2552388814018342"/>
          <c:w val="0.97066666666666668"/>
          <c:h val="0.7719514684321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Figure1!$C$1</c:f>
              <c:strCache>
                <c:ptCount val="1"/>
                <c:pt idx="0">
                  <c:v>Environmental transfers as percentage of GDP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Figure1!$D$2:$D$22</c:f>
              <c:strCache>
                <c:ptCount val="21"/>
                <c:pt idx="0">
                  <c:v>Austria</c:v>
                </c:pt>
                <c:pt idx="1">
                  <c:v>Estonia</c:v>
                </c:pt>
                <c:pt idx="2">
                  <c:v>Latvia</c:v>
                </c:pt>
                <c:pt idx="3">
                  <c:v>Romania</c:v>
                </c:pt>
                <c:pt idx="4">
                  <c:v>Malta</c:v>
                </c:pt>
                <c:pt idx="5">
                  <c:v>Croatia</c:v>
                </c:pt>
                <c:pt idx="6">
                  <c:v>Bulgaria</c:v>
                </c:pt>
                <c:pt idx="7">
                  <c:v>Netherlands</c:v>
                </c:pt>
                <c:pt idx="8">
                  <c:v>Lithuania</c:v>
                </c:pt>
                <c:pt idx="9">
                  <c:v>Portugal</c:v>
                </c:pt>
                <c:pt idx="10">
                  <c:v>Sweden</c:v>
                </c:pt>
                <c:pt idx="11">
                  <c:v>Spain</c:v>
                </c:pt>
                <c:pt idx="12">
                  <c:v>Belgium</c:v>
                </c:pt>
                <c:pt idx="13">
                  <c:v>Ireland</c:v>
                </c:pt>
                <c:pt idx="14">
                  <c:v>Slovenia</c:v>
                </c:pt>
                <c:pt idx="15">
                  <c:v>Luxembourg</c:v>
                </c:pt>
                <c:pt idx="16">
                  <c:v>Finland</c:v>
                </c:pt>
                <c:pt idx="17">
                  <c:v>Denmark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Figure1!$C$2:$C$22</c:f>
              <c:numCache>
                <c:formatCode>0.0</c:formatCode>
                <c:ptCount val="21"/>
                <c:pt idx="0">
                  <c:v>1.3914500000000001</c:v>
                </c:pt>
                <c:pt idx="1">
                  <c:v>1.3879999999999999</c:v>
                </c:pt>
                <c:pt idx="2">
                  <c:v>1.20946</c:v>
                </c:pt>
                <c:pt idx="3">
                  <c:v>0.89611999999999992</c:v>
                </c:pt>
                <c:pt idx="4">
                  <c:v>0.84397</c:v>
                </c:pt>
                <c:pt idx="5">
                  <c:v>0.80823</c:v>
                </c:pt>
                <c:pt idx="6">
                  <c:v>0.71525000000000005</c:v>
                </c:pt>
                <c:pt idx="7">
                  <c:v>0.56523000000000001</c:v>
                </c:pt>
                <c:pt idx="8">
                  <c:v>0.53895000000000004</c:v>
                </c:pt>
                <c:pt idx="9">
                  <c:v>0.47807999999999995</c:v>
                </c:pt>
                <c:pt idx="10">
                  <c:v>0.43286000000000002</c:v>
                </c:pt>
                <c:pt idx="11">
                  <c:v>0.31838999999999995</c:v>
                </c:pt>
                <c:pt idx="12">
                  <c:v>0.29724</c:v>
                </c:pt>
                <c:pt idx="13">
                  <c:v>0.29494999999999999</c:v>
                </c:pt>
                <c:pt idx="14">
                  <c:v>0.28093000000000001</c:v>
                </c:pt>
                <c:pt idx="15">
                  <c:v>0.27627000000000002</c:v>
                </c:pt>
                <c:pt idx="16">
                  <c:v>0.22083</c:v>
                </c:pt>
                <c:pt idx="17">
                  <c:v>7.8399999999999997E-2</c:v>
                </c:pt>
                <c:pt idx="19">
                  <c:v>0.44133</c:v>
                </c:pt>
                <c:pt idx="20">
                  <c:v>0.19628000000000001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2-408A-9B3C-CDADFF627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269677039"/>
        <c:axId val="1252106431"/>
      </c:barChart>
      <c:catAx>
        <c:axId val="1269677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2106431"/>
        <c:crosses val="autoZero"/>
        <c:auto val="1"/>
        <c:lblAlgn val="ctr"/>
        <c:lblOffset val="100"/>
        <c:tickMarkSkip val="1"/>
        <c:noMultiLvlLbl val="0"/>
      </c:catAx>
      <c:valAx>
        <c:axId val="125210643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96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 environmental transfers received by the national economy as percentage of GDP (%), years 2018-2022</a:t>
            </a:r>
          </a:p>
        </c:rich>
      </c:tx>
      <c:layout>
        <c:manualLayout>
          <c:xMode val="edge"/>
          <c:yMode val="edge"/>
          <c:x val="5.3333333333333332E-3"/>
          <c:y val="8.70034487961582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3355029390210296"/>
          <c:w val="0.97066666666666668"/>
          <c:h val="0.6828162536828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Figure2!$C$1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Figure2!$B$2:$B$22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Figure2!$C$2:$C$22</c:f>
              <c:numCache>
                <c:formatCode>0.0</c:formatCode>
                <c:ptCount val="21"/>
                <c:pt idx="0">
                  <c:v>0.25744</c:v>
                </c:pt>
                <c:pt idx="1">
                  <c:v>0.92501999999999995</c:v>
                </c:pt>
                <c:pt idx="2">
                  <c:v>0.50729000000000002</c:v>
                </c:pt>
                <c:pt idx="3">
                  <c:v>0</c:v>
                </c:pt>
                <c:pt idx="4">
                  <c:v>0.35545000000000004</c:v>
                </c:pt>
                <c:pt idx="5">
                  <c:v>0.30786999999999998</c:v>
                </c:pt>
                <c:pt idx="6">
                  <c:v>0</c:v>
                </c:pt>
                <c:pt idx="7">
                  <c:v>1.6400600000000001</c:v>
                </c:pt>
                <c:pt idx="8">
                  <c:v>0.60324</c:v>
                </c:pt>
                <c:pt idx="9">
                  <c:v>0.31131999999999999</c:v>
                </c:pt>
                <c:pt idx="10">
                  <c:v>0.94650000000000001</c:v>
                </c:pt>
                <c:pt idx="11">
                  <c:v>0</c:v>
                </c:pt>
                <c:pt idx="12">
                  <c:v>0</c:v>
                </c:pt>
                <c:pt idx="13">
                  <c:v>0.31767000000000001</c:v>
                </c:pt>
                <c:pt idx="14">
                  <c:v>2.2977799999999999</c:v>
                </c:pt>
                <c:pt idx="15">
                  <c:v>0.20293</c:v>
                </c:pt>
                <c:pt idx="16">
                  <c:v>0.29632999999999998</c:v>
                </c:pt>
                <c:pt idx="17">
                  <c:v>0.29698000000000002</c:v>
                </c:pt>
                <c:pt idx="19">
                  <c:v>0.51219999999999999</c:v>
                </c:pt>
                <c:pt idx="20">
                  <c:v>0.13752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6-47C5-AE8A-28F81764489D}"/>
            </c:ext>
          </c:extLst>
        </c:ser>
        <c:ser>
          <c:idx val="1"/>
          <c:order val="1"/>
          <c:tx>
            <c:strRef>
              <c:f>Figure2!$D$1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Figure2!$B$2:$B$22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Figure2!$D$2:$D$22</c:f>
              <c:numCache>
                <c:formatCode>0.0</c:formatCode>
                <c:ptCount val="21"/>
                <c:pt idx="0">
                  <c:v>0.23765</c:v>
                </c:pt>
                <c:pt idx="1">
                  <c:v>0.73510000000000009</c:v>
                </c:pt>
                <c:pt idx="2">
                  <c:v>0.44611000000000001</c:v>
                </c:pt>
                <c:pt idx="3">
                  <c:v>0</c:v>
                </c:pt>
                <c:pt idx="4">
                  <c:v>0.29436999999999997</c:v>
                </c:pt>
                <c:pt idx="5">
                  <c:v>0.33115</c:v>
                </c:pt>
                <c:pt idx="6">
                  <c:v>0</c:v>
                </c:pt>
                <c:pt idx="7">
                  <c:v>1.7624300000000002</c:v>
                </c:pt>
                <c:pt idx="8">
                  <c:v>0.73502000000000001</c:v>
                </c:pt>
                <c:pt idx="9">
                  <c:v>0.29642999999999997</c:v>
                </c:pt>
                <c:pt idx="10">
                  <c:v>0.9487000000000001</c:v>
                </c:pt>
                <c:pt idx="11">
                  <c:v>0.58177999999999996</c:v>
                </c:pt>
                <c:pt idx="12">
                  <c:v>0.39906999999999998</c:v>
                </c:pt>
                <c:pt idx="13">
                  <c:v>0.31259999999999999</c:v>
                </c:pt>
                <c:pt idx="14">
                  <c:v>1.28386</c:v>
                </c:pt>
                <c:pt idx="15">
                  <c:v>0.22724</c:v>
                </c:pt>
                <c:pt idx="16">
                  <c:v>0.28378999999999999</c:v>
                </c:pt>
                <c:pt idx="17">
                  <c:v>0.25107999999999997</c:v>
                </c:pt>
                <c:pt idx="19">
                  <c:v>0.51251999999999998</c:v>
                </c:pt>
                <c:pt idx="20">
                  <c:v>0.17524999999999999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6-47C5-AE8A-28F81764489D}"/>
            </c:ext>
          </c:extLst>
        </c:ser>
        <c:ser>
          <c:idx val="2"/>
          <c:order val="2"/>
          <c:tx>
            <c:strRef>
              <c:f>Figure2!$E$1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Figure2!$B$2:$B$22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Figure2!$E$2:$E$22</c:f>
              <c:numCache>
                <c:formatCode>0.0</c:formatCode>
                <c:ptCount val="21"/>
                <c:pt idx="0">
                  <c:v>0.31517000000000001</c:v>
                </c:pt>
                <c:pt idx="1">
                  <c:v>0.79887000000000008</c:v>
                </c:pt>
                <c:pt idx="2">
                  <c:v>0.51171999999999995</c:v>
                </c:pt>
                <c:pt idx="3">
                  <c:v>0</c:v>
                </c:pt>
                <c:pt idx="4">
                  <c:v>0.28142</c:v>
                </c:pt>
                <c:pt idx="5">
                  <c:v>0.29268</c:v>
                </c:pt>
                <c:pt idx="6">
                  <c:v>0.99304999999999999</c:v>
                </c:pt>
                <c:pt idx="7">
                  <c:v>1.9056999999999999</c:v>
                </c:pt>
                <c:pt idx="8">
                  <c:v>0.72143999999999997</c:v>
                </c:pt>
                <c:pt idx="9">
                  <c:v>0.31544</c:v>
                </c:pt>
                <c:pt idx="10">
                  <c:v>0.9696800000000001</c:v>
                </c:pt>
                <c:pt idx="11">
                  <c:v>0.59126000000000001</c:v>
                </c:pt>
                <c:pt idx="12">
                  <c:v>0.44268999999999997</c:v>
                </c:pt>
                <c:pt idx="13">
                  <c:v>0.33167000000000002</c:v>
                </c:pt>
                <c:pt idx="14">
                  <c:v>0.83648999999999996</c:v>
                </c:pt>
                <c:pt idx="15">
                  <c:v>0.26455000000000001</c:v>
                </c:pt>
                <c:pt idx="16">
                  <c:v>0.36286000000000002</c:v>
                </c:pt>
                <c:pt idx="17">
                  <c:v>0.29212000000000005</c:v>
                </c:pt>
                <c:pt idx="19">
                  <c:v>0.57316999999999996</c:v>
                </c:pt>
                <c:pt idx="20">
                  <c:v>0.22706999999999999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06-47C5-AE8A-28F81764489D}"/>
            </c:ext>
          </c:extLst>
        </c:ser>
        <c:ser>
          <c:idx val="3"/>
          <c:order val="3"/>
          <c:tx>
            <c:strRef>
              <c:f>Figure2!$F$1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B09120">
                <a:lumMod val="60000"/>
                <a:lumOff val="4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Figure2!$B$2:$B$22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Figure2!$F$2:$F$22</c:f>
              <c:numCache>
                <c:formatCode>0.0</c:formatCode>
                <c:ptCount val="21"/>
                <c:pt idx="0">
                  <c:v>0.31859000000000004</c:v>
                </c:pt>
                <c:pt idx="1">
                  <c:v>0.71853999999999996</c:v>
                </c:pt>
                <c:pt idx="2">
                  <c:v>0.39263999999999999</c:v>
                </c:pt>
                <c:pt idx="3">
                  <c:v>0</c:v>
                </c:pt>
                <c:pt idx="4">
                  <c:v>0.31947999999999999</c:v>
                </c:pt>
                <c:pt idx="5">
                  <c:v>0.35558999999999996</c:v>
                </c:pt>
                <c:pt idx="6">
                  <c:v>0.82374000000000003</c:v>
                </c:pt>
                <c:pt idx="7">
                  <c:v>1.4113099999999998</c:v>
                </c:pt>
                <c:pt idx="8">
                  <c:v>0.58977999999999997</c:v>
                </c:pt>
                <c:pt idx="9">
                  <c:v>0.29987000000000003</c:v>
                </c:pt>
                <c:pt idx="10">
                  <c:v>0.89</c:v>
                </c:pt>
                <c:pt idx="11">
                  <c:v>0.69701000000000002</c:v>
                </c:pt>
                <c:pt idx="12">
                  <c:v>0.26949000000000001</c:v>
                </c:pt>
                <c:pt idx="13">
                  <c:v>0.49143000000000003</c:v>
                </c:pt>
                <c:pt idx="14">
                  <c:v>0.96506000000000003</c:v>
                </c:pt>
                <c:pt idx="15">
                  <c:v>0.24513000000000001</c:v>
                </c:pt>
                <c:pt idx="16">
                  <c:v>0.31129000000000001</c:v>
                </c:pt>
                <c:pt idx="17">
                  <c:v>0.36537999999999998</c:v>
                </c:pt>
                <c:pt idx="19">
                  <c:v>0.50953999999999999</c:v>
                </c:pt>
                <c:pt idx="20">
                  <c:v>0.25155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06-47C5-AE8A-28F81764489D}"/>
            </c:ext>
          </c:extLst>
        </c:ser>
        <c:ser>
          <c:idx val="4"/>
          <c:order val="4"/>
          <c:tx>
            <c:strRef>
              <c:f>Figure2!$G$1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Figure2!$B$2:$B$22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Figure2!$G$2:$G$22</c:f>
              <c:numCache>
                <c:formatCode>0.0</c:formatCode>
                <c:ptCount val="21"/>
                <c:pt idx="0">
                  <c:v>0.29724</c:v>
                </c:pt>
                <c:pt idx="1">
                  <c:v>0.71525000000000005</c:v>
                </c:pt>
                <c:pt idx="2">
                  <c:v>7.8399999999999997E-2</c:v>
                </c:pt>
                <c:pt idx="3">
                  <c:v>1.3879999999999999</c:v>
                </c:pt>
                <c:pt idx="4">
                  <c:v>0.29494999999999999</c:v>
                </c:pt>
                <c:pt idx="5">
                  <c:v>0.31838999999999995</c:v>
                </c:pt>
                <c:pt idx="6">
                  <c:v>0.80823</c:v>
                </c:pt>
                <c:pt idx="7">
                  <c:v>1.20946</c:v>
                </c:pt>
                <c:pt idx="8">
                  <c:v>0.53895000000000004</c:v>
                </c:pt>
                <c:pt idx="9">
                  <c:v>0.27627000000000002</c:v>
                </c:pt>
                <c:pt idx="10">
                  <c:v>0.84397</c:v>
                </c:pt>
                <c:pt idx="11">
                  <c:v>0.56523000000000001</c:v>
                </c:pt>
                <c:pt idx="12">
                  <c:v>1.3914500000000001</c:v>
                </c:pt>
                <c:pt idx="13">
                  <c:v>0.47807999999999995</c:v>
                </c:pt>
                <c:pt idx="14">
                  <c:v>0.89611999999999992</c:v>
                </c:pt>
                <c:pt idx="15">
                  <c:v>0.28093000000000001</c:v>
                </c:pt>
                <c:pt idx="16">
                  <c:v>0.22083</c:v>
                </c:pt>
                <c:pt idx="17">
                  <c:v>0.43286000000000002</c:v>
                </c:pt>
                <c:pt idx="19">
                  <c:v>0.44133</c:v>
                </c:pt>
                <c:pt idx="20">
                  <c:v>0.19628000000000001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06-47C5-AE8A-28F817644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248336703"/>
        <c:axId val="2112983503"/>
      </c:barChart>
      <c:catAx>
        <c:axId val="248336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2983503"/>
        <c:crosses val="autoZero"/>
        <c:auto val="1"/>
        <c:lblAlgn val="ctr"/>
        <c:lblOffset val="100"/>
        <c:tickMarkSkip val="1"/>
        <c:noMultiLvlLbl val="0"/>
      </c:catAx>
      <c:valAx>
        <c:axId val="211298350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833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2314960629922"/>
          <c:y val="0.84029249600392131"/>
          <c:w val="0.31015370078740157"/>
          <c:h val="4.1926756454910896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Distribution of environmental transfers received by the national economy from the general government and abroad (%), 2022</a:t>
            </a:r>
          </a:p>
        </c:rich>
      </c:tx>
      <c:layout>
        <c:manualLayout>
          <c:xMode val="edge"/>
          <c:yMode val="edge"/>
          <c:x val="5.3333333333333332E-3"/>
          <c:y val="8.956780185627505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3748657584938223"/>
          <c:w val="0.97066666666666668"/>
          <c:h val="0.6354703305774778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Figure3!$D$1</c:f>
              <c:strCache>
                <c:ptCount val="1"/>
                <c:pt idx="0">
                  <c:v>From abroad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Figure3!$B$2:$B$22</c:f>
              <c:strCache>
                <c:ptCount val="21"/>
                <c:pt idx="0">
                  <c:v>Austria</c:v>
                </c:pt>
                <c:pt idx="1">
                  <c:v>Netherlands</c:v>
                </c:pt>
                <c:pt idx="2">
                  <c:v>Croatia</c:v>
                </c:pt>
                <c:pt idx="3">
                  <c:v>Luxembourg</c:v>
                </c:pt>
                <c:pt idx="4">
                  <c:v>Belgium</c:v>
                </c:pt>
                <c:pt idx="5">
                  <c:v>Spain</c:v>
                </c:pt>
                <c:pt idx="6">
                  <c:v>Malta</c:v>
                </c:pt>
                <c:pt idx="7">
                  <c:v>Ireland</c:v>
                </c:pt>
                <c:pt idx="8">
                  <c:v>Sweden</c:v>
                </c:pt>
                <c:pt idx="9">
                  <c:v>Denmark (¹)</c:v>
                </c:pt>
                <c:pt idx="10">
                  <c:v>Finland</c:v>
                </c:pt>
                <c:pt idx="11">
                  <c:v>Portugal</c:v>
                </c:pt>
                <c:pt idx="12">
                  <c:v>Latvia</c:v>
                </c:pt>
                <c:pt idx="13">
                  <c:v>Slovenia</c:v>
                </c:pt>
                <c:pt idx="14">
                  <c:v>Lithuania</c:v>
                </c:pt>
                <c:pt idx="15">
                  <c:v>Bulgaria</c:v>
                </c:pt>
                <c:pt idx="16">
                  <c:v>Estonia</c:v>
                </c:pt>
                <c:pt idx="17">
                  <c:v>Romania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Figure3!$D$2:$D$22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2.81E-3</c:v>
                </c:pt>
                <c:pt idx="3">
                  <c:v>1.9499999999999999E-3</c:v>
                </c:pt>
                <c:pt idx="4">
                  <c:v>3.8999999999999998E-3</c:v>
                </c:pt>
                <c:pt idx="5">
                  <c:v>8.5199999999999998E-3</c:v>
                </c:pt>
                <c:pt idx="6">
                  <c:v>6.2700000000000006E-2</c:v>
                </c:pt>
                <c:pt idx="7">
                  <c:v>2.5870000000000001E-2</c:v>
                </c:pt>
                <c:pt idx="8">
                  <c:v>5.4870000000000002E-2</c:v>
                </c:pt>
                <c:pt idx="9">
                  <c:v>9.5259999999999997E-2</c:v>
                </c:pt>
                <c:pt idx="10">
                  <c:v>6.8080000000000002E-2</c:v>
                </c:pt>
                <c:pt idx="11">
                  <c:v>0.19397</c:v>
                </c:pt>
                <c:pt idx="12">
                  <c:v>0.55152999999999996</c:v>
                </c:pt>
                <c:pt idx="13">
                  <c:v>0.12887000000000001</c:v>
                </c:pt>
                <c:pt idx="14">
                  <c:v>0.31789000000000001</c:v>
                </c:pt>
                <c:pt idx="15">
                  <c:v>0.51160000000000005</c:v>
                </c:pt>
                <c:pt idx="16">
                  <c:v>1.01163</c:v>
                </c:pt>
                <c:pt idx="17">
                  <c:v>0.68606999999999996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C-4300-B6C2-2BD594D68816}"/>
            </c:ext>
          </c:extLst>
        </c:ser>
        <c:ser>
          <c:idx val="1"/>
          <c:order val="1"/>
          <c:tx>
            <c:strRef>
              <c:f>Figure3!$E$1</c:f>
              <c:strCache>
                <c:ptCount val="1"/>
                <c:pt idx="0">
                  <c:v>From general government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Figure3!$B$2:$B$22</c:f>
              <c:strCache>
                <c:ptCount val="21"/>
                <c:pt idx="0">
                  <c:v>Austria</c:v>
                </c:pt>
                <c:pt idx="1">
                  <c:v>Netherlands</c:v>
                </c:pt>
                <c:pt idx="2">
                  <c:v>Croatia</c:v>
                </c:pt>
                <c:pt idx="3">
                  <c:v>Luxembourg</c:v>
                </c:pt>
                <c:pt idx="4">
                  <c:v>Belgium</c:v>
                </c:pt>
                <c:pt idx="5">
                  <c:v>Spain</c:v>
                </c:pt>
                <c:pt idx="6">
                  <c:v>Malta</c:v>
                </c:pt>
                <c:pt idx="7">
                  <c:v>Ireland</c:v>
                </c:pt>
                <c:pt idx="8">
                  <c:v>Sweden</c:v>
                </c:pt>
                <c:pt idx="9">
                  <c:v>Denmark (¹)</c:v>
                </c:pt>
                <c:pt idx="10">
                  <c:v>Finland</c:v>
                </c:pt>
                <c:pt idx="11">
                  <c:v>Portugal</c:v>
                </c:pt>
                <c:pt idx="12">
                  <c:v>Latvia</c:v>
                </c:pt>
                <c:pt idx="13">
                  <c:v>Slovenia</c:v>
                </c:pt>
                <c:pt idx="14">
                  <c:v>Lithuania</c:v>
                </c:pt>
                <c:pt idx="15">
                  <c:v>Bulgaria</c:v>
                </c:pt>
                <c:pt idx="16">
                  <c:v>Estonia</c:v>
                </c:pt>
                <c:pt idx="17">
                  <c:v>Romania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Figure3!$E$2:$E$22</c:f>
              <c:numCache>
                <c:formatCode>0.0</c:formatCode>
                <c:ptCount val="21"/>
                <c:pt idx="0">
                  <c:v>1.3914500000000001</c:v>
                </c:pt>
                <c:pt idx="1">
                  <c:v>0.56523000000000001</c:v>
                </c:pt>
                <c:pt idx="2">
                  <c:v>0.80542000000000002</c:v>
                </c:pt>
                <c:pt idx="3">
                  <c:v>0.27432000000000001</c:v>
                </c:pt>
                <c:pt idx="4">
                  <c:v>0.29333999999999999</c:v>
                </c:pt>
                <c:pt idx="5">
                  <c:v>0.30986999999999998</c:v>
                </c:pt>
                <c:pt idx="6">
                  <c:v>0.78127000000000002</c:v>
                </c:pt>
                <c:pt idx="7">
                  <c:v>0.26907999999999999</c:v>
                </c:pt>
                <c:pt idx="8">
                  <c:v>0.37798999999999999</c:v>
                </c:pt>
                <c:pt idx="9">
                  <c:v>0.29737999999999998</c:v>
                </c:pt>
                <c:pt idx="10">
                  <c:v>0.15275</c:v>
                </c:pt>
                <c:pt idx="11">
                  <c:v>0.28410999999999997</c:v>
                </c:pt>
                <c:pt idx="12">
                  <c:v>0.65793000000000001</c:v>
                </c:pt>
                <c:pt idx="13">
                  <c:v>0.15206</c:v>
                </c:pt>
                <c:pt idx="14">
                  <c:v>0.22106000000000001</c:v>
                </c:pt>
                <c:pt idx="15">
                  <c:v>0.20365</c:v>
                </c:pt>
                <c:pt idx="16">
                  <c:v>0.37636999999999998</c:v>
                </c:pt>
                <c:pt idx="17">
                  <c:v>0.21004999999999999</c:v>
                </c:pt>
                <c:pt idx="19">
                  <c:v>0.44133</c:v>
                </c:pt>
                <c:pt idx="20">
                  <c:v>0.19628000000000001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C-4300-B6C2-2BD594D68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03145055"/>
        <c:axId val="2112990703"/>
      </c:barChart>
      <c:catAx>
        <c:axId val="303145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2990703"/>
        <c:crosses val="autoZero"/>
        <c:auto val="1"/>
        <c:lblAlgn val="ctr"/>
        <c:lblOffset val="100"/>
        <c:tickMarkSkip val="1"/>
        <c:noMultiLvlLbl val="0"/>
      </c:catAx>
      <c:valAx>
        <c:axId val="211299070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31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35811023622047"/>
          <c:y val="0.79758805193733573"/>
          <c:w val="0.39283779527559054"/>
          <c:h val="4.3162512137054257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Environmental transfers paid to  each institutional sector by the general government (as percentage out of total), 2022</a:t>
            </a:r>
          </a:p>
        </c:rich>
      </c:tx>
      <c:layout>
        <c:manualLayout>
          <c:xMode val="edge"/>
          <c:yMode val="edge"/>
          <c:x val="5.3333333333333332E-3"/>
          <c:y val="8.957773619427225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4666666666666666E-2"/>
          <c:y val="0.1375018250582079"/>
          <c:w val="0.97066666666666668"/>
          <c:h val="0.55245446523854835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Figure4!$C$5</c:f>
              <c:strCache>
                <c:ptCount val="1"/>
                <c:pt idx="0">
                  <c:v>Corporations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Figure4!$D$3:$X$3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 (¹)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Figure4!$D$5:$X$5</c:f>
              <c:numCache>
                <c:formatCode>General</c:formatCode>
                <c:ptCount val="21"/>
                <c:pt idx="0">
                  <c:v>624.46602199999995</c:v>
                </c:pt>
                <c:pt idx="1">
                  <c:v>123.90021679</c:v>
                </c:pt>
                <c:pt idx="2">
                  <c:v>752.48973645000001</c:v>
                </c:pt>
                <c:pt idx="3">
                  <c:v>105.706593</c:v>
                </c:pt>
                <c:pt idx="4">
                  <c:v>523.73800000000006</c:v>
                </c:pt>
                <c:pt idx="5">
                  <c:v>4171.442</c:v>
                </c:pt>
                <c:pt idx="6">
                  <c:v>460.73803980999998</c:v>
                </c:pt>
                <c:pt idx="7">
                  <c:v>195.962977</c:v>
                </c:pt>
                <c:pt idx="8">
                  <c:v>62.052413999999999</c:v>
                </c:pt>
                <c:pt idx="9">
                  <c:v>67.540000000000006</c:v>
                </c:pt>
                <c:pt idx="10">
                  <c:v>34.390210000000003</c:v>
                </c:pt>
                <c:pt idx="11">
                  <c:v>1671.2285589999999</c:v>
                </c:pt>
                <c:pt idx="12">
                  <c:v>317.69640900000002</c:v>
                </c:pt>
                <c:pt idx="13">
                  <c:v>536.45000000000005</c:v>
                </c:pt>
                <c:pt idx="14">
                  <c:v>238.68912498</c:v>
                </c:pt>
                <c:pt idx="15">
                  <c:v>22.708454</c:v>
                </c:pt>
                <c:pt idx="16">
                  <c:v>97.31</c:v>
                </c:pt>
                <c:pt idx="17">
                  <c:v>904.97484741000005</c:v>
                </c:pt>
                <c:pt idx="19">
                  <c:v>1803.45319498</c:v>
                </c:pt>
                <c:pt idx="20">
                  <c:v>920.00079187999995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7-46FB-BBF3-BF6F2E20FE2C}"/>
            </c:ext>
          </c:extLst>
        </c:ser>
        <c:ser>
          <c:idx val="2"/>
          <c:order val="1"/>
          <c:tx>
            <c:strRef>
              <c:f>Figure4!$C$6</c:f>
              <c:strCache>
                <c:ptCount val="1"/>
                <c:pt idx="0">
                  <c:v>General government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Figure4!$D$3:$X$3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 (¹)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Figure4!$D$6:$X$6</c:f>
              <c:numCache>
                <c:formatCode>General</c:formatCode>
                <c:ptCount val="21"/>
                <c:pt idx="0">
                  <c:v>773.67874500000005</c:v>
                </c:pt>
                <c:pt idx="1">
                  <c:v>42.05749565</c:v>
                </c:pt>
                <c:pt idx="2">
                  <c:v>0</c:v>
                </c:pt>
                <c:pt idx="3">
                  <c:v>24.220048999999999</c:v>
                </c:pt>
                <c:pt idx="4">
                  <c:v>612.51599999999996</c:v>
                </c:pt>
                <c:pt idx="5">
                  <c:v>0</c:v>
                </c:pt>
                <c:pt idx="6">
                  <c:v>43.187706730000002</c:v>
                </c:pt>
                <c:pt idx="7">
                  <c:v>8.6938209999999998</c:v>
                </c:pt>
                <c:pt idx="8">
                  <c:v>12.985757</c:v>
                </c:pt>
                <c:pt idx="9">
                  <c:v>91.76</c:v>
                </c:pt>
                <c:pt idx="10">
                  <c:v>84.733887999999993</c:v>
                </c:pt>
                <c:pt idx="11">
                  <c:v>3688.845847</c:v>
                </c:pt>
                <c:pt idx="12">
                  <c:v>921.87392</c:v>
                </c:pt>
                <c:pt idx="13">
                  <c:v>0.11</c:v>
                </c:pt>
                <c:pt idx="14">
                  <c:v>151.81646341000001</c:v>
                </c:pt>
                <c:pt idx="15">
                  <c:v>0</c:v>
                </c:pt>
                <c:pt idx="16">
                  <c:v>44.12</c:v>
                </c:pt>
                <c:pt idx="17">
                  <c:v>389.01077068000001</c:v>
                </c:pt>
                <c:pt idx="19">
                  <c:v>1360.9754782499999</c:v>
                </c:pt>
                <c:pt idx="20">
                  <c:v>59.370855030000001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7-46FB-BBF3-BF6F2E20FE2C}"/>
            </c:ext>
          </c:extLst>
        </c:ser>
        <c:ser>
          <c:idx val="3"/>
          <c:order val="2"/>
          <c:tx>
            <c:strRef>
              <c:f>Figure4!$C$7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Figure4!$D$3:$X$3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 (¹)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Figure4!$D$7:$X$7</c:f>
              <c:numCache>
                <c:formatCode>General</c:formatCode>
                <c:ptCount val="21"/>
                <c:pt idx="0">
                  <c:v>163.710239</c:v>
                </c:pt>
                <c:pt idx="1">
                  <c:v>8.3714086299999995</c:v>
                </c:pt>
                <c:pt idx="2">
                  <c:v>261.67494271999999</c:v>
                </c:pt>
                <c:pt idx="3">
                  <c:v>4.1390459999999996</c:v>
                </c:pt>
                <c:pt idx="4">
                  <c:v>254.88499999999999</c:v>
                </c:pt>
                <c:pt idx="5">
                  <c:v>72.099999999999994</c:v>
                </c:pt>
                <c:pt idx="6">
                  <c:v>38.467957349999999</c:v>
                </c:pt>
                <c:pt idx="7">
                  <c:v>32.852831000000002</c:v>
                </c:pt>
                <c:pt idx="8">
                  <c:v>74.080274000000003</c:v>
                </c:pt>
                <c:pt idx="9">
                  <c:v>45.19</c:v>
                </c:pt>
                <c:pt idx="10">
                  <c:v>22.851379000000001</c:v>
                </c:pt>
                <c:pt idx="11">
                  <c:v>86.5</c:v>
                </c:pt>
                <c:pt idx="12">
                  <c:v>4220.1121199999998</c:v>
                </c:pt>
                <c:pt idx="13">
                  <c:v>149.46</c:v>
                </c:pt>
                <c:pt idx="14">
                  <c:v>197.56931599999999</c:v>
                </c:pt>
                <c:pt idx="15">
                  <c:v>62.580973999999998</c:v>
                </c:pt>
                <c:pt idx="16">
                  <c:v>228.51</c:v>
                </c:pt>
                <c:pt idx="17">
                  <c:v>662.05776707999996</c:v>
                </c:pt>
                <c:pt idx="19">
                  <c:v>184.91162835</c:v>
                </c:pt>
                <c:pt idx="20">
                  <c:v>56.999188330000003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7-46FB-BBF3-BF6F2E20FE2C}"/>
            </c:ext>
          </c:extLst>
        </c:ser>
        <c:ser>
          <c:idx val="4"/>
          <c:order val="3"/>
          <c:tx>
            <c:strRef>
              <c:f>Figure4!$C$8</c:f>
              <c:strCache>
                <c:ptCount val="1"/>
                <c:pt idx="0">
                  <c:v>Non-profit institutions serving households</c:v>
                </c:pt>
              </c:strCache>
            </c:strRef>
          </c:tx>
          <c:spPr>
            <a:solidFill>
              <a:srgbClr val="B09120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Figure4!$D$3:$X$3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 (¹)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Figure4!$D$8:$X$8</c:f>
              <c:numCache>
                <c:formatCode>General</c:formatCode>
                <c:ptCount val="21"/>
                <c:pt idx="0">
                  <c:v>91.228796000000003</c:v>
                </c:pt>
                <c:pt idx="1">
                  <c:v>0.98095562000000003</c:v>
                </c:pt>
                <c:pt idx="2">
                  <c:v>12.511182870000001</c:v>
                </c:pt>
                <c:pt idx="3">
                  <c:v>3.0924420000000001</c:v>
                </c:pt>
                <c:pt idx="4">
                  <c:v>10.593</c:v>
                </c:pt>
                <c:pt idx="5">
                  <c:v>12.9</c:v>
                </c:pt>
                <c:pt idx="6">
                  <c:v>2.1598853099999999</c:v>
                </c:pt>
                <c:pt idx="7">
                  <c:v>0</c:v>
                </c:pt>
                <c:pt idx="8">
                  <c:v>0</c:v>
                </c:pt>
                <c:pt idx="9">
                  <c:v>8.19</c:v>
                </c:pt>
                <c:pt idx="10">
                  <c:v>0.762405</c:v>
                </c:pt>
                <c:pt idx="11">
                  <c:v>170.79</c:v>
                </c:pt>
                <c:pt idx="12">
                  <c:v>774.13511100000005</c:v>
                </c:pt>
                <c:pt idx="13">
                  <c:v>7.08</c:v>
                </c:pt>
                <c:pt idx="14">
                  <c:v>3.7725297599999998</c:v>
                </c:pt>
                <c:pt idx="15">
                  <c:v>1.2466619999999999</c:v>
                </c:pt>
                <c:pt idx="16">
                  <c:v>36.57</c:v>
                </c:pt>
                <c:pt idx="17">
                  <c:v>129.62809644999999</c:v>
                </c:pt>
                <c:pt idx="19">
                  <c:v>125.60403802</c:v>
                </c:pt>
                <c:pt idx="20">
                  <c:v>77.455308529999996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A7-46FB-BBF3-BF6F2E20FE2C}"/>
            </c:ext>
          </c:extLst>
        </c:ser>
        <c:ser>
          <c:idx val="5"/>
          <c:order val="4"/>
          <c:tx>
            <c:strRef>
              <c:f>Figure4!$C$9</c:f>
              <c:strCache>
                <c:ptCount val="1"/>
                <c:pt idx="0">
                  <c:v>Sent to other countries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Figure4!$D$3:$X$3</c:f>
              <c:strCache>
                <c:ptCount val="21"/>
                <c:pt idx="0">
                  <c:v>Belgium</c:v>
                </c:pt>
                <c:pt idx="1">
                  <c:v>Bulgaria</c:v>
                </c:pt>
                <c:pt idx="2">
                  <c:v>Denmark (¹)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</c:strCache>
            </c:strRef>
          </c:cat>
          <c:val>
            <c:numRef>
              <c:f>Figure4!$D$9:$X$9</c:f>
              <c:numCache>
                <c:formatCode>General</c:formatCode>
                <c:ptCount val="21"/>
                <c:pt idx="0">
                  <c:v>306.87329299999999</c:v>
                </c:pt>
                <c:pt idx="1">
                  <c:v>0</c:v>
                </c:pt>
                <c:pt idx="2">
                  <c:v>181.71650101</c:v>
                </c:pt>
                <c:pt idx="3">
                  <c:v>0</c:v>
                </c:pt>
                <c:pt idx="4">
                  <c:v>9.4390000000000001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26.31</c:v>
                </c:pt>
                <c:pt idx="10">
                  <c:v>7.8775999999999999E-2</c:v>
                </c:pt>
                <c:pt idx="11">
                  <c:v>510.39</c:v>
                </c:pt>
                <c:pt idx="12">
                  <c:v>51.869878999999997</c:v>
                </c:pt>
                <c:pt idx="13">
                  <c:v>5.26</c:v>
                </c:pt>
                <c:pt idx="14">
                  <c:v>0</c:v>
                </c:pt>
                <c:pt idx="15">
                  <c:v>0</c:v>
                </c:pt>
                <c:pt idx="16">
                  <c:v>69.36</c:v>
                </c:pt>
                <c:pt idx="17">
                  <c:v>292.08545815000002</c:v>
                </c:pt>
                <c:pt idx="19">
                  <c:v>78.883134269999999</c:v>
                </c:pt>
                <c:pt idx="20">
                  <c:v>721.23017836999998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A7-46FB-BBF3-BF6F2E20F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031932239"/>
        <c:axId val="2112995983"/>
      </c:barChart>
      <c:catAx>
        <c:axId val="2031932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2995983"/>
        <c:crosses val="autoZero"/>
        <c:auto val="1"/>
        <c:lblAlgn val="ctr"/>
        <c:lblOffset val="100"/>
        <c:tickMarkSkip val="1"/>
        <c:noMultiLvlLbl val="0"/>
      </c:catAx>
      <c:valAx>
        <c:axId val="211299598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193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034666666666667"/>
          <c:y val="0.71459016775018114"/>
          <c:w val="0.67930666666666661"/>
          <c:h val="0.12614273330591924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Environmental transfers received by corporations broken down by economic activities (%), 2022</a:t>
            </a:r>
          </a:p>
        </c:rich>
      </c:tx>
      <c:layout>
        <c:manualLayout>
          <c:xMode val="edge"/>
          <c:yMode val="edge"/>
          <c:x val="5.3333333333333332E-3"/>
          <c:y val="8.992390278234821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86888271913982E-2"/>
          <c:y val="0.15303319646870589"/>
          <c:w val="0.91604650574747526"/>
          <c:h val="0.3016490164788910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Figure5!$C$4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Figure5!$D$4:$Y$4</c:f>
              <c:numCache>
                <c:formatCode>0.0</c:formatCode>
                <c:ptCount val="22"/>
                <c:pt idx="0">
                  <c:v>0</c:v>
                </c:pt>
                <c:pt idx="1">
                  <c:v>9.6677180699999994</c:v>
                </c:pt>
                <c:pt idx="2">
                  <c:v>60.430288730000001</c:v>
                </c:pt>
                <c:pt idx="3">
                  <c:v>184.27600000000001</c:v>
                </c:pt>
                <c:pt idx="4">
                  <c:v>11.686112</c:v>
                </c:pt>
                <c:pt idx="5">
                  <c:v>0</c:v>
                </c:pt>
                <c:pt idx="6">
                  <c:v>20.738260799999999</c:v>
                </c:pt>
                <c:pt idx="7">
                  <c:v>139.71378799999999</c:v>
                </c:pt>
                <c:pt idx="8">
                  <c:v>8.5010659999999998</c:v>
                </c:pt>
                <c:pt idx="9">
                  <c:v>0.21</c:v>
                </c:pt>
                <c:pt idx="10">
                  <c:v>0.13412499999999999</c:v>
                </c:pt>
                <c:pt idx="12">
                  <c:v>4.3777359999999996</c:v>
                </c:pt>
                <c:pt idx="13">
                  <c:v>30.58</c:v>
                </c:pt>
                <c:pt idx="14">
                  <c:v>30.66796484</c:v>
                </c:pt>
                <c:pt idx="15">
                  <c:v>3.0490000000000001E-3</c:v>
                </c:pt>
                <c:pt idx="16">
                  <c:v>31.8</c:v>
                </c:pt>
                <c:pt idx="17">
                  <c:v>402.71549850999997</c:v>
                </c:pt>
                <c:pt idx="20">
                  <c:v>113.9904579</c:v>
                </c:pt>
                <c:pt idx="21">
                  <c:v>1049.4920648499999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5-4FF3-B1E4-BC6946BD7C70}"/>
            </c:ext>
          </c:extLst>
        </c:ser>
        <c:ser>
          <c:idx val="1"/>
          <c:order val="1"/>
          <c:tx>
            <c:strRef>
              <c:f>Figure5!$C$5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Figure5!$D$5:$Y$5</c:f>
              <c:numCache>
                <c:formatCode>0.0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1.7607192599999999</c:v>
                </c:pt>
                <c:pt idx="3">
                  <c:v>12.708</c:v>
                </c:pt>
                <c:pt idx="4">
                  <c:v>5.4159999999999998E-3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2.5193188399999999</c:v>
                </c:pt>
                <c:pt idx="15">
                  <c:v>0</c:v>
                </c:pt>
                <c:pt idx="16">
                  <c:v>0.13</c:v>
                </c:pt>
                <c:pt idx="17">
                  <c:v>0</c:v>
                </c:pt>
                <c:pt idx="20">
                  <c:v>4.8205412499999998</c:v>
                </c:pt>
                <c:pt idx="21">
                  <c:v>21.943995350000002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5-4FF3-B1E4-BC6946BD7C70}"/>
            </c:ext>
          </c:extLst>
        </c:ser>
        <c:ser>
          <c:idx val="2"/>
          <c:order val="2"/>
          <c:tx>
            <c:strRef>
              <c:f>Figure5!$C$6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Figure5!$D$6:$Y$6</c:f>
              <c:numCache>
                <c:formatCode>0.0</c:formatCode>
                <c:ptCount val="22"/>
                <c:pt idx="0">
                  <c:v>0</c:v>
                </c:pt>
                <c:pt idx="1">
                  <c:v>22.825535330000001</c:v>
                </c:pt>
                <c:pt idx="2">
                  <c:v>150.60019396000001</c:v>
                </c:pt>
                <c:pt idx="3">
                  <c:v>5.6429999999999998</c:v>
                </c:pt>
                <c:pt idx="4">
                  <c:v>2.8714339999999998</c:v>
                </c:pt>
                <c:pt idx="5">
                  <c:v>0</c:v>
                </c:pt>
                <c:pt idx="6">
                  <c:v>11.209651770000001</c:v>
                </c:pt>
                <c:pt idx="7">
                  <c:v>4.7311719999999999</c:v>
                </c:pt>
                <c:pt idx="8">
                  <c:v>4.675573</c:v>
                </c:pt>
                <c:pt idx="9">
                  <c:v>13.92</c:v>
                </c:pt>
                <c:pt idx="10">
                  <c:v>0.50226000000000004</c:v>
                </c:pt>
                <c:pt idx="12">
                  <c:v>4.4540999999999997E-2</c:v>
                </c:pt>
                <c:pt idx="13">
                  <c:v>1.2</c:v>
                </c:pt>
                <c:pt idx="14">
                  <c:v>18.208512160000002</c:v>
                </c:pt>
                <c:pt idx="15">
                  <c:v>0.54935199999999995</c:v>
                </c:pt>
                <c:pt idx="16">
                  <c:v>8.6</c:v>
                </c:pt>
                <c:pt idx="17">
                  <c:v>0</c:v>
                </c:pt>
                <c:pt idx="20">
                  <c:v>65.695959459999997</c:v>
                </c:pt>
                <c:pt idx="21">
                  <c:v>311.27718467999995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5-4FF3-B1E4-BC6946BD7C70}"/>
            </c:ext>
          </c:extLst>
        </c:ser>
        <c:ser>
          <c:idx val="3"/>
          <c:order val="3"/>
          <c:tx>
            <c:strRef>
              <c:f>Figure5!$C$7</c:f>
              <c:strCache>
                <c:ptCount val="1"/>
                <c:pt idx="0">
                  <c:v>Electricity, gas, steam and air conditioning supply</c:v>
                </c:pt>
              </c:strCache>
            </c:strRef>
          </c:tx>
          <c:spPr>
            <a:solidFill>
              <a:srgbClr val="B09120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Figure5!$D$7:$Y$7</c:f>
              <c:numCache>
                <c:formatCode>0.0</c:formatCode>
                <c:ptCount val="22"/>
                <c:pt idx="0">
                  <c:v>0</c:v>
                </c:pt>
                <c:pt idx="1">
                  <c:v>1.1211268999999999</c:v>
                </c:pt>
                <c:pt idx="2">
                  <c:v>13.98751169</c:v>
                </c:pt>
                <c:pt idx="3">
                  <c:v>288.36900000000003</c:v>
                </c:pt>
                <c:pt idx="4">
                  <c:v>76.085510999999997</c:v>
                </c:pt>
                <c:pt idx="5">
                  <c:v>3859.442</c:v>
                </c:pt>
                <c:pt idx="6">
                  <c:v>174.47706527</c:v>
                </c:pt>
                <c:pt idx="7">
                  <c:v>4.0811000000000002</c:v>
                </c:pt>
                <c:pt idx="8">
                  <c:v>7.8637389999999998</c:v>
                </c:pt>
                <c:pt idx="9">
                  <c:v>7.14</c:v>
                </c:pt>
                <c:pt idx="10">
                  <c:v>26.979075999999999</c:v>
                </c:pt>
                <c:pt idx="12">
                  <c:v>1.2708600000000001</c:v>
                </c:pt>
                <c:pt idx="13">
                  <c:v>397.61</c:v>
                </c:pt>
                <c:pt idx="14">
                  <c:v>2.71897755</c:v>
                </c:pt>
                <c:pt idx="15">
                  <c:v>2.6825000000000002E-2</c:v>
                </c:pt>
                <c:pt idx="16">
                  <c:v>14.71</c:v>
                </c:pt>
                <c:pt idx="17">
                  <c:v>127.81277028</c:v>
                </c:pt>
                <c:pt idx="20">
                  <c:v>13.659849940000001</c:v>
                </c:pt>
                <c:pt idx="21">
                  <c:v>5017.3554126299996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5-4FF3-B1E4-BC6946BD7C70}"/>
            </c:ext>
          </c:extLst>
        </c:ser>
        <c:ser>
          <c:idx val="4"/>
          <c:order val="4"/>
          <c:tx>
            <c:strRef>
              <c:f>Figure5!$C$8</c:f>
              <c:strCache>
                <c:ptCount val="1"/>
                <c:pt idx="0">
                  <c:v>Water supply; sewerage, waste management and remediation activities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Figure5!$D$8:$Y$8</c:f>
              <c:numCache>
                <c:formatCode>0.0</c:formatCode>
                <c:ptCount val="22"/>
                <c:pt idx="0">
                  <c:v>0</c:v>
                </c:pt>
                <c:pt idx="1">
                  <c:v>86.287751819999997</c:v>
                </c:pt>
                <c:pt idx="2">
                  <c:v>34.295958249999998</c:v>
                </c:pt>
                <c:pt idx="3">
                  <c:v>0</c:v>
                </c:pt>
                <c:pt idx="4">
                  <c:v>13.327370999999999</c:v>
                </c:pt>
                <c:pt idx="5">
                  <c:v>214</c:v>
                </c:pt>
                <c:pt idx="6">
                  <c:v>214.75340659</c:v>
                </c:pt>
                <c:pt idx="7">
                  <c:v>16.49793</c:v>
                </c:pt>
                <c:pt idx="8">
                  <c:v>11.736751</c:v>
                </c:pt>
                <c:pt idx="9">
                  <c:v>10.57</c:v>
                </c:pt>
                <c:pt idx="10">
                  <c:v>4.9588279999999996</c:v>
                </c:pt>
                <c:pt idx="12">
                  <c:v>22.860240000000001</c:v>
                </c:pt>
                <c:pt idx="13">
                  <c:v>80.12</c:v>
                </c:pt>
                <c:pt idx="14">
                  <c:v>66.59148399</c:v>
                </c:pt>
                <c:pt idx="15">
                  <c:v>19.490492</c:v>
                </c:pt>
                <c:pt idx="16">
                  <c:v>5.23</c:v>
                </c:pt>
                <c:pt idx="17">
                  <c:v>3.5655149999999997E-2</c:v>
                </c:pt>
                <c:pt idx="20">
                  <c:v>398.40239145999999</c:v>
                </c:pt>
                <c:pt idx="21">
                  <c:v>1199.1582592600002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5-4FF3-B1E4-BC6946BD7C70}"/>
            </c:ext>
          </c:extLst>
        </c:ser>
        <c:ser>
          <c:idx val="5"/>
          <c:order val="5"/>
          <c:tx>
            <c:strRef>
              <c:f>Figure5!$C$9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rgbClr val="E04040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Figure5!$D$9:$Y$9</c:f>
              <c:numCache>
                <c:formatCode>0.0</c:formatCode>
                <c:ptCount val="22"/>
                <c:pt idx="0">
                  <c:v>0</c:v>
                </c:pt>
                <c:pt idx="1">
                  <c:v>1.01270989</c:v>
                </c:pt>
                <c:pt idx="2">
                  <c:v>7.1107035300000003</c:v>
                </c:pt>
                <c:pt idx="3">
                  <c:v>0</c:v>
                </c:pt>
                <c:pt idx="4">
                  <c:v>0.16917599999999999</c:v>
                </c:pt>
                <c:pt idx="5">
                  <c:v>0</c:v>
                </c:pt>
                <c:pt idx="6">
                  <c:v>0.81864053000000003</c:v>
                </c:pt>
                <c:pt idx="7">
                  <c:v>0</c:v>
                </c:pt>
                <c:pt idx="8">
                  <c:v>0.52231399999999994</c:v>
                </c:pt>
                <c:pt idx="9">
                  <c:v>0.86</c:v>
                </c:pt>
                <c:pt idx="10">
                  <c:v>0</c:v>
                </c:pt>
                <c:pt idx="13">
                  <c:v>0.47</c:v>
                </c:pt>
                <c:pt idx="14">
                  <c:v>27.786793339999999</c:v>
                </c:pt>
                <c:pt idx="15">
                  <c:v>1.2201979999999999</c:v>
                </c:pt>
                <c:pt idx="16">
                  <c:v>0.5</c:v>
                </c:pt>
                <c:pt idx="17">
                  <c:v>0</c:v>
                </c:pt>
                <c:pt idx="20">
                  <c:v>22.58824461</c:v>
                </c:pt>
                <c:pt idx="21">
                  <c:v>63.058779900000005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45-4FF3-B1E4-BC6946BD7C70}"/>
            </c:ext>
          </c:extLst>
        </c:ser>
        <c:ser>
          <c:idx val="6"/>
          <c:order val="6"/>
          <c:tx>
            <c:strRef>
              <c:f>Figure5!$C$10</c:f>
              <c:strCache>
                <c:ptCount val="1"/>
                <c:pt idx="0">
                  <c:v>Wholesale and retail trade; repair of motor vehicles and motorcycles</c:v>
                </c:pt>
              </c:strCache>
            </c:strRef>
          </c:tx>
          <c:spPr>
            <a:solidFill>
              <a:srgbClr val="208486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Figure5!$D$10:$Y$10</c:f>
              <c:numCache>
                <c:formatCode>0.0</c:formatCode>
                <c:ptCount val="22"/>
                <c:pt idx="0">
                  <c:v>0</c:v>
                </c:pt>
                <c:pt idx="1">
                  <c:v>1.80828254</c:v>
                </c:pt>
                <c:pt idx="2">
                  <c:v>56.934796759999998</c:v>
                </c:pt>
                <c:pt idx="3">
                  <c:v>0.40200000000000002</c:v>
                </c:pt>
                <c:pt idx="4">
                  <c:v>0.36934299999999998</c:v>
                </c:pt>
                <c:pt idx="5">
                  <c:v>0</c:v>
                </c:pt>
                <c:pt idx="6">
                  <c:v>1.08962314</c:v>
                </c:pt>
                <c:pt idx="7">
                  <c:v>0</c:v>
                </c:pt>
                <c:pt idx="8">
                  <c:v>3.876233</c:v>
                </c:pt>
                <c:pt idx="9">
                  <c:v>0.01</c:v>
                </c:pt>
                <c:pt idx="10">
                  <c:v>0.93390799999999996</c:v>
                </c:pt>
                <c:pt idx="12">
                  <c:v>6.4024999999999999E-2</c:v>
                </c:pt>
                <c:pt idx="13">
                  <c:v>0.28999999999999998</c:v>
                </c:pt>
                <c:pt idx="14">
                  <c:v>29.533523410000001</c:v>
                </c:pt>
                <c:pt idx="15">
                  <c:v>0.34090399999999998</c:v>
                </c:pt>
                <c:pt idx="16">
                  <c:v>3.86</c:v>
                </c:pt>
                <c:pt idx="17">
                  <c:v>0</c:v>
                </c:pt>
                <c:pt idx="20">
                  <c:v>9.5025043100000008</c:v>
                </c:pt>
                <c:pt idx="21">
                  <c:v>109.01514316000002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5-4FF3-B1E4-BC6946BD7C70}"/>
            </c:ext>
          </c:extLst>
        </c:ser>
        <c:ser>
          <c:idx val="7"/>
          <c:order val="7"/>
          <c:tx>
            <c:strRef>
              <c:f>Figure5!$C$11</c:f>
              <c:strCache>
                <c:ptCount val="1"/>
                <c:pt idx="0">
                  <c:v>Transportation and storage</c:v>
                </c:pt>
              </c:strCache>
            </c:strRef>
          </c:tx>
          <c:spPr>
            <a:solidFill>
              <a:srgbClr val="208486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Figure5!$D$11:$Y$11</c:f>
              <c:numCache>
                <c:formatCode>0.0</c:formatCode>
                <c:ptCount val="22"/>
                <c:pt idx="0">
                  <c:v>0</c:v>
                </c:pt>
                <c:pt idx="1">
                  <c:v>0.35704059999999999</c:v>
                </c:pt>
                <c:pt idx="2">
                  <c:v>19.48364119</c:v>
                </c:pt>
                <c:pt idx="3">
                  <c:v>13.7</c:v>
                </c:pt>
                <c:pt idx="4">
                  <c:v>4.3293999999999999E-2</c:v>
                </c:pt>
                <c:pt idx="5">
                  <c:v>0</c:v>
                </c:pt>
                <c:pt idx="6">
                  <c:v>1.6897862699999999</c:v>
                </c:pt>
                <c:pt idx="7">
                  <c:v>12.171977</c:v>
                </c:pt>
                <c:pt idx="8">
                  <c:v>4.4544569999999997</c:v>
                </c:pt>
                <c:pt idx="9">
                  <c:v>0.86</c:v>
                </c:pt>
                <c:pt idx="10">
                  <c:v>0</c:v>
                </c:pt>
                <c:pt idx="12">
                  <c:v>0.428705</c:v>
                </c:pt>
                <c:pt idx="13">
                  <c:v>0.05</c:v>
                </c:pt>
                <c:pt idx="14">
                  <c:v>7.41850729</c:v>
                </c:pt>
                <c:pt idx="15">
                  <c:v>0.36899700000000002</c:v>
                </c:pt>
                <c:pt idx="16">
                  <c:v>2.13</c:v>
                </c:pt>
                <c:pt idx="17">
                  <c:v>20.148797510000001</c:v>
                </c:pt>
                <c:pt idx="20">
                  <c:v>58.588878110000003</c:v>
                </c:pt>
                <c:pt idx="21">
                  <c:v>141.89408097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45-4FF3-B1E4-BC6946BD7C70}"/>
            </c:ext>
          </c:extLst>
        </c:ser>
        <c:ser>
          <c:idx val="8"/>
          <c:order val="8"/>
          <c:tx>
            <c:strRef>
              <c:f>Figure5!$C$12</c:f>
              <c:strCache>
                <c:ptCount val="1"/>
                <c:pt idx="0">
                  <c:v>Services (except wholesale and retail trade, transportation and storage)</c:v>
                </c:pt>
              </c:strCache>
            </c:strRef>
          </c:tx>
          <c:spPr>
            <a:solidFill>
              <a:srgbClr val="388AE2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Figure5!$D$12:$Y$12</c:f>
              <c:numCache>
                <c:formatCode>0.0</c:formatCode>
                <c:ptCount val="22"/>
                <c:pt idx="0">
                  <c:v>0</c:v>
                </c:pt>
                <c:pt idx="1">
                  <c:v>0.82005163999999997</c:v>
                </c:pt>
                <c:pt idx="2">
                  <c:v>102.76224703</c:v>
                </c:pt>
                <c:pt idx="3">
                  <c:v>17.994</c:v>
                </c:pt>
                <c:pt idx="4">
                  <c:v>1.148884</c:v>
                </c:pt>
                <c:pt idx="5">
                  <c:v>98</c:v>
                </c:pt>
                <c:pt idx="6">
                  <c:v>35.96160544</c:v>
                </c:pt>
                <c:pt idx="7">
                  <c:v>18.767009999999999</c:v>
                </c:pt>
                <c:pt idx="8">
                  <c:v>20.422283</c:v>
                </c:pt>
                <c:pt idx="9">
                  <c:v>33.97</c:v>
                </c:pt>
                <c:pt idx="10">
                  <c:v>0.42468600000000001</c:v>
                </c:pt>
                <c:pt idx="12">
                  <c:v>288.65030200000001</c:v>
                </c:pt>
                <c:pt idx="13">
                  <c:v>24.45</c:v>
                </c:pt>
                <c:pt idx="14">
                  <c:v>53.244043759999997</c:v>
                </c:pt>
                <c:pt idx="15">
                  <c:v>0.70863799999999999</c:v>
                </c:pt>
                <c:pt idx="16">
                  <c:v>30.35</c:v>
                </c:pt>
                <c:pt idx="17">
                  <c:v>354.26212604</c:v>
                </c:pt>
                <c:pt idx="20">
                  <c:v>171.47071051</c:v>
                </c:pt>
                <c:pt idx="21">
                  <c:v>1253.4065874200001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45-4FF3-B1E4-BC6946BD7C70}"/>
            </c:ext>
          </c:extLst>
        </c:ser>
        <c:ser>
          <c:idx val="9"/>
          <c:order val="9"/>
          <c:tx>
            <c:strRef>
              <c:f>Figure5!$C$13</c:f>
              <c:strCache>
                <c:ptCount val="1"/>
                <c:pt idx="0">
                  <c:v>Not allocated</c:v>
                </c:pt>
              </c:strCache>
            </c:strRef>
          </c:tx>
          <c:spPr>
            <a:solidFill>
              <a:srgbClr val="388AE2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Figure5!$D$2:$Y$2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Sum(¹)</c:v>
                </c:pt>
              </c:strCache>
            </c:strRef>
          </c:cat>
          <c:val>
            <c:numRef>
              <c:f>Figure5!$D$13:$Y$13</c:f>
              <c:numCache>
                <c:formatCode>0.0</c:formatCode>
                <c:ptCount val="22"/>
                <c:pt idx="0">
                  <c:v>624.46602199999995</c:v>
                </c:pt>
                <c:pt idx="1">
                  <c:v>0</c:v>
                </c:pt>
                <c:pt idx="2">
                  <c:v>204.64800715000001</c:v>
                </c:pt>
                <c:pt idx="3">
                  <c:v>0.64600000000000002</c:v>
                </c:pt>
                <c:pt idx="4">
                  <c:v>5.1E-5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0.45732600000000001</c:v>
                </c:pt>
                <c:pt idx="11">
                  <c:v>1671.2285589999999</c:v>
                </c:pt>
                <c:pt idx="12">
                  <c:v>0</c:v>
                </c:pt>
                <c:pt idx="13">
                  <c:v>1.68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1803.45319498</c:v>
                </c:pt>
                <c:pt idx="20">
                  <c:v>61.281254330000003</c:v>
                </c:pt>
                <c:pt idx="21">
                  <c:v>4367.8604144599994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45-4FF3-B1E4-BC6946BD7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48319535"/>
        <c:axId val="1965747519"/>
      </c:barChart>
      <c:catAx>
        <c:axId val="24831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5747519"/>
        <c:crosses val="autoZero"/>
        <c:auto val="1"/>
        <c:lblAlgn val="ctr"/>
        <c:lblOffset val="100"/>
        <c:tickMarkSkip val="1"/>
        <c:noMultiLvlLbl val="0"/>
      </c:catAx>
      <c:valAx>
        <c:axId val="196574751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83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175958005249334E-2"/>
          <c:y val="0.62821387231974113"/>
          <c:w val="0.94564808398950129"/>
          <c:h val="0.2253921381372759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Environmental transfers received by corporations broken down by economic activities (%) - 'n.e.c.' discounted, 2022</a:t>
            </a:r>
          </a:p>
        </c:rich>
      </c:tx>
      <c:layout>
        <c:manualLayout>
          <c:xMode val="edge"/>
          <c:yMode val="edge"/>
          <c:x val="5.3333333333333332E-3"/>
          <c:y val="9.19622628871624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362414698162735E-2"/>
          <c:y val="0.15657733836229329"/>
          <c:w val="0.91397091863517055"/>
          <c:h val="0.3221363847425916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Figure6!$C$4</c:f>
              <c:strCache>
                <c:ptCount val="1"/>
                <c:pt idx="0">
                  <c:v>Agriculture, forestry and fishing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Figure6!$D$4:$Y$4</c:f>
              <c:numCache>
                <c:formatCode>0.0</c:formatCode>
                <c:ptCount val="22"/>
                <c:pt idx="0">
                  <c:v>0</c:v>
                </c:pt>
                <c:pt idx="1">
                  <c:v>9.6677180699999994</c:v>
                </c:pt>
                <c:pt idx="2">
                  <c:v>60.430288730000001</c:v>
                </c:pt>
                <c:pt idx="3">
                  <c:v>184.27600000000001</c:v>
                </c:pt>
                <c:pt idx="4">
                  <c:v>11.686112</c:v>
                </c:pt>
                <c:pt idx="5">
                  <c:v>0</c:v>
                </c:pt>
                <c:pt idx="6">
                  <c:v>20.738260799999999</c:v>
                </c:pt>
                <c:pt idx="7">
                  <c:v>139.71378799999999</c:v>
                </c:pt>
                <c:pt idx="8">
                  <c:v>8.5010659999999998</c:v>
                </c:pt>
                <c:pt idx="9">
                  <c:v>0.21</c:v>
                </c:pt>
                <c:pt idx="10">
                  <c:v>0.13412499999999999</c:v>
                </c:pt>
                <c:pt idx="12">
                  <c:v>4.3777359999999996</c:v>
                </c:pt>
                <c:pt idx="13">
                  <c:v>30.58</c:v>
                </c:pt>
                <c:pt idx="14">
                  <c:v>30.66796484</c:v>
                </c:pt>
                <c:pt idx="15">
                  <c:v>3.0490000000000001E-3</c:v>
                </c:pt>
                <c:pt idx="16">
                  <c:v>31.8</c:v>
                </c:pt>
                <c:pt idx="17">
                  <c:v>402.71549850999997</c:v>
                </c:pt>
                <c:pt idx="20">
                  <c:v>113.9904579</c:v>
                </c:pt>
                <c:pt idx="21">
                  <c:v>1049.4920648499999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6-436D-8036-0552AFE8866D}"/>
            </c:ext>
          </c:extLst>
        </c:ser>
        <c:ser>
          <c:idx val="1"/>
          <c:order val="1"/>
          <c:tx>
            <c:strRef>
              <c:f>Figure6!$C$5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Figure6!$D$5:$Y$5</c:f>
              <c:numCache>
                <c:formatCode>0.0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1.7607192599999999</c:v>
                </c:pt>
                <c:pt idx="3">
                  <c:v>12.708</c:v>
                </c:pt>
                <c:pt idx="4">
                  <c:v>5.4159999999999998E-3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2.5193188399999999</c:v>
                </c:pt>
                <c:pt idx="15">
                  <c:v>0</c:v>
                </c:pt>
                <c:pt idx="16">
                  <c:v>0.13</c:v>
                </c:pt>
                <c:pt idx="17">
                  <c:v>0</c:v>
                </c:pt>
                <c:pt idx="20">
                  <c:v>4.8205412499999998</c:v>
                </c:pt>
                <c:pt idx="21">
                  <c:v>21.943995350000002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9-406F-997C-869E35CFABF3}"/>
            </c:ext>
          </c:extLst>
        </c:ser>
        <c:ser>
          <c:idx val="2"/>
          <c:order val="2"/>
          <c:tx>
            <c:strRef>
              <c:f>Figure6!$C$6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Figure6!$D$6:$Y$6</c:f>
              <c:numCache>
                <c:formatCode>0.0</c:formatCode>
                <c:ptCount val="22"/>
                <c:pt idx="0">
                  <c:v>0</c:v>
                </c:pt>
                <c:pt idx="1">
                  <c:v>22.825535330000001</c:v>
                </c:pt>
                <c:pt idx="2">
                  <c:v>150.60019396000001</c:v>
                </c:pt>
                <c:pt idx="3">
                  <c:v>5.6429999999999998</c:v>
                </c:pt>
                <c:pt idx="4">
                  <c:v>2.8714339999999998</c:v>
                </c:pt>
                <c:pt idx="5">
                  <c:v>0</c:v>
                </c:pt>
                <c:pt idx="6">
                  <c:v>11.209651770000001</c:v>
                </c:pt>
                <c:pt idx="7">
                  <c:v>4.7311719999999999</c:v>
                </c:pt>
                <c:pt idx="8">
                  <c:v>4.675573</c:v>
                </c:pt>
                <c:pt idx="9">
                  <c:v>13.92</c:v>
                </c:pt>
                <c:pt idx="10">
                  <c:v>0.50226000000000004</c:v>
                </c:pt>
                <c:pt idx="12">
                  <c:v>4.4540999999999997E-2</c:v>
                </c:pt>
                <c:pt idx="13">
                  <c:v>1.2</c:v>
                </c:pt>
                <c:pt idx="14">
                  <c:v>18.208512160000002</c:v>
                </c:pt>
                <c:pt idx="15">
                  <c:v>0.54935199999999995</c:v>
                </c:pt>
                <c:pt idx="16">
                  <c:v>8.6</c:v>
                </c:pt>
                <c:pt idx="17">
                  <c:v>0</c:v>
                </c:pt>
                <c:pt idx="20">
                  <c:v>65.695959459999997</c:v>
                </c:pt>
                <c:pt idx="21">
                  <c:v>311.27718467999995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9-406F-997C-869E35CFABF3}"/>
            </c:ext>
          </c:extLst>
        </c:ser>
        <c:ser>
          <c:idx val="3"/>
          <c:order val="3"/>
          <c:tx>
            <c:strRef>
              <c:f>Figure6!$C$7</c:f>
              <c:strCache>
                <c:ptCount val="1"/>
                <c:pt idx="0">
                  <c:v>Electricity, gas, steam and air conditioning supply</c:v>
                </c:pt>
              </c:strCache>
            </c:strRef>
          </c:tx>
          <c:spPr>
            <a:solidFill>
              <a:srgbClr val="B09120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Figure6!$D$7:$Y$7</c:f>
              <c:numCache>
                <c:formatCode>0.0</c:formatCode>
                <c:ptCount val="22"/>
                <c:pt idx="0">
                  <c:v>0</c:v>
                </c:pt>
                <c:pt idx="1">
                  <c:v>1.1211268999999999</c:v>
                </c:pt>
                <c:pt idx="2">
                  <c:v>13.98751169</c:v>
                </c:pt>
                <c:pt idx="3">
                  <c:v>288.36900000000003</c:v>
                </c:pt>
                <c:pt idx="4">
                  <c:v>76.085510999999997</c:v>
                </c:pt>
                <c:pt idx="5">
                  <c:v>3859.442</c:v>
                </c:pt>
                <c:pt idx="6">
                  <c:v>174.47706527</c:v>
                </c:pt>
                <c:pt idx="7">
                  <c:v>4.0811000000000002</c:v>
                </c:pt>
                <c:pt idx="8">
                  <c:v>7.8637389999999998</c:v>
                </c:pt>
                <c:pt idx="9">
                  <c:v>7.14</c:v>
                </c:pt>
                <c:pt idx="10">
                  <c:v>26.979075999999999</c:v>
                </c:pt>
                <c:pt idx="12">
                  <c:v>1.2708600000000001</c:v>
                </c:pt>
                <c:pt idx="13">
                  <c:v>397.61</c:v>
                </c:pt>
                <c:pt idx="14">
                  <c:v>2.71897755</c:v>
                </c:pt>
                <c:pt idx="15">
                  <c:v>2.6825000000000002E-2</c:v>
                </c:pt>
                <c:pt idx="16">
                  <c:v>14.71</c:v>
                </c:pt>
                <c:pt idx="17">
                  <c:v>127.81277028</c:v>
                </c:pt>
                <c:pt idx="20">
                  <c:v>13.659849940000001</c:v>
                </c:pt>
                <c:pt idx="21">
                  <c:v>5017.3554126299996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9-406F-997C-869E35CFABF3}"/>
            </c:ext>
          </c:extLst>
        </c:ser>
        <c:ser>
          <c:idx val="4"/>
          <c:order val="4"/>
          <c:tx>
            <c:strRef>
              <c:f>Figure6!$C$8</c:f>
              <c:strCache>
                <c:ptCount val="1"/>
                <c:pt idx="0">
                  <c:v>Water supply; sewerage, waste management and remediation activities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Figure6!$D$8:$Y$8</c:f>
              <c:numCache>
                <c:formatCode>0.0</c:formatCode>
                <c:ptCount val="22"/>
                <c:pt idx="0">
                  <c:v>0</c:v>
                </c:pt>
                <c:pt idx="1">
                  <c:v>86.287751819999997</c:v>
                </c:pt>
                <c:pt idx="2">
                  <c:v>34.295958249999998</c:v>
                </c:pt>
                <c:pt idx="3">
                  <c:v>0</c:v>
                </c:pt>
                <c:pt idx="4">
                  <c:v>13.327370999999999</c:v>
                </c:pt>
                <c:pt idx="5">
                  <c:v>214</c:v>
                </c:pt>
                <c:pt idx="6">
                  <c:v>214.75340659</c:v>
                </c:pt>
                <c:pt idx="7">
                  <c:v>16.49793</c:v>
                </c:pt>
                <c:pt idx="8">
                  <c:v>11.736751</c:v>
                </c:pt>
                <c:pt idx="9">
                  <c:v>10.57</c:v>
                </c:pt>
                <c:pt idx="10">
                  <c:v>4.9588279999999996</c:v>
                </c:pt>
                <c:pt idx="12">
                  <c:v>22.860240000000001</c:v>
                </c:pt>
                <c:pt idx="13">
                  <c:v>80.12</c:v>
                </c:pt>
                <c:pt idx="14">
                  <c:v>66.59148399</c:v>
                </c:pt>
                <c:pt idx="15">
                  <c:v>19.490492</c:v>
                </c:pt>
                <c:pt idx="16">
                  <c:v>5.23</c:v>
                </c:pt>
                <c:pt idx="17">
                  <c:v>3.5655149999999997E-2</c:v>
                </c:pt>
                <c:pt idx="20">
                  <c:v>398.40239145999999</c:v>
                </c:pt>
                <c:pt idx="21">
                  <c:v>1199.1582592600002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9-406F-997C-869E35CFABF3}"/>
            </c:ext>
          </c:extLst>
        </c:ser>
        <c:ser>
          <c:idx val="5"/>
          <c:order val="5"/>
          <c:tx>
            <c:strRef>
              <c:f>Figure6!$C$9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rgbClr val="E04040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Figure6!$D$9:$Y$9</c:f>
              <c:numCache>
                <c:formatCode>0.0</c:formatCode>
                <c:ptCount val="22"/>
                <c:pt idx="0">
                  <c:v>0</c:v>
                </c:pt>
                <c:pt idx="1">
                  <c:v>1.01270989</c:v>
                </c:pt>
                <c:pt idx="2">
                  <c:v>7.1107035300000003</c:v>
                </c:pt>
                <c:pt idx="3">
                  <c:v>0</c:v>
                </c:pt>
                <c:pt idx="4">
                  <c:v>0.16917599999999999</c:v>
                </c:pt>
                <c:pt idx="5">
                  <c:v>0</c:v>
                </c:pt>
                <c:pt idx="6">
                  <c:v>0.81864053000000003</c:v>
                </c:pt>
                <c:pt idx="7">
                  <c:v>0</c:v>
                </c:pt>
                <c:pt idx="8">
                  <c:v>0.52231399999999994</c:v>
                </c:pt>
                <c:pt idx="9">
                  <c:v>0.86</c:v>
                </c:pt>
                <c:pt idx="10">
                  <c:v>0</c:v>
                </c:pt>
                <c:pt idx="13">
                  <c:v>0.47</c:v>
                </c:pt>
                <c:pt idx="14">
                  <c:v>27.786793339999999</c:v>
                </c:pt>
                <c:pt idx="15">
                  <c:v>1.2201979999999999</c:v>
                </c:pt>
                <c:pt idx="16">
                  <c:v>0.5</c:v>
                </c:pt>
                <c:pt idx="17">
                  <c:v>0</c:v>
                </c:pt>
                <c:pt idx="20">
                  <c:v>22.58824461</c:v>
                </c:pt>
                <c:pt idx="21">
                  <c:v>63.058779900000005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99-406F-997C-869E35CFABF3}"/>
            </c:ext>
          </c:extLst>
        </c:ser>
        <c:ser>
          <c:idx val="6"/>
          <c:order val="6"/>
          <c:tx>
            <c:strRef>
              <c:f>Figure6!$C$10</c:f>
              <c:strCache>
                <c:ptCount val="1"/>
                <c:pt idx="0">
                  <c:v>Wholesale and retail trade; repair of motor vehicles and motorcycles</c:v>
                </c:pt>
              </c:strCache>
            </c:strRef>
          </c:tx>
          <c:spPr>
            <a:solidFill>
              <a:srgbClr val="208486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Figure6!$D$10:$Y$10</c:f>
              <c:numCache>
                <c:formatCode>0.0</c:formatCode>
                <c:ptCount val="22"/>
                <c:pt idx="0">
                  <c:v>0</c:v>
                </c:pt>
                <c:pt idx="1">
                  <c:v>1.80828254</c:v>
                </c:pt>
                <c:pt idx="2">
                  <c:v>56.934796759999998</c:v>
                </c:pt>
                <c:pt idx="3">
                  <c:v>0.40200000000000002</c:v>
                </c:pt>
                <c:pt idx="4">
                  <c:v>0.36934299999999998</c:v>
                </c:pt>
                <c:pt idx="5">
                  <c:v>0</c:v>
                </c:pt>
                <c:pt idx="6">
                  <c:v>1.08962314</c:v>
                </c:pt>
                <c:pt idx="7">
                  <c:v>0</c:v>
                </c:pt>
                <c:pt idx="8">
                  <c:v>3.876233</c:v>
                </c:pt>
                <c:pt idx="9">
                  <c:v>0.01</c:v>
                </c:pt>
                <c:pt idx="10">
                  <c:v>0.93390799999999996</c:v>
                </c:pt>
                <c:pt idx="12">
                  <c:v>6.4024999999999999E-2</c:v>
                </c:pt>
                <c:pt idx="13">
                  <c:v>0.28999999999999998</c:v>
                </c:pt>
                <c:pt idx="14">
                  <c:v>29.533523410000001</c:v>
                </c:pt>
                <c:pt idx="15">
                  <c:v>0.34090399999999998</c:v>
                </c:pt>
                <c:pt idx="16">
                  <c:v>3.86</c:v>
                </c:pt>
                <c:pt idx="17">
                  <c:v>0</c:v>
                </c:pt>
                <c:pt idx="20">
                  <c:v>9.5025043100000008</c:v>
                </c:pt>
                <c:pt idx="21">
                  <c:v>109.01514316000002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99-406F-997C-869E35CFABF3}"/>
            </c:ext>
          </c:extLst>
        </c:ser>
        <c:ser>
          <c:idx val="7"/>
          <c:order val="7"/>
          <c:tx>
            <c:strRef>
              <c:f>Figure6!$C$11</c:f>
              <c:strCache>
                <c:ptCount val="1"/>
                <c:pt idx="0">
                  <c:v>Transportation and storage</c:v>
                </c:pt>
              </c:strCache>
            </c:strRef>
          </c:tx>
          <c:spPr>
            <a:solidFill>
              <a:srgbClr val="208486">
                <a:lumMod val="60000"/>
                <a:lumOff val="4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Figure6!$D$11:$Y$11</c:f>
              <c:numCache>
                <c:formatCode>0.0</c:formatCode>
                <c:ptCount val="22"/>
                <c:pt idx="0">
                  <c:v>0</c:v>
                </c:pt>
                <c:pt idx="1">
                  <c:v>0.35704059999999999</c:v>
                </c:pt>
                <c:pt idx="2">
                  <c:v>19.48364119</c:v>
                </c:pt>
                <c:pt idx="3">
                  <c:v>13.7</c:v>
                </c:pt>
                <c:pt idx="4">
                  <c:v>4.3293999999999999E-2</c:v>
                </c:pt>
                <c:pt idx="5">
                  <c:v>0</c:v>
                </c:pt>
                <c:pt idx="6">
                  <c:v>1.6897862699999999</c:v>
                </c:pt>
                <c:pt idx="7">
                  <c:v>12.171977</c:v>
                </c:pt>
                <c:pt idx="8">
                  <c:v>4.4544569999999997</c:v>
                </c:pt>
                <c:pt idx="9">
                  <c:v>0.86</c:v>
                </c:pt>
                <c:pt idx="10">
                  <c:v>0</c:v>
                </c:pt>
                <c:pt idx="12">
                  <c:v>0.428705</c:v>
                </c:pt>
                <c:pt idx="13">
                  <c:v>0.05</c:v>
                </c:pt>
                <c:pt idx="14">
                  <c:v>7.41850729</c:v>
                </c:pt>
                <c:pt idx="15">
                  <c:v>0.36899700000000002</c:v>
                </c:pt>
                <c:pt idx="16">
                  <c:v>2.13</c:v>
                </c:pt>
                <c:pt idx="17">
                  <c:v>20.148797510000001</c:v>
                </c:pt>
                <c:pt idx="20">
                  <c:v>58.588878110000003</c:v>
                </c:pt>
                <c:pt idx="21">
                  <c:v>141.89408097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99-406F-997C-869E35CFABF3}"/>
            </c:ext>
          </c:extLst>
        </c:ser>
        <c:ser>
          <c:idx val="8"/>
          <c:order val="8"/>
          <c:tx>
            <c:strRef>
              <c:f>Figure6!$C$12</c:f>
              <c:strCache>
                <c:ptCount val="1"/>
                <c:pt idx="0">
                  <c:v>Services (except wholesale and retail trade, transportation and storage)</c:v>
                </c:pt>
              </c:strCache>
            </c:strRef>
          </c:tx>
          <c:spPr>
            <a:solidFill>
              <a:srgbClr val="388AE2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Figure6!$D$2:$Y$2</c:f>
              <c:strCache>
                <c:ptCount val="22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Ireland</c:v>
                </c:pt>
                <c:pt idx="4">
                  <c:v>Estonia</c:v>
                </c:pt>
                <c:pt idx="5">
                  <c:v>Spain</c:v>
                </c:pt>
                <c:pt idx="6">
                  <c:v>Croatia</c:v>
                </c:pt>
                <c:pt idx="7">
                  <c:v>Latvia</c:v>
                </c:pt>
                <c:pt idx="8">
                  <c:v>Lithuania</c:v>
                </c:pt>
                <c:pt idx="9">
                  <c:v>Luxembourg</c:v>
                </c:pt>
                <c:pt idx="10">
                  <c:v>Malta</c:v>
                </c:pt>
                <c:pt idx="11">
                  <c:v>Netherlands</c:v>
                </c:pt>
                <c:pt idx="12">
                  <c:v>Austria</c:v>
                </c:pt>
                <c:pt idx="13">
                  <c:v>Portugal</c:v>
                </c:pt>
                <c:pt idx="14">
                  <c:v>Romania</c:v>
                </c:pt>
                <c:pt idx="15">
                  <c:v>Slovenia</c:v>
                </c:pt>
                <c:pt idx="16">
                  <c:v>Finland</c:v>
                </c:pt>
                <c:pt idx="17">
                  <c:v>Sweden</c:v>
                </c:pt>
                <c:pt idx="19">
                  <c:v>Switzerland</c:v>
                </c:pt>
                <c:pt idx="20">
                  <c:v>Norway</c:v>
                </c:pt>
                <c:pt idx="21">
                  <c:v>Sum (¹)</c:v>
                </c:pt>
              </c:strCache>
            </c:strRef>
          </c:cat>
          <c:val>
            <c:numRef>
              <c:f>Figure6!$D$12:$Y$12</c:f>
              <c:numCache>
                <c:formatCode>0.0</c:formatCode>
                <c:ptCount val="22"/>
                <c:pt idx="0">
                  <c:v>0</c:v>
                </c:pt>
                <c:pt idx="1">
                  <c:v>0.82005163999999997</c:v>
                </c:pt>
                <c:pt idx="2">
                  <c:v>102.76224703</c:v>
                </c:pt>
                <c:pt idx="3">
                  <c:v>17.994</c:v>
                </c:pt>
                <c:pt idx="4">
                  <c:v>1.148884</c:v>
                </c:pt>
                <c:pt idx="5">
                  <c:v>98</c:v>
                </c:pt>
                <c:pt idx="6">
                  <c:v>35.96160544</c:v>
                </c:pt>
                <c:pt idx="7">
                  <c:v>18.767009999999999</c:v>
                </c:pt>
                <c:pt idx="8">
                  <c:v>20.422283</c:v>
                </c:pt>
                <c:pt idx="9">
                  <c:v>33.97</c:v>
                </c:pt>
                <c:pt idx="10">
                  <c:v>0.42468600000000001</c:v>
                </c:pt>
                <c:pt idx="12">
                  <c:v>288.65030200000001</c:v>
                </c:pt>
                <c:pt idx="13">
                  <c:v>24.45</c:v>
                </c:pt>
                <c:pt idx="14">
                  <c:v>53.244043759999997</c:v>
                </c:pt>
                <c:pt idx="15">
                  <c:v>0.70863799999999999</c:v>
                </c:pt>
                <c:pt idx="16">
                  <c:v>30.35</c:v>
                </c:pt>
                <c:pt idx="17">
                  <c:v>354.26212604</c:v>
                </c:pt>
                <c:pt idx="20">
                  <c:v>171.47071051</c:v>
                </c:pt>
                <c:pt idx="21">
                  <c:v>1253.4065874200001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99-406F-997C-869E35CF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08905599"/>
        <c:axId val="304535263"/>
      </c:barChart>
      <c:catAx>
        <c:axId val="508905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4535263"/>
        <c:crosses val="autoZero"/>
        <c:auto val="0"/>
        <c:lblAlgn val="ctr"/>
        <c:lblOffset val="100"/>
        <c:tickMarkSkip val="1"/>
        <c:noMultiLvlLbl val="0"/>
      </c:catAx>
      <c:valAx>
        <c:axId val="30453526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890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509291338582676E-2"/>
          <c:y val="0.66870087916285381"/>
          <c:w val="0.98549070866141708"/>
          <c:h val="0.17718611768092171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Distribution of environmental transfers received by the national economy, classified by environmental objectives (%), 2022</a:t>
            </a:r>
          </a:p>
        </c:rich>
      </c:tx>
      <c:layout>
        <c:manualLayout>
          <c:xMode val="edge"/>
          <c:yMode val="edge"/>
          <c:x val="5.3333333333333332E-3"/>
          <c:y val="8.53111497474336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362414698162735E-2"/>
          <c:y val="0.1452529803063913"/>
          <c:w val="0.91397091863517055"/>
          <c:h val="0.43294904690820135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Figure7!$C$4</c:f>
              <c:strCache>
                <c:ptCount val="1"/>
                <c:pt idx="0">
                  <c:v>Total environmental protection activities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Figure7!$D$2:$Z$2</c:f>
              <c:strCache>
                <c:ptCount val="23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France(¹)</c:v>
                </c:pt>
                <c:pt idx="7">
                  <c:v>Croatia</c:v>
                </c:pt>
                <c:pt idx="8">
                  <c:v>Latvia</c:v>
                </c:pt>
                <c:pt idx="9">
                  <c:v>Lithuania</c:v>
                </c:pt>
                <c:pt idx="10">
                  <c:v>Luxembourg</c:v>
                </c:pt>
                <c:pt idx="11">
                  <c:v>Malta</c:v>
                </c:pt>
                <c:pt idx="12">
                  <c:v>Netherlands</c:v>
                </c:pt>
                <c:pt idx="13">
                  <c:v>Austria</c:v>
                </c:pt>
                <c:pt idx="14">
                  <c:v>Portugal</c:v>
                </c:pt>
                <c:pt idx="15">
                  <c:v>Romania</c:v>
                </c:pt>
                <c:pt idx="16">
                  <c:v>Slovenia</c:v>
                </c:pt>
                <c:pt idx="17">
                  <c:v>Finland</c:v>
                </c:pt>
                <c:pt idx="18">
                  <c:v>Sweden</c:v>
                </c:pt>
                <c:pt idx="20">
                  <c:v>Switzerland</c:v>
                </c:pt>
                <c:pt idx="21">
                  <c:v>Norway</c:v>
                </c:pt>
                <c:pt idx="22">
                  <c:v>Sum (²)</c:v>
                </c:pt>
              </c:strCache>
            </c:strRef>
          </c:cat>
          <c:val>
            <c:numRef>
              <c:f>Figure7!$D$4:$Z$4</c:f>
              <c:numCache>
                <c:formatCode>General</c:formatCode>
                <c:ptCount val="23"/>
                <c:pt idx="0">
                  <c:v>1065.1479360000001</c:v>
                </c:pt>
                <c:pt idx="1">
                  <c:v>514.26066572000002</c:v>
                </c:pt>
                <c:pt idx="2">
                  <c:v>428.56967202999999</c:v>
                </c:pt>
                <c:pt idx="3">
                  <c:v>283.55408299999999</c:v>
                </c:pt>
                <c:pt idx="4">
                  <c:v>934.654</c:v>
                </c:pt>
                <c:pt idx="5">
                  <c:v>514.05028500000003</c:v>
                </c:pt>
                <c:pt idx="6">
                  <c:v>5715.5444510000007</c:v>
                </c:pt>
                <c:pt idx="7">
                  <c:v>157.93512865000002</c:v>
                </c:pt>
                <c:pt idx="8">
                  <c:v>359.35115500000001</c:v>
                </c:pt>
                <c:pt idx="9">
                  <c:v>280.15295300000002</c:v>
                </c:pt>
                <c:pt idx="10">
                  <c:v>173.44</c:v>
                </c:pt>
                <c:pt idx="11">
                  <c:v>105.97798399999999</c:v>
                </c:pt>
                <c:pt idx="12">
                  <c:v>3798.0044069999999</c:v>
                </c:pt>
                <c:pt idx="13">
                  <c:v>2713.6296010000001</c:v>
                </c:pt>
                <c:pt idx="14">
                  <c:v>543.88</c:v>
                </c:pt>
                <c:pt idx="15">
                  <c:v>2088.43630016</c:v>
                </c:pt>
                <c:pt idx="16">
                  <c:v>159.87660199999999</c:v>
                </c:pt>
                <c:pt idx="17">
                  <c:v>472.34</c:v>
                </c:pt>
                <c:pt idx="18">
                  <c:v>2117.45700167</c:v>
                </c:pt>
                <c:pt idx="20">
                  <c:v>2656.1929471499998</c:v>
                </c:pt>
                <c:pt idx="21">
                  <c:v>923.50484033999999</c:v>
                </c:pt>
                <c:pt idx="22">
                  <c:v>26005.960012719999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5-4850-AA4B-70DF21707166}"/>
            </c:ext>
          </c:extLst>
        </c:ser>
        <c:ser>
          <c:idx val="0"/>
          <c:order val="1"/>
          <c:tx>
            <c:strRef>
              <c:f>Figure7!$C$5</c:f>
              <c:strCache>
                <c:ptCount val="1"/>
                <c:pt idx="0">
                  <c:v>Total resource management activities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Figure7!$D$2:$Z$2</c:f>
              <c:strCache>
                <c:ptCount val="23"/>
                <c:pt idx="0">
                  <c:v>Belgium</c:v>
                </c:pt>
                <c:pt idx="1">
                  <c:v>Bulgaria</c:v>
                </c:pt>
                <c:pt idx="2">
                  <c:v>Denmark</c:v>
                </c:pt>
                <c:pt idx="3">
                  <c:v>Estonia</c:v>
                </c:pt>
                <c:pt idx="4">
                  <c:v>Ireland</c:v>
                </c:pt>
                <c:pt idx="5">
                  <c:v>Spain</c:v>
                </c:pt>
                <c:pt idx="6">
                  <c:v>France(¹)</c:v>
                </c:pt>
                <c:pt idx="7">
                  <c:v>Croatia</c:v>
                </c:pt>
                <c:pt idx="8">
                  <c:v>Latvia</c:v>
                </c:pt>
                <c:pt idx="9">
                  <c:v>Lithuania</c:v>
                </c:pt>
                <c:pt idx="10">
                  <c:v>Luxembourg</c:v>
                </c:pt>
                <c:pt idx="11">
                  <c:v>Malta</c:v>
                </c:pt>
                <c:pt idx="12">
                  <c:v>Netherlands</c:v>
                </c:pt>
                <c:pt idx="13">
                  <c:v>Austria</c:v>
                </c:pt>
                <c:pt idx="14">
                  <c:v>Portugal</c:v>
                </c:pt>
                <c:pt idx="15">
                  <c:v>Romania</c:v>
                </c:pt>
                <c:pt idx="16">
                  <c:v>Slovenia</c:v>
                </c:pt>
                <c:pt idx="17">
                  <c:v>Finland</c:v>
                </c:pt>
                <c:pt idx="18">
                  <c:v>Sweden</c:v>
                </c:pt>
                <c:pt idx="20">
                  <c:v>Switzerland</c:v>
                </c:pt>
                <c:pt idx="21">
                  <c:v>Norway</c:v>
                </c:pt>
                <c:pt idx="22">
                  <c:v>Sum (²)</c:v>
                </c:pt>
              </c:strCache>
            </c:strRef>
          </c:cat>
          <c:val>
            <c:numRef>
              <c:f>Figure7!$D$5:$Z$5</c:f>
              <c:numCache>
                <c:formatCode>General</c:formatCode>
                <c:ptCount val="23"/>
                <c:pt idx="0">
                  <c:v>609.892921</c:v>
                </c:pt>
                <c:pt idx="1">
                  <c:v>101.45060283000001</c:v>
                </c:pt>
                <c:pt idx="2">
                  <c:v>1.108554E-2</c:v>
                </c:pt>
                <c:pt idx="3">
                  <c:v>222.27082100000001</c:v>
                </c:pt>
                <c:pt idx="4">
                  <c:v>601.83600000000001</c:v>
                </c:pt>
                <c:pt idx="5">
                  <c:v>3859.442</c:v>
                </c:pt>
                <c:pt idx="6">
                  <c:v>0</c:v>
                </c:pt>
                <c:pt idx="7">
                  <c:v>388.51835968</c:v>
                </c:pt>
                <c:pt idx="8">
                  <c:v>77.259907999999996</c:v>
                </c:pt>
                <c:pt idx="9">
                  <c:v>83.400617999999994</c:v>
                </c:pt>
                <c:pt idx="10">
                  <c:v>40.75</c:v>
                </c:pt>
                <c:pt idx="11">
                  <c:v>48.214582999999998</c:v>
                </c:pt>
                <c:pt idx="12">
                  <c:v>1819.36</c:v>
                </c:pt>
                <c:pt idx="13">
                  <c:v>3520.1879589999999</c:v>
                </c:pt>
                <c:pt idx="14">
                  <c:v>622.43000000000006</c:v>
                </c:pt>
                <c:pt idx="15">
                  <c:v>436.48292193999998</c:v>
                </c:pt>
                <c:pt idx="16">
                  <c:v>0</c:v>
                </c:pt>
                <c:pt idx="17">
                  <c:v>115.35</c:v>
                </c:pt>
                <c:pt idx="18">
                  <c:v>270.95399977</c:v>
                </c:pt>
                <c:pt idx="20">
                  <c:v>818.75139345000002</c:v>
                </c:pt>
                <c:pt idx="21">
                  <c:v>190.32130343</c:v>
                </c:pt>
                <c:pt idx="22">
                  <c:v>13826.88447664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F-46AB-9616-BBE3CB28C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38304175"/>
        <c:axId val="2112997423"/>
      </c:barChart>
      <c:catAx>
        <c:axId val="138304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2997423"/>
        <c:crosses val="autoZero"/>
        <c:auto val="1"/>
        <c:lblAlgn val="ctr"/>
        <c:lblOffset val="100"/>
        <c:tickMarkSkip val="1"/>
        <c:noMultiLvlLbl val="0"/>
      </c:catAx>
      <c:valAx>
        <c:axId val="211299742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30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29186351706037"/>
          <c:y val="0.7774769496158731"/>
          <c:w val="0.75141627296587932"/>
          <c:h val="4.1111241540887307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10</xdr:row>
      <xdr:rowOff>3</xdr:rowOff>
    </xdr:from>
    <xdr:to>
      <xdr:col>21</xdr:col>
      <xdr:colOff>129540</xdr:colOff>
      <xdr:row>48</xdr:row>
      <xdr:rowOff>20957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63A5BC-FD05-E364-A7D5-AA893BBEC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0.90292</cdr:y>
    </cdr:from>
    <cdr:ext cx="7995000" cy="446403"/>
    <cdr:sp macro="" textlink="">
      <cdr:nvSpPr>
        <cdr:cNvPr id="5" name="FootonotesShape">
          <a:extLst xmlns:a="http://schemas.openxmlformats.org/drawingml/2006/main">
            <a:ext uri="{FF2B5EF4-FFF2-40B4-BE49-F238E27FC236}">
              <a16:creationId xmlns:a16="http://schemas.microsoft.com/office/drawing/2014/main" id="{9966F323-9490-7C74-E96D-7A812E5AA40D}"/>
            </a:ext>
          </a:extLst>
        </cdr:cNvPr>
        <cdr:cNvSpPr txBox="1"/>
      </cdr:nvSpPr>
      <cdr:spPr>
        <a:xfrm xmlns:a="http://schemas.openxmlformats.org/drawingml/2006/main">
          <a:off x="0" y="5798314"/>
          <a:ext cx="7995000" cy="446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Data extraction for GDP (nama_10_gdp) on 27 March 2025 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Source: Eurostat (online data codes: env_esst_gg, env_esst_rw)</a:t>
          </a:r>
        </a:p>
      </cdr:txBody>
    </cdr:sp>
  </cdr:absSizeAnchor>
  <cdr:absSizeAnchor xmlns:cdr="http://schemas.openxmlformats.org/drawingml/2006/chartDrawing">
    <cdr:from>
      <cdr:x>0.83936</cdr:x>
      <cdr:y>0.93229</cdr:y>
    </cdr:from>
    <cdr:ext cx="1530099" cy="420625"/>
    <cdr:pic>
      <cdr:nvPicPr>
        <cdr:cNvPr id="7" name="LogoShape">
          <a:extLst xmlns:a="http://schemas.openxmlformats.org/drawingml/2006/main">
            <a:ext uri="{FF2B5EF4-FFF2-40B4-BE49-F238E27FC236}">
              <a16:creationId xmlns:a16="http://schemas.microsoft.com/office/drawing/2014/main" id="{022D1136-A55D-FC62-4317-BCDD5FBF13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791579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9</xdr:row>
      <xdr:rowOff>9526</xdr:rowOff>
    </xdr:from>
    <xdr:to>
      <xdr:col>21</xdr:col>
      <xdr:colOff>533400</xdr:colOff>
      <xdr:row>45</xdr:row>
      <xdr:rowOff>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936C2-899D-A7E3-433A-B18463F7B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0.88413</cdr:y>
    </cdr:from>
    <cdr:ext cx="7995000" cy="484876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D81EEF6A-0127-D64C-79E2-C6F8BE52D39B}"/>
            </a:ext>
          </a:extLst>
        </cdr:cNvPr>
        <cdr:cNvSpPr txBox="1"/>
      </cdr:nvSpPr>
      <cdr:spPr>
        <a:xfrm xmlns:a="http://schemas.openxmlformats.org/drawingml/2006/main">
          <a:off x="0" y="5344204"/>
          <a:ext cx="7995000" cy="484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Data extraction for GDP (nama_10_gdp) on  27 March 2025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 (online data codes: env_esst_gg, env_esst_rw)</a:t>
          </a:r>
        </a:p>
      </cdr:txBody>
    </cdr:sp>
  </cdr:absSizeAnchor>
  <cdr:absSizeAnchor xmlns:cdr="http://schemas.openxmlformats.org/drawingml/2006/chartDrawing">
    <cdr:from>
      <cdr:x>0.83936</cdr:x>
      <cdr:y>0.92796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7D70A0B0-F5E3-4AD5-A446-3FA32DC073A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18225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11</xdr:row>
      <xdr:rowOff>123827</xdr:rowOff>
    </xdr:from>
    <xdr:to>
      <xdr:col>21</xdr:col>
      <xdr:colOff>142875</xdr:colOff>
      <xdr:row>46</xdr:row>
      <xdr:rowOff>128133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74FD2-24D2-70A6-604F-8956FAE27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0.86367</cdr:y>
    </cdr:from>
    <cdr:ext cx="7995000" cy="800476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049FD4C0-BCCC-79BF-F8B7-78AED826E1D8}"/>
            </a:ext>
          </a:extLst>
        </cdr:cNvPr>
        <cdr:cNvSpPr txBox="1"/>
      </cdr:nvSpPr>
      <cdr:spPr>
        <a:xfrm xmlns:a="http://schemas.openxmlformats.org/drawingml/2006/main">
          <a:off x="0" y="5186478"/>
          <a:ext cx="7995000" cy="800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(¹): Data for 2021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Data extraction for GDP (nama_10_gdp) on 27 March 2025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Source: Eurostat  (online data codes: env_esst_gg, env_esst_rw)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 </a:t>
          </a:r>
        </a:p>
      </cdr:txBody>
    </cdr:sp>
  </cdr:absSizeAnchor>
  <cdr:absSizeAnchor xmlns:cdr="http://schemas.openxmlformats.org/drawingml/2006/chartDrawing">
    <cdr:from>
      <cdr:x>0.83936</cdr:x>
      <cdr:y>0.92584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128AAADB-94AE-D436-20CB-C1FD73E73A8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251057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11</xdr:row>
      <xdr:rowOff>123826</xdr:rowOff>
    </xdr:from>
    <xdr:to>
      <xdr:col>24</xdr:col>
      <xdr:colOff>95250</xdr:colOff>
      <xdr:row>46</xdr:row>
      <xdr:rowOff>51303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39DCB-9189-4DC7-A64F-F33E430A0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</cdr:x>
      <cdr:y>0.86348</cdr:y>
    </cdr:from>
    <cdr:ext cx="7995000" cy="800476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0BE70D18-F2CD-7050-9C59-0DD2510BEDF8}"/>
            </a:ext>
          </a:extLst>
        </cdr:cNvPr>
        <cdr:cNvSpPr txBox="1"/>
      </cdr:nvSpPr>
      <cdr:spPr>
        <a:xfrm xmlns:a="http://schemas.openxmlformats.org/drawingml/2006/main">
          <a:off x="0" y="5062981"/>
          <a:ext cx="7995000" cy="800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</a:t>
          </a:r>
          <a:r>
            <a:rPr lang="en-IE" sz="1200" baseline="30000">
              <a:latin typeface="Arial" panose="020B0604020202020204" pitchFamily="34" charset="0"/>
            </a:rPr>
            <a:t>1</a:t>
          </a:r>
          <a:r>
            <a:rPr lang="en-IE" sz="1200">
              <a:latin typeface="Arial" panose="020B0604020202020204" pitchFamily="34" charset="0"/>
            </a:rPr>
            <a:t>): Data for 2021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Data extraction for GDP (nama_10_gdp) on 27 March 2025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Source: Eurostat (online data code: env_esst_gg)</a:t>
          </a:r>
        </a:p>
        <a:p xmlns:a="http://schemas.openxmlformats.org/drawingml/2006/main">
          <a:endParaRPr lang="en-IE" sz="1200">
            <a:latin typeface="Arial" panose="020B0604020202020204" pitchFamily="34" charset="0"/>
          </a:endParaRPr>
        </a:p>
      </cdr:txBody>
    </cdr:sp>
  </cdr:absSizeAnchor>
  <cdr:absSizeAnchor xmlns:cdr="http://schemas.openxmlformats.org/drawingml/2006/chartDrawing">
    <cdr:from>
      <cdr:x>0.83936</cdr:x>
      <cdr:y>0.92583</cdr:y>
    </cdr:from>
    <cdr:ext cx="1530099" cy="420623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0411B455-60EF-043C-0C9F-584B92CECFC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250429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20</xdr:row>
      <xdr:rowOff>163831</xdr:rowOff>
    </xdr:from>
    <xdr:to>
      <xdr:col>13</xdr:col>
      <xdr:colOff>375285</xdr:colOff>
      <xdr:row>56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4486B-C7AC-5706-434C-EF6C452ED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0.0015</cdr:x>
      <cdr:y>0.87534</cdr:y>
    </cdr:from>
    <cdr:ext cx="7995000" cy="661912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3FD02C3F-9D00-09AE-4966-7B8BEF079639}"/>
            </a:ext>
          </a:extLst>
        </cdr:cNvPr>
        <cdr:cNvSpPr txBox="1"/>
      </cdr:nvSpPr>
      <cdr:spPr>
        <a:xfrm xmlns:a="http://schemas.openxmlformats.org/drawingml/2006/main">
          <a:off x="15240" y="5144284"/>
          <a:ext cx="7995000" cy="661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</a:t>
          </a:r>
          <a:r>
            <a:rPr lang="en-IE" sz="1200" baseline="30000">
              <a:latin typeface="Arial" panose="020B0604020202020204" pitchFamily="34" charset="0"/>
            </a:rPr>
            <a:t>1</a:t>
          </a:r>
          <a:r>
            <a:rPr lang="en-IE" sz="1200">
              <a:latin typeface="Arial" panose="020B0604020202020204" pitchFamily="34" charset="0"/>
            </a:rPr>
            <a:t>): For the representation of ‘Sum of reporting countries’ in the figure, values by reporting countries are summed up for each economic activity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Source: Eurostat (online data code: env_esst_ggcp)</a:t>
          </a:r>
        </a:p>
      </cdr:txBody>
    </cdr:sp>
  </cdr:absSizeAnchor>
  <cdr:absSizeAnchor xmlns:cdr="http://schemas.openxmlformats.org/drawingml/2006/chartDrawing">
    <cdr:from>
      <cdr:x>0.83936</cdr:x>
      <cdr:y>0.92554</cdr:y>
    </cdr:from>
    <cdr:ext cx="1530099" cy="420625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651A993E-93CE-7F39-48C5-6FB1CBF9901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228596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657225</xdr:colOff>
      <xdr:row>20</xdr:row>
      <xdr:rowOff>0</xdr:rowOff>
    </xdr:from>
    <xdr:to>
      <xdr:col>16</xdr:col>
      <xdr:colOff>276225</xdr:colOff>
      <xdr:row>54</xdr:row>
      <xdr:rowOff>18555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D2F621-CBC2-E64F-6602-F01514FAD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absSizeAnchor xmlns:cdr="http://schemas.openxmlformats.org/drawingml/2006/chartDrawing">
    <cdr:from>
      <cdr:x>0</cdr:x>
      <cdr:y>0.86655</cdr:y>
    </cdr:from>
    <cdr:ext cx="7995000" cy="661912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9AD4BE45-F286-4C65-12B9-5B50D305DFD3}"/>
            </a:ext>
          </a:extLst>
        </cdr:cNvPr>
        <cdr:cNvSpPr txBox="1"/>
      </cdr:nvSpPr>
      <cdr:spPr>
        <a:xfrm xmlns:a="http://schemas.openxmlformats.org/drawingml/2006/main">
          <a:off x="0" y="4955195"/>
          <a:ext cx="7995000" cy="661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</a:t>
          </a:r>
          <a:r>
            <a:rPr lang="en-IE" sz="1200" baseline="30000">
              <a:latin typeface="Arial" panose="020B0604020202020204" pitchFamily="34" charset="0"/>
            </a:rPr>
            <a:t>1</a:t>
          </a:r>
          <a:r>
            <a:rPr lang="en-IE" sz="1200">
              <a:latin typeface="Arial" panose="020B0604020202020204" pitchFamily="34" charset="0"/>
            </a:rPr>
            <a:t>): For the representation of ‘Sum of reporting countries’ in the figure, values by reporting countries are summed up for each economic activity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Source: Eurostat (online data code: env_esst_ggcp)</a:t>
          </a:r>
        </a:p>
      </cdr:txBody>
    </cdr:sp>
  </cdr:absSizeAnchor>
  <cdr:absSizeAnchor xmlns:cdr="http://schemas.openxmlformats.org/drawingml/2006/chartDrawing">
    <cdr:from>
      <cdr:x>0.83936</cdr:x>
      <cdr:y>0.92386</cdr:y>
    </cdr:from>
    <cdr:ext cx="1530099" cy="42062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6760385B-D268-8F63-0DFF-0EF57139B56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103380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729615</xdr:colOff>
      <xdr:row>14</xdr:row>
      <xdr:rowOff>28576</xdr:rowOff>
    </xdr:from>
    <xdr:to>
      <xdr:col>10</xdr:col>
      <xdr:colOff>447675</xdr:colOff>
      <xdr:row>50</xdr:row>
      <xdr:rowOff>153949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B98CED-3854-DB29-946B-9ADEADF69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absSizeAnchor xmlns:cdr="http://schemas.openxmlformats.org/drawingml/2006/chartDrawing">
    <cdr:from>
      <cdr:x>0</cdr:x>
      <cdr:y>0.84132</cdr:y>
    </cdr:from>
    <cdr:ext cx="7995000" cy="800476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A66A6F87-685D-C7C1-BEA0-4ADF20E1C867}"/>
            </a:ext>
          </a:extLst>
        </cdr:cNvPr>
        <cdr:cNvSpPr txBox="1"/>
      </cdr:nvSpPr>
      <cdr:spPr>
        <a:xfrm xmlns:a="http://schemas.openxmlformats.org/drawingml/2006/main">
          <a:off x="0" y="5182901"/>
          <a:ext cx="7995000" cy="800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</a:t>
          </a:r>
          <a:r>
            <a:rPr lang="en-IE" sz="1200" baseline="30000">
              <a:latin typeface="Arial" panose="020B0604020202020204" pitchFamily="34" charset="0"/>
            </a:rPr>
            <a:t>1</a:t>
          </a:r>
          <a:r>
            <a:rPr lang="en-IE" sz="1200">
              <a:latin typeface="Arial" panose="020B0604020202020204" pitchFamily="34" charset="0"/>
            </a:rPr>
            <a:t>): Only environment protection activities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(</a:t>
          </a:r>
          <a:r>
            <a:rPr lang="en-IE" sz="1200" baseline="30000">
              <a:latin typeface="Arial" panose="020B0604020202020204" pitchFamily="34" charset="0"/>
            </a:rPr>
            <a:t>2</a:t>
          </a:r>
          <a:r>
            <a:rPr lang="en-IE" sz="1200">
              <a:latin typeface="Arial" panose="020B0604020202020204" pitchFamily="34" charset="0"/>
            </a:rPr>
            <a:t>): For the representation of ‘Sum of reporting countries’ in the figure, values by reporting countries are summed up for each economic activity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Source: Eurostat (online data codes: env_esst_gg, env_esst_rw)</a:t>
          </a:r>
        </a:p>
      </cdr:txBody>
    </cdr:sp>
  </cdr:absSizeAnchor>
  <cdr:absSizeAnchor xmlns:cdr="http://schemas.openxmlformats.org/drawingml/2006/chartDrawing">
    <cdr:from>
      <cdr:x>0.83936</cdr:x>
      <cdr:y>0.92936</cdr:y>
    </cdr:from>
    <cdr:ext cx="1530099" cy="420625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9AA81E73-B01A-BE90-73F2-1D565FE84AA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534048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opLeftCell="A13" workbookViewId="0">
      <selection activeCell="C8" sqref="C8"/>
    </sheetView>
  </sheetViews>
  <sheetFormatPr defaultColWidth="11.42578125" defaultRowHeight="12.75" x14ac:dyDescent="0.2"/>
  <cols>
    <col min="1" max="16384" width="11.42578125" style="1"/>
  </cols>
  <sheetData>
    <row r="1" spans="1:1" x14ac:dyDescent="0.2">
      <c r="A1" s="1" t="s">
        <v>102</v>
      </c>
    </row>
    <row r="2" spans="1:1" x14ac:dyDescent="0.2">
      <c r="A2" s="1" t="s">
        <v>103</v>
      </c>
    </row>
    <row r="3" spans="1:1" x14ac:dyDescent="0.2">
      <c r="A3" s="48">
        <v>45743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opLeftCell="F1" zoomScaleNormal="100" workbookViewId="0">
      <selection activeCell="Y15" sqref="Y15"/>
    </sheetView>
  </sheetViews>
  <sheetFormatPr defaultColWidth="11.42578125" defaultRowHeight="12.75" x14ac:dyDescent="0.2"/>
  <cols>
    <col min="1" max="1" width="3.7109375" style="1" bestFit="1" customWidth="1"/>
    <col min="2" max="2" width="5" style="1" bestFit="1" customWidth="1"/>
    <col min="3" max="3" width="42.7109375" style="1" bestFit="1" customWidth="1"/>
    <col min="4" max="4" width="14.28515625" style="1" bestFit="1" customWidth="1"/>
    <col min="5" max="16384" width="11.42578125" style="1"/>
  </cols>
  <sheetData>
    <row r="1" spans="1:7" ht="25.5" x14ac:dyDescent="0.2">
      <c r="A1" s="5" t="s">
        <v>0</v>
      </c>
      <c r="B1" s="5" t="s">
        <v>1</v>
      </c>
      <c r="C1" s="12" t="s">
        <v>65</v>
      </c>
      <c r="D1" s="5" t="s">
        <v>48</v>
      </c>
      <c r="F1" s="17" t="s">
        <v>116</v>
      </c>
    </row>
    <row r="2" spans="1:7" ht="15.75" customHeight="1" x14ac:dyDescent="0.2">
      <c r="A2" s="8" t="s">
        <v>8</v>
      </c>
      <c r="B2" s="1">
        <v>2022</v>
      </c>
      <c r="C2" s="32">
        <v>1.3914500000000001</v>
      </c>
      <c r="D2" s="15" t="s">
        <v>67</v>
      </c>
    </row>
    <row r="3" spans="1:7" ht="15.75" customHeight="1" x14ac:dyDescent="0.2">
      <c r="A3" s="10" t="s">
        <v>104</v>
      </c>
      <c r="B3" s="1">
        <v>2022</v>
      </c>
      <c r="C3" s="33">
        <v>1.3879999999999999</v>
      </c>
      <c r="D3" s="16" t="s">
        <v>106</v>
      </c>
      <c r="F3" s="4"/>
    </row>
    <row r="4" spans="1:7" x14ac:dyDescent="0.2">
      <c r="A4" s="10" t="s">
        <v>105</v>
      </c>
      <c r="B4" s="1">
        <v>2022</v>
      </c>
      <c r="C4" s="33">
        <v>1.20946</v>
      </c>
      <c r="D4" s="16" t="s">
        <v>107</v>
      </c>
      <c r="F4" s="4"/>
    </row>
    <row r="5" spans="1:7" x14ac:dyDescent="0.2">
      <c r="A5" s="10" t="s">
        <v>17</v>
      </c>
      <c r="B5" s="1">
        <v>2022</v>
      </c>
      <c r="C5" s="33">
        <v>0.89611999999999992</v>
      </c>
      <c r="D5" s="16" t="s">
        <v>58</v>
      </c>
      <c r="F5" s="4" t="s">
        <v>126</v>
      </c>
    </row>
    <row r="6" spans="1:7" ht="16.149999999999999" customHeight="1" x14ac:dyDescent="0.2">
      <c r="A6" s="10" t="s">
        <v>4</v>
      </c>
      <c r="B6" s="1">
        <v>2022</v>
      </c>
      <c r="C6" s="33">
        <v>0.84397</v>
      </c>
      <c r="D6" s="16" t="s">
        <v>50</v>
      </c>
      <c r="F6" s="30" t="s">
        <v>94</v>
      </c>
    </row>
    <row r="7" spans="1:7" x14ac:dyDescent="0.2">
      <c r="A7" s="10" t="s">
        <v>2</v>
      </c>
      <c r="B7" s="1">
        <v>2022</v>
      </c>
      <c r="C7" s="33">
        <v>0.80823</v>
      </c>
      <c r="D7" s="16" t="s">
        <v>49</v>
      </c>
    </row>
    <row r="8" spans="1:7" x14ac:dyDescent="0.2">
      <c r="A8" s="10" t="s">
        <v>19</v>
      </c>
      <c r="B8" s="1">
        <v>2022</v>
      </c>
      <c r="C8" s="33">
        <v>0.71525000000000005</v>
      </c>
      <c r="D8" s="16" t="s">
        <v>60</v>
      </c>
    </row>
    <row r="9" spans="1:7" x14ac:dyDescent="0.2">
      <c r="A9" s="10" t="s">
        <v>5</v>
      </c>
      <c r="B9" s="1">
        <v>2022</v>
      </c>
      <c r="C9" s="33">
        <v>0.56523000000000001</v>
      </c>
      <c r="D9" s="16" t="s">
        <v>51</v>
      </c>
      <c r="G9" s="7"/>
    </row>
    <row r="10" spans="1:7" x14ac:dyDescent="0.2">
      <c r="A10" s="10" t="s">
        <v>20</v>
      </c>
      <c r="B10" s="1">
        <v>2022</v>
      </c>
      <c r="C10" s="33">
        <v>0.53895000000000004</v>
      </c>
      <c r="D10" s="16" t="s">
        <v>61</v>
      </c>
    </row>
    <row r="11" spans="1:7" x14ac:dyDescent="0.2">
      <c r="A11" s="10" t="s">
        <v>16</v>
      </c>
      <c r="B11" s="1">
        <v>2022</v>
      </c>
      <c r="C11" s="33">
        <v>0.47807999999999995</v>
      </c>
      <c r="D11" s="16" t="s">
        <v>57</v>
      </c>
    </row>
    <row r="12" spans="1:7" x14ac:dyDescent="0.2">
      <c r="A12" s="10" t="s">
        <v>18</v>
      </c>
      <c r="B12" s="1">
        <v>2022</v>
      </c>
      <c r="C12" s="33">
        <v>0.43286000000000002</v>
      </c>
      <c r="D12" s="16" t="s">
        <v>59</v>
      </c>
    </row>
    <row r="13" spans="1:7" x14ac:dyDescent="0.2">
      <c r="A13" s="10" t="s">
        <v>13</v>
      </c>
      <c r="B13" s="1">
        <v>2022</v>
      </c>
      <c r="C13" s="33">
        <v>0.31838999999999995</v>
      </c>
      <c r="D13" s="16" t="s">
        <v>66</v>
      </c>
    </row>
    <row r="14" spans="1:7" x14ac:dyDescent="0.2">
      <c r="A14" s="10" t="s">
        <v>11</v>
      </c>
      <c r="B14" s="1">
        <v>2022</v>
      </c>
      <c r="C14" s="33">
        <v>0.29724</v>
      </c>
      <c r="D14" s="16" t="s">
        <v>53</v>
      </c>
    </row>
    <row r="15" spans="1:7" x14ac:dyDescent="0.2">
      <c r="A15" s="10" t="s">
        <v>14</v>
      </c>
      <c r="B15" s="1">
        <v>2022</v>
      </c>
      <c r="C15" s="33">
        <v>0.29494999999999999</v>
      </c>
      <c r="D15" s="16" t="s">
        <v>55</v>
      </c>
    </row>
    <row r="16" spans="1:7" x14ac:dyDescent="0.2">
      <c r="A16" s="10" t="s">
        <v>22</v>
      </c>
      <c r="B16" s="1">
        <v>2022</v>
      </c>
      <c r="C16" s="33">
        <v>0.28093000000000001</v>
      </c>
      <c r="D16" s="16" t="s">
        <v>63</v>
      </c>
    </row>
    <row r="17" spans="1:4" x14ac:dyDescent="0.2">
      <c r="A17" s="10" t="s">
        <v>21</v>
      </c>
      <c r="B17" s="1">
        <v>2022</v>
      </c>
      <c r="C17" s="33">
        <v>0.27627000000000002</v>
      </c>
      <c r="D17" s="16" t="s">
        <v>62</v>
      </c>
    </row>
    <row r="18" spans="1:4" x14ac:dyDescent="0.2">
      <c r="A18" s="10" t="s">
        <v>10</v>
      </c>
      <c r="B18" s="1">
        <v>2022</v>
      </c>
      <c r="C18" s="33">
        <v>0.22083</v>
      </c>
      <c r="D18" s="16" t="s">
        <v>52</v>
      </c>
    </row>
    <row r="19" spans="1:4" x14ac:dyDescent="0.2">
      <c r="A19" s="1" t="s">
        <v>12</v>
      </c>
      <c r="B19" s="1">
        <v>2022</v>
      </c>
      <c r="C19" s="34">
        <v>7.8399999999999997E-2</v>
      </c>
      <c r="D19" s="16" t="s">
        <v>54</v>
      </c>
    </row>
    <row r="21" spans="1:4" x14ac:dyDescent="0.2">
      <c r="A21" s="10" t="s">
        <v>6</v>
      </c>
      <c r="B21" s="1">
        <v>2022</v>
      </c>
      <c r="C21" s="33">
        <v>0.44133</v>
      </c>
      <c r="D21" s="16" t="s">
        <v>68</v>
      </c>
    </row>
    <row r="22" spans="1:4" x14ac:dyDescent="0.2">
      <c r="A22" s="35" t="s">
        <v>15</v>
      </c>
      <c r="B22" s="35">
        <v>2022</v>
      </c>
      <c r="C22" s="36">
        <v>0.19628000000000001</v>
      </c>
      <c r="D22" s="37" t="s">
        <v>56</v>
      </c>
    </row>
    <row r="28" spans="1:4" ht="15.75" customHeight="1" x14ac:dyDescent="0.2"/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"/>
  <sheetViews>
    <sheetView topLeftCell="B1" zoomScaleNormal="100" workbookViewId="0">
      <selection activeCell="G25" sqref="G25"/>
    </sheetView>
  </sheetViews>
  <sheetFormatPr defaultColWidth="11.42578125" defaultRowHeight="12.75" x14ac:dyDescent="0.2"/>
  <cols>
    <col min="1" max="1" width="11.42578125" style="1"/>
    <col min="2" max="2" width="12.5703125" style="1" bestFit="1" customWidth="1"/>
    <col min="3" max="7" width="15.140625" style="1" customWidth="1"/>
    <col min="8" max="16384" width="11.42578125" style="1"/>
  </cols>
  <sheetData>
    <row r="1" spans="1:19" x14ac:dyDescent="0.2">
      <c r="A1" s="6" t="s">
        <v>0</v>
      </c>
      <c r="B1" s="6" t="s">
        <v>48</v>
      </c>
      <c r="C1" s="6" t="s">
        <v>23</v>
      </c>
      <c r="D1" s="6" t="s">
        <v>24</v>
      </c>
      <c r="E1" s="6" t="s">
        <v>9</v>
      </c>
      <c r="F1" s="6" t="s">
        <v>3</v>
      </c>
      <c r="G1" s="6" t="s">
        <v>7</v>
      </c>
      <c r="I1" s="2" t="s">
        <v>69</v>
      </c>
      <c r="J1" s="17" t="s">
        <v>108</v>
      </c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 x14ac:dyDescent="0.2">
      <c r="A2" s="1" t="s">
        <v>11</v>
      </c>
      <c r="B2" s="11" t="s">
        <v>53</v>
      </c>
      <c r="C2" s="38">
        <v>0.25744</v>
      </c>
      <c r="D2" s="38">
        <v>0.23765</v>
      </c>
      <c r="E2" s="38">
        <v>0.31517000000000001</v>
      </c>
      <c r="F2" s="38">
        <v>0.31859000000000004</v>
      </c>
      <c r="G2" s="38">
        <v>0.29724</v>
      </c>
      <c r="I2" s="2" t="s">
        <v>70</v>
      </c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1" t="s">
        <v>19</v>
      </c>
      <c r="B3" s="11" t="s">
        <v>60</v>
      </c>
      <c r="C3" s="38">
        <v>0.92501999999999995</v>
      </c>
      <c r="D3" s="38">
        <v>0.73510000000000009</v>
      </c>
      <c r="E3" s="38">
        <v>0.79887000000000008</v>
      </c>
      <c r="F3" s="38">
        <v>0.71853999999999996</v>
      </c>
      <c r="G3" s="38">
        <v>0.71525000000000005</v>
      </c>
      <c r="I3" s="2"/>
      <c r="J3" s="4" t="s">
        <v>126</v>
      </c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1" t="s">
        <v>12</v>
      </c>
      <c r="B4" s="11" t="s">
        <v>54</v>
      </c>
      <c r="C4" s="38">
        <v>0.50729000000000002</v>
      </c>
      <c r="D4" s="38">
        <v>0.44611000000000001</v>
      </c>
      <c r="E4" s="38">
        <v>0.51171999999999995</v>
      </c>
      <c r="F4" s="38">
        <v>0.39263999999999999</v>
      </c>
      <c r="G4" s="38">
        <v>7.8399999999999997E-2</v>
      </c>
      <c r="I4" s="2"/>
      <c r="J4" s="3" t="s">
        <v>95</v>
      </c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1" t="s">
        <v>104</v>
      </c>
      <c r="B5" s="11" t="s">
        <v>106</v>
      </c>
      <c r="C5" s="34">
        <v>0</v>
      </c>
      <c r="D5" s="34">
        <v>0</v>
      </c>
      <c r="E5" s="34">
        <v>0</v>
      </c>
      <c r="F5" s="34">
        <v>0</v>
      </c>
      <c r="G5" s="34">
        <v>1.3879999999999999</v>
      </c>
    </row>
    <row r="6" spans="1:19" x14ac:dyDescent="0.2">
      <c r="A6" s="1" t="s">
        <v>14</v>
      </c>
      <c r="B6" s="11" t="s">
        <v>55</v>
      </c>
      <c r="C6" s="38">
        <v>0.35545000000000004</v>
      </c>
      <c r="D6" s="38">
        <v>0.29436999999999997</v>
      </c>
      <c r="E6" s="38">
        <v>0.28142</v>
      </c>
      <c r="F6" s="38">
        <v>0.31947999999999999</v>
      </c>
      <c r="G6" s="38">
        <v>0.29494999999999999</v>
      </c>
    </row>
    <row r="7" spans="1:19" x14ac:dyDescent="0.2">
      <c r="A7" s="1" t="s">
        <v>13</v>
      </c>
      <c r="B7" s="11" t="s">
        <v>66</v>
      </c>
      <c r="C7" s="38">
        <v>0.30786999999999998</v>
      </c>
      <c r="D7" s="38">
        <v>0.33115</v>
      </c>
      <c r="E7" s="38">
        <v>0.29268</v>
      </c>
      <c r="F7" s="38">
        <v>0.35558999999999996</v>
      </c>
      <c r="G7" s="38">
        <v>0.31838999999999995</v>
      </c>
    </row>
    <row r="8" spans="1:19" x14ac:dyDescent="0.2">
      <c r="A8" s="1" t="s">
        <v>2</v>
      </c>
      <c r="B8" s="11" t="s">
        <v>49</v>
      </c>
      <c r="C8" s="34">
        <v>0</v>
      </c>
      <c r="D8" s="34">
        <v>0</v>
      </c>
      <c r="E8" s="34">
        <v>0.99304999999999999</v>
      </c>
      <c r="F8" s="34">
        <v>0.82374000000000003</v>
      </c>
      <c r="G8" s="34">
        <v>0.80823</v>
      </c>
    </row>
    <row r="9" spans="1:19" x14ac:dyDescent="0.2">
      <c r="A9" s="1" t="s">
        <v>105</v>
      </c>
      <c r="B9" s="11" t="s">
        <v>107</v>
      </c>
      <c r="C9" s="38">
        <v>1.6400600000000001</v>
      </c>
      <c r="D9" s="38">
        <v>1.7624300000000002</v>
      </c>
      <c r="E9" s="38">
        <v>1.9056999999999999</v>
      </c>
      <c r="F9" s="38">
        <v>1.4113099999999998</v>
      </c>
      <c r="G9" s="38">
        <v>1.20946</v>
      </c>
    </row>
    <row r="10" spans="1:19" x14ac:dyDescent="0.2">
      <c r="A10" s="1" t="s">
        <v>20</v>
      </c>
      <c r="B10" s="11" t="s">
        <v>61</v>
      </c>
      <c r="C10" s="38">
        <v>0.60324</v>
      </c>
      <c r="D10" s="38">
        <v>0.73502000000000001</v>
      </c>
      <c r="E10" s="38">
        <v>0.72143999999999997</v>
      </c>
      <c r="F10" s="38">
        <v>0.58977999999999997</v>
      </c>
      <c r="G10" s="38">
        <v>0.53895000000000004</v>
      </c>
    </row>
    <row r="11" spans="1:19" x14ac:dyDescent="0.2">
      <c r="A11" s="1" t="s">
        <v>21</v>
      </c>
      <c r="B11" s="11" t="s">
        <v>62</v>
      </c>
      <c r="C11" s="38">
        <v>0.31131999999999999</v>
      </c>
      <c r="D11" s="38">
        <v>0.29642999999999997</v>
      </c>
      <c r="E11" s="38">
        <v>0.31544</v>
      </c>
      <c r="F11" s="38">
        <v>0.29987000000000003</v>
      </c>
      <c r="G11" s="38">
        <v>0.27627000000000002</v>
      </c>
    </row>
    <row r="12" spans="1:19" x14ac:dyDescent="0.2">
      <c r="A12" s="1" t="s">
        <v>4</v>
      </c>
      <c r="B12" s="11" t="s">
        <v>50</v>
      </c>
      <c r="C12" s="38">
        <v>0.94650000000000001</v>
      </c>
      <c r="D12" s="38">
        <v>0.9487000000000001</v>
      </c>
      <c r="E12" s="38">
        <v>0.9696800000000001</v>
      </c>
      <c r="F12" s="38">
        <v>0.89</v>
      </c>
      <c r="G12" s="38">
        <v>0.84397</v>
      </c>
    </row>
    <row r="13" spans="1:19" x14ac:dyDescent="0.2">
      <c r="A13" s="1" t="s">
        <v>5</v>
      </c>
      <c r="B13" s="11" t="s">
        <v>51</v>
      </c>
      <c r="C13" s="38">
        <v>0</v>
      </c>
      <c r="D13" s="38">
        <v>0.58177999999999996</v>
      </c>
      <c r="E13" s="38">
        <v>0.59126000000000001</v>
      </c>
      <c r="F13" s="38">
        <v>0.69701000000000002</v>
      </c>
      <c r="G13" s="38">
        <v>0.56523000000000001</v>
      </c>
    </row>
    <row r="14" spans="1:19" x14ac:dyDescent="0.2">
      <c r="A14" s="1" t="s">
        <v>8</v>
      </c>
      <c r="B14" s="11" t="s">
        <v>67</v>
      </c>
      <c r="C14" s="38">
        <v>0</v>
      </c>
      <c r="D14" s="38">
        <v>0.39906999999999998</v>
      </c>
      <c r="E14" s="38">
        <v>0.44268999999999997</v>
      </c>
      <c r="F14" s="38">
        <v>0.26949000000000001</v>
      </c>
      <c r="G14" s="38">
        <v>1.3914500000000001</v>
      </c>
    </row>
    <row r="15" spans="1:19" x14ac:dyDescent="0.2">
      <c r="A15" s="1" t="s">
        <v>16</v>
      </c>
      <c r="B15" s="11" t="s">
        <v>57</v>
      </c>
      <c r="C15" s="38">
        <v>0.31767000000000001</v>
      </c>
      <c r="D15" s="38">
        <v>0.31259999999999999</v>
      </c>
      <c r="E15" s="38">
        <v>0.33167000000000002</v>
      </c>
      <c r="F15" s="38">
        <v>0.49143000000000003</v>
      </c>
      <c r="G15" s="38">
        <v>0.47807999999999995</v>
      </c>
    </row>
    <row r="16" spans="1:19" x14ac:dyDescent="0.2">
      <c r="A16" s="1" t="s">
        <v>17</v>
      </c>
      <c r="B16" s="11" t="s">
        <v>58</v>
      </c>
      <c r="C16" s="38">
        <v>2.2977799999999999</v>
      </c>
      <c r="D16" s="38">
        <v>1.28386</v>
      </c>
      <c r="E16" s="38">
        <v>0.83648999999999996</v>
      </c>
      <c r="F16" s="38">
        <v>0.96506000000000003</v>
      </c>
      <c r="G16" s="38">
        <v>0.89611999999999992</v>
      </c>
    </row>
    <row r="17" spans="1:7" x14ac:dyDescent="0.2">
      <c r="A17" s="1" t="s">
        <v>22</v>
      </c>
      <c r="B17" s="11" t="s">
        <v>63</v>
      </c>
      <c r="C17" s="38">
        <v>0.20293</v>
      </c>
      <c r="D17" s="38">
        <v>0.22724</v>
      </c>
      <c r="E17" s="38">
        <v>0.26455000000000001</v>
      </c>
      <c r="F17" s="38">
        <v>0.24513000000000001</v>
      </c>
      <c r="G17" s="38">
        <v>0.28093000000000001</v>
      </c>
    </row>
    <row r="18" spans="1:7" x14ac:dyDescent="0.2">
      <c r="A18" s="1" t="s">
        <v>10</v>
      </c>
      <c r="B18" s="11" t="s">
        <v>52</v>
      </c>
      <c r="C18" s="38">
        <v>0.29632999999999998</v>
      </c>
      <c r="D18" s="38">
        <v>0.28378999999999999</v>
      </c>
      <c r="E18" s="38">
        <v>0.36286000000000002</v>
      </c>
      <c r="F18" s="38">
        <v>0.31129000000000001</v>
      </c>
      <c r="G18" s="38">
        <v>0.22083</v>
      </c>
    </row>
    <row r="19" spans="1:7" x14ac:dyDescent="0.2">
      <c r="A19" s="1" t="s">
        <v>18</v>
      </c>
      <c r="B19" s="11" t="s">
        <v>59</v>
      </c>
      <c r="C19" s="38">
        <v>0.29698000000000002</v>
      </c>
      <c r="D19" s="38">
        <v>0.25107999999999997</v>
      </c>
      <c r="E19" s="38">
        <v>0.29212000000000005</v>
      </c>
      <c r="F19" s="38">
        <v>0.36537999999999998</v>
      </c>
      <c r="G19" s="38">
        <v>0.43286000000000002</v>
      </c>
    </row>
    <row r="21" spans="1:7" x14ac:dyDescent="0.2">
      <c r="A21" s="1" t="s">
        <v>6</v>
      </c>
      <c r="B21" s="11" t="s">
        <v>68</v>
      </c>
      <c r="C21" s="38">
        <v>0.51219999999999999</v>
      </c>
      <c r="D21" s="38">
        <v>0.51251999999999998</v>
      </c>
      <c r="E21" s="38">
        <v>0.57316999999999996</v>
      </c>
      <c r="F21" s="38">
        <v>0.50953999999999999</v>
      </c>
      <c r="G21" s="38">
        <v>0.44133</v>
      </c>
    </row>
    <row r="22" spans="1:7" x14ac:dyDescent="0.2">
      <c r="A22" s="35" t="s">
        <v>15</v>
      </c>
      <c r="B22" s="39" t="s">
        <v>56</v>
      </c>
      <c r="C22" s="40">
        <v>0.13752</v>
      </c>
      <c r="D22" s="40">
        <v>0.17524999999999999</v>
      </c>
      <c r="E22" s="40">
        <v>0.22706999999999999</v>
      </c>
      <c r="F22" s="40">
        <v>0.25155</v>
      </c>
      <c r="G22" s="40">
        <v>0.19628000000000001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topLeftCell="D1" zoomScaleNormal="100" workbookViewId="0">
      <selection activeCell="I9" sqref="I9"/>
    </sheetView>
  </sheetViews>
  <sheetFormatPr defaultColWidth="11.42578125" defaultRowHeight="12.75" x14ac:dyDescent="0.2"/>
  <cols>
    <col min="1" max="1" width="11.42578125" style="1"/>
    <col min="2" max="2" width="14.7109375" style="1" bestFit="1" customWidth="1"/>
    <col min="3" max="3" width="5" style="1" bestFit="1" customWidth="1"/>
    <col min="4" max="4" width="12.85546875" style="1" bestFit="1" customWidth="1"/>
    <col min="5" max="5" width="25.28515625" style="1" bestFit="1" customWidth="1"/>
    <col min="6" max="6" width="9.5703125" style="1" bestFit="1" customWidth="1"/>
    <col min="7" max="7" width="8.85546875" style="1" bestFit="1" customWidth="1"/>
    <col min="8" max="16384" width="11.42578125" style="1"/>
  </cols>
  <sheetData>
    <row r="1" spans="1:10" x14ac:dyDescent="0.2">
      <c r="A1" s="6" t="s">
        <v>0</v>
      </c>
      <c r="B1" s="6" t="s">
        <v>48</v>
      </c>
      <c r="C1" s="6" t="s">
        <v>1</v>
      </c>
      <c r="D1" s="6" t="s">
        <v>72</v>
      </c>
      <c r="E1" s="6" t="s">
        <v>71</v>
      </c>
      <c r="F1" s="6" t="s">
        <v>73</v>
      </c>
      <c r="G1" s="6" t="s">
        <v>27</v>
      </c>
      <c r="I1" s="2"/>
      <c r="J1" s="17" t="s">
        <v>110</v>
      </c>
    </row>
    <row r="2" spans="1:10" ht="15.75" customHeight="1" x14ac:dyDescent="0.2">
      <c r="A2" s="1" t="s">
        <v>8</v>
      </c>
      <c r="B2" s="7" t="s">
        <v>67</v>
      </c>
      <c r="C2" s="1">
        <v>2022</v>
      </c>
      <c r="D2" s="34">
        <v>0</v>
      </c>
      <c r="E2" s="34">
        <v>1.3914500000000001</v>
      </c>
      <c r="F2" s="34">
        <v>1.3914500000000001</v>
      </c>
      <c r="G2" s="41">
        <v>1</v>
      </c>
      <c r="I2" s="2" t="s">
        <v>70</v>
      </c>
    </row>
    <row r="3" spans="1:10" ht="16.149999999999999" customHeight="1" x14ac:dyDescent="0.2">
      <c r="A3" s="1" t="s">
        <v>5</v>
      </c>
      <c r="B3" s="7" t="s">
        <v>51</v>
      </c>
      <c r="C3" s="1">
        <v>2022</v>
      </c>
      <c r="D3" s="34">
        <v>0</v>
      </c>
      <c r="E3" s="34">
        <v>0.56523000000000001</v>
      </c>
      <c r="F3" s="34">
        <v>0.56523000000000001</v>
      </c>
      <c r="G3" s="41">
        <v>1</v>
      </c>
      <c r="I3" s="2"/>
    </row>
    <row r="4" spans="1:10" ht="16.149999999999999" customHeight="1" x14ac:dyDescent="0.2">
      <c r="A4" s="1" t="s">
        <v>2</v>
      </c>
      <c r="B4" s="7" t="s">
        <v>49</v>
      </c>
      <c r="C4" s="1">
        <v>2022</v>
      </c>
      <c r="D4" s="34">
        <v>2.81E-3</v>
      </c>
      <c r="E4" s="34">
        <v>0.80542000000000002</v>
      </c>
      <c r="F4" s="34">
        <v>0.80823</v>
      </c>
      <c r="G4" s="41">
        <v>0.99652326689185011</v>
      </c>
      <c r="I4" s="2"/>
      <c r="J4" s="4" t="s">
        <v>109</v>
      </c>
    </row>
    <row r="5" spans="1:10" x14ac:dyDescent="0.2">
      <c r="A5" s="1" t="s">
        <v>21</v>
      </c>
      <c r="B5" s="7" t="s">
        <v>62</v>
      </c>
      <c r="C5" s="1">
        <v>2022</v>
      </c>
      <c r="D5" s="34">
        <v>1.9499999999999999E-3</v>
      </c>
      <c r="E5" s="34">
        <v>0.27432000000000001</v>
      </c>
      <c r="F5" s="34">
        <v>0.27627000000000002</v>
      </c>
      <c r="G5" s="41">
        <v>0.99294168747963951</v>
      </c>
      <c r="J5" s="4" t="s">
        <v>125</v>
      </c>
    </row>
    <row r="6" spans="1:10" x14ac:dyDescent="0.2">
      <c r="A6" s="1" t="s">
        <v>11</v>
      </c>
      <c r="B6" s="7" t="s">
        <v>53</v>
      </c>
      <c r="C6" s="1">
        <v>2022</v>
      </c>
      <c r="D6" s="34">
        <v>3.8999999999999998E-3</v>
      </c>
      <c r="E6" s="34">
        <v>0.29333999999999999</v>
      </c>
      <c r="F6" s="34">
        <v>0.29724</v>
      </c>
      <c r="G6" s="41">
        <v>0.98687928946306014</v>
      </c>
      <c r="J6" s="3" t="s">
        <v>95</v>
      </c>
    </row>
    <row r="7" spans="1:10" x14ac:dyDescent="0.2">
      <c r="A7" s="1" t="s">
        <v>13</v>
      </c>
      <c r="B7" s="7" t="s">
        <v>66</v>
      </c>
      <c r="C7" s="1">
        <v>2022</v>
      </c>
      <c r="D7" s="34">
        <v>8.5199999999999998E-3</v>
      </c>
      <c r="E7" s="34">
        <v>0.30986999999999998</v>
      </c>
      <c r="F7" s="34">
        <v>0.31838999999999995</v>
      </c>
      <c r="G7" s="41">
        <v>0.97324036558937166</v>
      </c>
    </row>
    <row r="8" spans="1:10" x14ac:dyDescent="0.2">
      <c r="A8" s="1" t="s">
        <v>4</v>
      </c>
      <c r="B8" s="7" t="s">
        <v>50</v>
      </c>
      <c r="C8" s="1">
        <v>2022</v>
      </c>
      <c r="D8" s="34">
        <v>6.2700000000000006E-2</v>
      </c>
      <c r="E8" s="34">
        <v>0.78127000000000002</v>
      </c>
      <c r="F8" s="34">
        <v>0.84397</v>
      </c>
      <c r="G8" s="41">
        <v>0.92570825977226678</v>
      </c>
    </row>
    <row r="9" spans="1:10" x14ac:dyDescent="0.2">
      <c r="A9" s="1" t="s">
        <v>14</v>
      </c>
      <c r="B9" s="7" t="s">
        <v>55</v>
      </c>
      <c r="C9" s="1">
        <v>2022</v>
      </c>
      <c r="D9" s="34">
        <v>2.5870000000000001E-2</v>
      </c>
      <c r="E9" s="34">
        <v>0.26907999999999999</v>
      </c>
      <c r="F9" s="34">
        <v>0.29494999999999999</v>
      </c>
      <c r="G9" s="41">
        <v>0.91229021868113236</v>
      </c>
    </row>
    <row r="10" spans="1:10" x14ac:dyDescent="0.2">
      <c r="A10" s="1" t="s">
        <v>18</v>
      </c>
      <c r="B10" s="7" t="s">
        <v>59</v>
      </c>
      <c r="C10" s="1">
        <v>2022</v>
      </c>
      <c r="D10" s="34">
        <v>5.4870000000000002E-2</v>
      </c>
      <c r="E10" s="34">
        <v>0.37798999999999999</v>
      </c>
      <c r="F10" s="34">
        <v>0.43286000000000002</v>
      </c>
      <c r="G10" s="41">
        <v>0.87323846047220799</v>
      </c>
    </row>
    <row r="11" spans="1:10" x14ac:dyDescent="0.2">
      <c r="A11" s="1" t="s">
        <v>12</v>
      </c>
      <c r="B11" s="7" t="s">
        <v>117</v>
      </c>
      <c r="C11" s="45" t="s">
        <v>3</v>
      </c>
      <c r="D11" s="46">
        <v>9.5259999999999997E-2</v>
      </c>
      <c r="E11" s="46">
        <v>0.29737999999999998</v>
      </c>
      <c r="F11" s="46">
        <v>0.39263999999999999</v>
      </c>
      <c r="G11" s="41">
        <v>0.75738590057049715</v>
      </c>
    </row>
    <row r="12" spans="1:10" x14ac:dyDescent="0.2">
      <c r="A12" s="1" t="s">
        <v>10</v>
      </c>
      <c r="B12" s="7" t="s">
        <v>52</v>
      </c>
      <c r="C12" s="1">
        <v>2022</v>
      </c>
      <c r="D12" s="34">
        <v>6.8080000000000002E-2</v>
      </c>
      <c r="E12" s="34">
        <v>0.15275</v>
      </c>
      <c r="F12" s="34">
        <v>0.22083</v>
      </c>
      <c r="G12" s="41">
        <v>0.69170855409138254</v>
      </c>
    </row>
    <row r="13" spans="1:10" x14ac:dyDescent="0.2">
      <c r="A13" s="1" t="s">
        <v>16</v>
      </c>
      <c r="B13" s="7" t="s">
        <v>57</v>
      </c>
      <c r="C13" s="1">
        <v>2022</v>
      </c>
      <c r="D13" s="34">
        <v>0.19397</v>
      </c>
      <c r="E13" s="34">
        <v>0.28410999999999997</v>
      </c>
      <c r="F13" s="34">
        <v>0.47807999999999995</v>
      </c>
      <c r="G13" s="41">
        <v>0.59427292503346718</v>
      </c>
    </row>
    <row r="14" spans="1:10" x14ac:dyDescent="0.2">
      <c r="A14" s="1" t="s">
        <v>105</v>
      </c>
      <c r="B14" s="7" t="s">
        <v>107</v>
      </c>
      <c r="C14" s="1">
        <v>2022</v>
      </c>
      <c r="D14" s="34">
        <v>0.55152999999999996</v>
      </c>
      <c r="E14" s="34">
        <v>0.65793000000000001</v>
      </c>
      <c r="F14" s="34">
        <v>1.20946</v>
      </c>
      <c r="G14" s="41">
        <v>0.54398657251996763</v>
      </c>
    </row>
    <row r="15" spans="1:10" x14ac:dyDescent="0.2">
      <c r="A15" s="1" t="s">
        <v>22</v>
      </c>
      <c r="B15" s="7" t="s">
        <v>63</v>
      </c>
      <c r="C15" s="1">
        <v>2022</v>
      </c>
      <c r="D15" s="34">
        <v>0.12887000000000001</v>
      </c>
      <c r="E15" s="34">
        <v>0.15206</v>
      </c>
      <c r="F15" s="34">
        <v>0.28093000000000001</v>
      </c>
      <c r="G15" s="41">
        <v>0.54127362688214142</v>
      </c>
    </row>
    <row r="16" spans="1:10" x14ac:dyDescent="0.2">
      <c r="A16" s="1" t="s">
        <v>20</v>
      </c>
      <c r="B16" s="7" t="s">
        <v>61</v>
      </c>
      <c r="C16" s="1">
        <v>2022</v>
      </c>
      <c r="D16" s="34">
        <v>0.31789000000000001</v>
      </c>
      <c r="E16" s="34">
        <v>0.22106000000000001</v>
      </c>
      <c r="F16" s="34">
        <v>0.53895000000000004</v>
      </c>
      <c r="G16" s="41">
        <v>0.41016791910195749</v>
      </c>
    </row>
    <row r="17" spans="1:7" x14ac:dyDescent="0.2">
      <c r="A17" s="1" t="s">
        <v>19</v>
      </c>
      <c r="B17" s="7" t="s">
        <v>60</v>
      </c>
      <c r="C17" s="1">
        <v>2022</v>
      </c>
      <c r="D17" s="34">
        <v>0.51160000000000005</v>
      </c>
      <c r="E17" s="34">
        <v>0.20365</v>
      </c>
      <c r="F17" s="34">
        <v>0.71525000000000005</v>
      </c>
      <c r="G17" s="41">
        <v>0.2847256204124432</v>
      </c>
    </row>
    <row r="18" spans="1:7" x14ac:dyDescent="0.2">
      <c r="A18" s="1" t="s">
        <v>104</v>
      </c>
      <c r="B18" s="7" t="s">
        <v>106</v>
      </c>
      <c r="C18" s="1">
        <v>2022</v>
      </c>
      <c r="D18" s="34">
        <v>1.01163</v>
      </c>
      <c r="E18" s="34">
        <v>0.37636999999999998</v>
      </c>
      <c r="F18" s="34">
        <v>1.3879999999999999</v>
      </c>
      <c r="G18" s="41">
        <v>0.27115994236311242</v>
      </c>
    </row>
    <row r="19" spans="1:7" x14ac:dyDescent="0.2">
      <c r="A19" s="1" t="s">
        <v>17</v>
      </c>
      <c r="B19" s="7" t="s">
        <v>58</v>
      </c>
      <c r="C19" s="1">
        <v>2022</v>
      </c>
      <c r="D19" s="34">
        <v>0.68606999999999996</v>
      </c>
      <c r="E19" s="34">
        <v>0.21004999999999999</v>
      </c>
      <c r="F19" s="34">
        <v>0.89611999999999992</v>
      </c>
      <c r="G19" s="41">
        <v>0.23439941079319734</v>
      </c>
    </row>
    <row r="21" spans="1:7" x14ac:dyDescent="0.2">
      <c r="A21" s="1" t="s">
        <v>6</v>
      </c>
      <c r="B21" s="7" t="s">
        <v>68</v>
      </c>
      <c r="C21" s="1">
        <v>2022</v>
      </c>
      <c r="D21" s="34"/>
      <c r="E21" s="34">
        <v>0.44133</v>
      </c>
      <c r="F21" s="34">
        <v>0.44133</v>
      </c>
      <c r="G21" s="41">
        <v>1</v>
      </c>
    </row>
    <row r="22" spans="1:7" x14ac:dyDescent="0.2">
      <c r="A22" s="1" t="s">
        <v>15</v>
      </c>
      <c r="B22" s="7" t="s">
        <v>56</v>
      </c>
      <c r="C22" s="1">
        <v>2022</v>
      </c>
      <c r="D22" s="34">
        <v>0</v>
      </c>
      <c r="E22" s="34">
        <v>0.19628000000000001</v>
      </c>
      <c r="F22" s="34">
        <v>0.19628000000000001</v>
      </c>
      <c r="G22" s="41">
        <v>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6"/>
  <sheetViews>
    <sheetView topLeftCell="A5" zoomScaleNormal="100" workbookViewId="0">
      <selection activeCell="D45" sqref="D45"/>
    </sheetView>
  </sheetViews>
  <sheetFormatPr defaultColWidth="11.42578125" defaultRowHeight="12.75" x14ac:dyDescent="0.2"/>
  <cols>
    <col min="1" max="1" width="7" style="1" bestFit="1" customWidth="1"/>
    <col min="2" max="2" width="13.5703125" style="1" customWidth="1"/>
    <col min="3" max="3" width="35.5703125" style="1" bestFit="1" customWidth="1"/>
    <col min="4" max="4" width="8.5703125" style="1" bestFit="1" customWidth="1"/>
    <col min="5" max="5" width="8.7109375" style="1" bestFit="1" customWidth="1"/>
    <col min="6" max="6" width="9.140625" style="1" bestFit="1" customWidth="1"/>
    <col min="7" max="8" width="8" style="1" bestFit="1" customWidth="1"/>
    <col min="9" max="9" width="7.5703125" style="1" bestFit="1" customWidth="1"/>
    <col min="10" max="10" width="9.5703125" style="1" bestFit="1" customWidth="1"/>
    <col min="11" max="11" width="12.5703125" style="1" bestFit="1" customWidth="1"/>
    <col min="12" max="12" width="7" style="1" customWidth="1"/>
    <col min="13" max="13" width="11.85546875" style="1" bestFit="1" customWidth="1"/>
    <col min="14" max="14" width="8" style="1" bestFit="1" customWidth="1"/>
    <col min="15" max="15" width="8.7109375" style="1" bestFit="1" customWidth="1"/>
    <col min="16" max="16" width="9.140625" style="1" bestFit="1" customWidth="1"/>
    <col min="17" max="17" width="9" style="1" bestFit="1" customWidth="1"/>
    <col min="18" max="18" width="7.85546875" style="1" bestFit="1" customWidth="1"/>
    <col min="19" max="19" width="8.42578125" style="1" bestFit="1" customWidth="1"/>
    <col min="20" max="20" width="7" style="1" customWidth="1"/>
    <col min="21" max="21" width="7.85546875" style="1" bestFit="1" customWidth="1"/>
    <col min="22" max="22" width="11.85546875" style="1" bestFit="1" customWidth="1"/>
    <col min="23" max="16384" width="11.42578125" style="1"/>
  </cols>
  <sheetData>
    <row r="1" spans="1:24" x14ac:dyDescent="0.2">
      <c r="A1" s="5"/>
      <c r="B1" s="20"/>
      <c r="C1" s="20">
        <v>2022</v>
      </c>
      <c r="D1" s="20"/>
      <c r="E1" s="20"/>
      <c r="F1" s="20">
        <v>2021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2">
      <c r="A2" s="19" t="s">
        <v>1</v>
      </c>
      <c r="B2" s="22" t="s">
        <v>28</v>
      </c>
      <c r="C2" s="22"/>
      <c r="D2" s="22" t="s">
        <v>11</v>
      </c>
      <c r="E2" s="22" t="s">
        <v>19</v>
      </c>
      <c r="F2" s="22" t="s">
        <v>12</v>
      </c>
      <c r="G2" s="22" t="s">
        <v>104</v>
      </c>
      <c r="H2" s="22" t="s">
        <v>14</v>
      </c>
      <c r="I2" s="22" t="s">
        <v>13</v>
      </c>
      <c r="J2" s="22" t="s">
        <v>2</v>
      </c>
      <c r="K2" s="22" t="s">
        <v>105</v>
      </c>
      <c r="L2" s="22" t="s">
        <v>20</v>
      </c>
      <c r="M2" s="22" t="s">
        <v>21</v>
      </c>
      <c r="N2" s="22" t="s">
        <v>4</v>
      </c>
      <c r="O2" s="22" t="s">
        <v>5</v>
      </c>
      <c r="P2" s="22" t="s">
        <v>8</v>
      </c>
      <c r="Q2" s="22" t="s">
        <v>16</v>
      </c>
      <c r="R2" s="22" t="s">
        <v>17</v>
      </c>
      <c r="S2" s="22" t="s">
        <v>22</v>
      </c>
      <c r="T2" s="22" t="s">
        <v>10</v>
      </c>
      <c r="U2" s="22" t="s">
        <v>18</v>
      </c>
      <c r="V2" s="22"/>
      <c r="W2" s="22" t="s">
        <v>6</v>
      </c>
      <c r="X2" s="22" t="s">
        <v>15</v>
      </c>
    </row>
    <row r="3" spans="1:24" x14ac:dyDescent="0.2">
      <c r="A3" s="19"/>
      <c r="B3" s="23"/>
      <c r="C3" s="23" t="s">
        <v>111</v>
      </c>
      <c r="D3" s="23" t="s">
        <v>53</v>
      </c>
      <c r="E3" s="23" t="s">
        <v>60</v>
      </c>
      <c r="F3" s="23" t="s">
        <v>117</v>
      </c>
      <c r="G3" s="23" t="s">
        <v>106</v>
      </c>
      <c r="H3" s="23" t="s">
        <v>55</v>
      </c>
      <c r="I3" s="23" t="s">
        <v>66</v>
      </c>
      <c r="J3" s="23" t="s">
        <v>49</v>
      </c>
      <c r="K3" s="23" t="s">
        <v>107</v>
      </c>
      <c r="L3" s="23" t="s">
        <v>61</v>
      </c>
      <c r="M3" s="23" t="s">
        <v>62</v>
      </c>
      <c r="N3" s="23" t="s">
        <v>50</v>
      </c>
      <c r="O3" s="23" t="s">
        <v>51</v>
      </c>
      <c r="P3" s="23" t="s">
        <v>67</v>
      </c>
      <c r="Q3" s="23" t="s">
        <v>57</v>
      </c>
      <c r="R3" s="23" t="s">
        <v>58</v>
      </c>
      <c r="S3" s="23" t="s">
        <v>63</v>
      </c>
      <c r="T3" s="23" t="s">
        <v>52</v>
      </c>
      <c r="U3" s="23" t="s">
        <v>59</v>
      </c>
      <c r="V3" s="23"/>
      <c r="W3" s="23" t="s">
        <v>68</v>
      </c>
      <c r="X3" s="23" t="s">
        <v>56</v>
      </c>
    </row>
    <row r="4" spans="1:24" x14ac:dyDescent="0.2">
      <c r="A4" s="1">
        <v>2022</v>
      </c>
      <c r="B4" s="8" t="s">
        <v>26</v>
      </c>
      <c r="C4" s="9" t="s">
        <v>75</v>
      </c>
      <c r="D4" s="8">
        <v>1653.0838020000001</v>
      </c>
      <c r="E4" s="8">
        <v>175.31007668999999</v>
      </c>
      <c r="F4" s="8">
        <v>1026.6758620400001</v>
      </c>
      <c r="G4" s="8">
        <v>137.158129</v>
      </c>
      <c r="H4" s="8">
        <v>1401.732</v>
      </c>
      <c r="I4" s="8">
        <v>4256.442</v>
      </c>
      <c r="J4" s="8">
        <v>544.55358920000003</v>
      </c>
      <c r="K4" s="8">
        <v>237.50962999999999</v>
      </c>
      <c r="L4" s="8">
        <v>149.11844500000001</v>
      </c>
      <c r="M4" s="8">
        <v>212.68</v>
      </c>
      <c r="N4" s="8">
        <v>142.73788200000001</v>
      </c>
      <c r="O4" s="8">
        <v>5617.364407</v>
      </c>
      <c r="P4" s="8">
        <v>6233.8175600000004</v>
      </c>
      <c r="Q4" s="8">
        <v>693.1</v>
      </c>
      <c r="R4" s="8">
        <v>591.84743415000003</v>
      </c>
      <c r="S4" s="8">
        <v>86.536089000000004</v>
      </c>
      <c r="T4" s="8">
        <v>406.51</v>
      </c>
      <c r="U4" s="8">
        <v>2085.6714816200001</v>
      </c>
      <c r="V4" s="8"/>
      <c r="W4" s="8">
        <v>3474.9443406</v>
      </c>
      <c r="X4" s="8">
        <v>1113.8261437599999</v>
      </c>
    </row>
    <row r="5" spans="1:24" x14ac:dyDescent="0.2">
      <c r="A5" s="1">
        <v>2022</v>
      </c>
      <c r="B5" s="10" t="s">
        <v>34</v>
      </c>
      <c r="C5" s="11" t="s">
        <v>80</v>
      </c>
      <c r="D5" s="10">
        <v>624.46602199999995</v>
      </c>
      <c r="E5" s="10">
        <v>123.90021679</v>
      </c>
      <c r="F5" s="10">
        <v>752.48973645000001</v>
      </c>
      <c r="G5" s="10">
        <v>105.706593</v>
      </c>
      <c r="H5" s="10">
        <v>523.73800000000006</v>
      </c>
      <c r="I5" s="10">
        <v>4171.442</v>
      </c>
      <c r="J5" s="10">
        <v>460.73803980999998</v>
      </c>
      <c r="K5" s="10">
        <v>195.962977</v>
      </c>
      <c r="L5" s="10">
        <v>62.052413999999999</v>
      </c>
      <c r="M5" s="10">
        <v>67.540000000000006</v>
      </c>
      <c r="N5" s="10">
        <v>34.390210000000003</v>
      </c>
      <c r="O5" s="10">
        <v>1671.2285589999999</v>
      </c>
      <c r="P5" s="10">
        <v>317.69640900000002</v>
      </c>
      <c r="Q5" s="10">
        <v>536.45000000000005</v>
      </c>
      <c r="R5" s="10">
        <v>238.68912498</v>
      </c>
      <c r="S5" s="10">
        <v>22.708454</v>
      </c>
      <c r="T5" s="10">
        <v>97.31</v>
      </c>
      <c r="U5" s="10">
        <v>904.97484741000005</v>
      </c>
      <c r="V5" s="10"/>
      <c r="W5" s="10">
        <v>1803.45319498</v>
      </c>
      <c r="X5" s="10">
        <v>920.00079187999995</v>
      </c>
    </row>
    <row r="6" spans="1:24" x14ac:dyDescent="0.2">
      <c r="A6" s="1">
        <v>2022</v>
      </c>
      <c r="B6" s="10" t="s">
        <v>29</v>
      </c>
      <c r="C6" s="11" t="s">
        <v>76</v>
      </c>
      <c r="D6" s="10">
        <v>773.67874500000005</v>
      </c>
      <c r="E6" s="10">
        <v>42.05749565</v>
      </c>
      <c r="F6" s="10">
        <v>0</v>
      </c>
      <c r="G6" s="10">
        <v>24.220048999999999</v>
      </c>
      <c r="H6" s="10">
        <v>612.51599999999996</v>
      </c>
      <c r="I6" s="10">
        <v>0</v>
      </c>
      <c r="J6" s="10">
        <v>43.187706730000002</v>
      </c>
      <c r="K6" s="10">
        <v>8.6938209999999998</v>
      </c>
      <c r="L6" s="10">
        <v>12.985757</v>
      </c>
      <c r="M6" s="10">
        <v>91.76</v>
      </c>
      <c r="N6" s="10">
        <v>84.733887999999993</v>
      </c>
      <c r="O6" s="10">
        <v>3688.845847</v>
      </c>
      <c r="P6" s="10">
        <v>921.87392</v>
      </c>
      <c r="Q6" s="10">
        <v>0.11</v>
      </c>
      <c r="R6" s="10">
        <v>151.81646341000001</v>
      </c>
      <c r="S6" s="10">
        <v>0</v>
      </c>
      <c r="T6" s="10">
        <v>44.12</v>
      </c>
      <c r="U6" s="10">
        <v>389.01077068000001</v>
      </c>
      <c r="V6" s="10"/>
      <c r="W6" s="10">
        <v>1360.9754782499999</v>
      </c>
      <c r="X6" s="10">
        <v>59.370855030000001</v>
      </c>
    </row>
    <row r="7" spans="1:24" x14ac:dyDescent="0.2">
      <c r="A7" s="1">
        <v>2022</v>
      </c>
      <c r="B7" s="10" t="s">
        <v>30</v>
      </c>
      <c r="C7" s="11" t="s">
        <v>77</v>
      </c>
      <c r="D7" s="10">
        <v>163.710239</v>
      </c>
      <c r="E7" s="10">
        <v>8.3714086299999995</v>
      </c>
      <c r="F7" s="10">
        <v>261.67494271999999</v>
      </c>
      <c r="G7" s="10">
        <v>4.1390459999999996</v>
      </c>
      <c r="H7" s="10">
        <v>254.88499999999999</v>
      </c>
      <c r="I7" s="10">
        <v>72.099999999999994</v>
      </c>
      <c r="J7" s="10">
        <v>38.467957349999999</v>
      </c>
      <c r="K7" s="10">
        <v>32.852831000000002</v>
      </c>
      <c r="L7" s="10">
        <v>74.080274000000003</v>
      </c>
      <c r="M7" s="10">
        <v>45.19</v>
      </c>
      <c r="N7" s="10">
        <v>22.851379000000001</v>
      </c>
      <c r="O7" s="10">
        <v>86.5</v>
      </c>
      <c r="P7" s="10">
        <v>4220.1121199999998</v>
      </c>
      <c r="Q7" s="10">
        <v>149.46</v>
      </c>
      <c r="R7" s="10">
        <v>197.56931599999999</v>
      </c>
      <c r="S7" s="10">
        <v>62.580973999999998</v>
      </c>
      <c r="T7" s="10">
        <v>228.51</v>
      </c>
      <c r="U7" s="10">
        <v>662.05776707999996</v>
      </c>
      <c r="V7" s="10"/>
      <c r="W7" s="10">
        <v>184.91162835</v>
      </c>
      <c r="X7" s="10">
        <v>56.999188330000003</v>
      </c>
    </row>
    <row r="8" spans="1:24" x14ac:dyDescent="0.2">
      <c r="A8" s="1">
        <v>2022</v>
      </c>
      <c r="B8" s="10" t="s">
        <v>31</v>
      </c>
      <c r="C8" s="11" t="s">
        <v>78</v>
      </c>
      <c r="D8" s="10">
        <v>91.228796000000003</v>
      </c>
      <c r="E8" s="10">
        <v>0.98095562000000003</v>
      </c>
      <c r="F8" s="10">
        <v>12.511182870000001</v>
      </c>
      <c r="G8" s="10">
        <v>3.0924420000000001</v>
      </c>
      <c r="H8" s="10">
        <v>10.593</v>
      </c>
      <c r="I8" s="10">
        <v>12.9</v>
      </c>
      <c r="J8" s="10">
        <v>2.1598853099999999</v>
      </c>
      <c r="K8" s="10">
        <v>0</v>
      </c>
      <c r="L8" s="10">
        <v>0</v>
      </c>
      <c r="M8" s="10">
        <v>8.19</v>
      </c>
      <c r="N8" s="10">
        <v>0.762405</v>
      </c>
      <c r="O8" s="10">
        <v>170.79</v>
      </c>
      <c r="P8" s="10">
        <v>774.13511100000005</v>
      </c>
      <c r="Q8" s="10">
        <v>7.08</v>
      </c>
      <c r="R8" s="10">
        <v>3.7725297599999998</v>
      </c>
      <c r="S8" s="10">
        <v>1.2466619999999999</v>
      </c>
      <c r="T8" s="10">
        <v>36.57</v>
      </c>
      <c r="U8" s="10">
        <v>129.62809644999999</v>
      </c>
      <c r="V8" s="10"/>
      <c r="W8" s="10">
        <v>125.60403802</v>
      </c>
      <c r="X8" s="10">
        <v>77.455308529999996</v>
      </c>
    </row>
    <row r="9" spans="1:24" x14ac:dyDescent="0.2">
      <c r="A9" s="1">
        <v>2022</v>
      </c>
      <c r="B9" s="13" t="s">
        <v>25</v>
      </c>
      <c r="C9" s="14" t="s">
        <v>79</v>
      </c>
      <c r="D9" s="13">
        <v>306.87329299999999</v>
      </c>
      <c r="E9" s="13">
        <v>0</v>
      </c>
      <c r="F9" s="13">
        <v>181.71650101</v>
      </c>
      <c r="G9" s="13">
        <v>0</v>
      </c>
      <c r="H9" s="13">
        <v>9.4390000000000001</v>
      </c>
      <c r="I9" s="13">
        <v>0</v>
      </c>
      <c r="J9" s="13">
        <v>0</v>
      </c>
      <c r="K9" s="13">
        <v>0</v>
      </c>
      <c r="L9" s="13">
        <v>0</v>
      </c>
      <c r="M9" s="13">
        <v>26.31</v>
      </c>
      <c r="N9" s="13">
        <v>7.8775999999999999E-2</v>
      </c>
      <c r="O9" s="13">
        <v>510.39</v>
      </c>
      <c r="P9" s="13">
        <v>51.869878999999997</v>
      </c>
      <c r="Q9" s="13">
        <v>5.26</v>
      </c>
      <c r="R9" s="13">
        <v>0</v>
      </c>
      <c r="S9" s="13">
        <v>0</v>
      </c>
      <c r="T9" s="13">
        <v>69.36</v>
      </c>
      <c r="U9" s="13">
        <v>292.08545815000002</v>
      </c>
      <c r="V9" s="13"/>
      <c r="W9" s="13">
        <v>78.883134269999999</v>
      </c>
      <c r="X9" s="13">
        <v>721.23017836999998</v>
      </c>
    </row>
    <row r="12" spans="1:24" x14ac:dyDescent="0.2">
      <c r="A12" s="24" t="s">
        <v>74</v>
      </c>
      <c r="B12" s="31" t="s">
        <v>112</v>
      </c>
      <c r="C12" s="24"/>
    </row>
    <row r="13" spans="1:24" ht="15.75" customHeight="1" x14ac:dyDescent="0.2">
      <c r="A13" s="24" t="s">
        <v>70</v>
      </c>
      <c r="C13" s="2"/>
    </row>
    <row r="14" spans="1:24" ht="16.149999999999999" customHeight="1" x14ac:dyDescent="0.2">
      <c r="B14" s="4" t="s">
        <v>109</v>
      </c>
    </row>
    <row r="15" spans="1:24" x14ac:dyDescent="0.2">
      <c r="B15" s="4" t="s">
        <v>126</v>
      </c>
    </row>
    <row r="16" spans="1:24" x14ac:dyDescent="0.2">
      <c r="B16" s="3" t="s">
        <v>96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9"/>
  <sheetViews>
    <sheetView topLeftCell="B4" zoomScaleNormal="100" workbookViewId="0">
      <selection activeCell="E20" sqref="E20"/>
    </sheetView>
  </sheetViews>
  <sheetFormatPr defaultColWidth="11.42578125" defaultRowHeight="12.75" x14ac:dyDescent="0.2"/>
  <cols>
    <col min="1" max="2" width="11.42578125" style="1"/>
    <col min="3" max="3" width="23.140625" style="1" customWidth="1"/>
    <col min="4" max="4" width="8.7109375" style="1" bestFit="1" customWidth="1"/>
    <col min="5" max="5" width="8.85546875" style="1" bestFit="1" customWidth="1"/>
    <col min="6" max="6" width="9.28515625" style="1" bestFit="1" customWidth="1"/>
    <col min="7" max="8" width="8.5703125" style="1" bestFit="1" customWidth="1"/>
    <col min="9" max="9" width="9.5703125" style="1" bestFit="1" customWidth="1"/>
    <col min="10" max="10" width="11.85546875" style="1" bestFit="1" customWidth="1"/>
    <col min="11" max="11" width="12.7109375" style="1" bestFit="1" customWidth="1"/>
    <col min="12" max="12" width="11.42578125" style="1" bestFit="1" customWidth="1"/>
    <col min="13" max="13" width="12" style="1" bestFit="1" customWidth="1"/>
    <col min="14" max="15" width="9.5703125" style="1" bestFit="1" customWidth="1"/>
    <col min="16" max="16" width="9.28515625" style="1" bestFit="1" customWidth="1"/>
    <col min="17" max="17" width="9.140625" style="1" bestFit="1" customWidth="1"/>
    <col min="18" max="19" width="8.5703125" style="1" bestFit="1" customWidth="1"/>
    <col min="20" max="20" width="8" style="1" bestFit="1" customWidth="1"/>
    <col min="21" max="21" width="12" style="1" bestFit="1" customWidth="1"/>
    <col min="22" max="22" width="11.85546875" style="1" customWidth="1"/>
    <col min="23" max="25" width="11.5703125" style="1" bestFit="1" customWidth="1"/>
    <col min="26" max="16384" width="11.42578125" style="1"/>
  </cols>
  <sheetData>
    <row r="1" spans="1:25" x14ac:dyDescent="0.2">
      <c r="A1" s="18" t="s">
        <v>1</v>
      </c>
      <c r="B1" s="22" t="s">
        <v>32</v>
      </c>
      <c r="C1" s="22"/>
      <c r="D1" s="22" t="s">
        <v>11</v>
      </c>
      <c r="E1" s="22" t="s">
        <v>19</v>
      </c>
      <c r="F1" s="22" t="s">
        <v>12</v>
      </c>
      <c r="G1" s="22" t="s">
        <v>14</v>
      </c>
      <c r="H1" s="22" t="s">
        <v>104</v>
      </c>
      <c r="I1" s="22" t="s">
        <v>13</v>
      </c>
      <c r="J1" s="22" t="s">
        <v>2</v>
      </c>
      <c r="K1" s="22" t="s">
        <v>105</v>
      </c>
      <c r="L1" s="22" t="s">
        <v>20</v>
      </c>
      <c r="M1" s="22" t="s">
        <v>21</v>
      </c>
      <c r="N1" s="22" t="s">
        <v>4</v>
      </c>
      <c r="O1" s="22" t="s">
        <v>5</v>
      </c>
      <c r="P1" s="22" t="s">
        <v>8</v>
      </c>
      <c r="Q1" s="22" t="s">
        <v>16</v>
      </c>
      <c r="R1" s="22" t="s">
        <v>17</v>
      </c>
      <c r="S1" s="22" t="s">
        <v>22</v>
      </c>
      <c r="T1" s="22" t="s">
        <v>10</v>
      </c>
      <c r="U1" s="22" t="s">
        <v>18</v>
      </c>
      <c r="V1" s="22"/>
      <c r="W1" s="22" t="s">
        <v>6</v>
      </c>
      <c r="X1" s="22" t="s">
        <v>15</v>
      </c>
      <c r="Y1" s="22"/>
    </row>
    <row r="2" spans="1:25" x14ac:dyDescent="0.2">
      <c r="A2" s="18"/>
      <c r="B2" s="23"/>
      <c r="C2" s="23"/>
      <c r="D2" s="23" t="s">
        <v>53</v>
      </c>
      <c r="E2" s="23" t="s">
        <v>60</v>
      </c>
      <c r="F2" s="23" t="s">
        <v>54</v>
      </c>
      <c r="G2" s="23" t="s">
        <v>55</v>
      </c>
      <c r="H2" s="23" t="s">
        <v>106</v>
      </c>
      <c r="I2" s="23" t="s">
        <v>66</v>
      </c>
      <c r="J2" s="23" t="s">
        <v>49</v>
      </c>
      <c r="K2" s="23" t="s">
        <v>107</v>
      </c>
      <c r="L2" s="23" t="s">
        <v>61</v>
      </c>
      <c r="M2" s="23" t="s">
        <v>62</v>
      </c>
      <c r="N2" s="23" t="s">
        <v>50</v>
      </c>
      <c r="O2" s="23" t="s">
        <v>51</v>
      </c>
      <c r="P2" s="23" t="s">
        <v>67</v>
      </c>
      <c r="Q2" s="23" t="s">
        <v>57</v>
      </c>
      <c r="R2" s="23" t="s">
        <v>58</v>
      </c>
      <c r="S2" s="23" t="s">
        <v>63</v>
      </c>
      <c r="T2" s="23" t="s">
        <v>52</v>
      </c>
      <c r="U2" s="23" t="s">
        <v>59</v>
      </c>
      <c r="V2" s="23"/>
      <c r="W2" s="23" t="s">
        <v>68</v>
      </c>
      <c r="X2" s="23" t="s">
        <v>56</v>
      </c>
      <c r="Y2" s="44" t="s">
        <v>118</v>
      </c>
    </row>
    <row r="3" spans="1:25" x14ac:dyDescent="0.2">
      <c r="A3" s="8">
        <v>2022</v>
      </c>
      <c r="B3" s="8" t="s">
        <v>34</v>
      </c>
      <c r="C3" s="27" t="s">
        <v>91</v>
      </c>
      <c r="D3" s="42">
        <v>624.46602199999995</v>
      </c>
      <c r="E3" s="42">
        <v>123.90021679</v>
      </c>
      <c r="F3" s="42">
        <v>652.01406755999994</v>
      </c>
      <c r="G3" s="42">
        <v>523.73800000000006</v>
      </c>
      <c r="H3" s="42">
        <v>105.706593</v>
      </c>
      <c r="I3" s="42">
        <v>4171.442</v>
      </c>
      <c r="J3" s="42">
        <v>460.73803980999998</v>
      </c>
      <c r="K3" s="42">
        <v>195.962977</v>
      </c>
      <c r="L3" s="42">
        <v>62.052413999999999</v>
      </c>
      <c r="M3" s="42">
        <v>67.540000000000006</v>
      </c>
      <c r="N3" s="42">
        <v>34.390210000000003</v>
      </c>
      <c r="O3" s="42">
        <v>1671.2285589999999</v>
      </c>
      <c r="P3" s="42">
        <v>317.69640900000002</v>
      </c>
      <c r="Q3" s="42">
        <v>536.45000000000005</v>
      </c>
      <c r="R3" s="42">
        <v>238.68912498</v>
      </c>
      <c r="S3" s="42">
        <v>22.708454</v>
      </c>
      <c r="T3" s="42">
        <v>97.31</v>
      </c>
      <c r="U3" s="42">
        <v>904.97484741000005</v>
      </c>
      <c r="V3" s="42"/>
      <c r="W3" s="42">
        <v>1803.45319498</v>
      </c>
      <c r="X3" s="42">
        <v>920.00079187999995</v>
      </c>
      <c r="Y3" s="42"/>
    </row>
    <row r="4" spans="1:25" x14ac:dyDescent="0.2">
      <c r="A4" s="10">
        <v>2022</v>
      </c>
      <c r="B4" s="10" t="s">
        <v>35</v>
      </c>
      <c r="C4" s="25" t="s">
        <v>81</v>
      </c>
      <c r="D4" s="38" t="s">
        <v>113</v>
      </c>
      <c r="E4" s="38">
        <v>9.6677180699999994</v>
      </c>
      <c r="F4" s="38">
        <v>60.430288730000001</v>
      </c>
      <c r="G4" s="38">
        <v>184.27600000000001</v>
      </c>
      <c r="H4" s="38">
        <v>11.686112</v>
      </c>
      <c r="I4" s="38">
        <v>0</v>
      </c>
      <c r="J4" s="38">
        <v>20.738260799999999</v>
      </c>
      <c r="K4" s="38">
        <v>139.71378799999999</v>
      </c>
      <c r="L4" s="38">
        <v>8.5010659999999998</v>
      </c>
      <c r="M4" s="38">
        <v>0.21</v>
      </c>
      <c r="N4" s="38">
        <v>0.13412499999999999</v>
      </c>
      <c r="O4" s="38"/>
      <c r="P4" s="38">
        <v>4.3777359999999996</v>
      </c>
      <c r="Q4" s="38">
        <v>30.58</v>
      </c>
      <c r="R4" s="38">
        <v>30.66796484</v>
      </c>
      <c r="S4" s="38">
        <v>3.0490000000000001E-3</v>
      </c>
      <c r="T4" s="38">
        <v>31.8</v>
      </c>
      <c r="U4" s="38">
        <v>402.71549850999997</v>
      </c>
      <c r="V4" s="38"/>
      <c r="W4" s="38"/>
      <c r="X4" s="38">
        <v>113.9904579</v>
      </c>
      <c r="Y4" s="38">
        <f>SUM(D4:X4)</f>
        <v>1049.4920648499999</v>
      </c>
    </row>
    <row r="5" spans="1:25" x14ac:dyDescent="0.2">
      <c r="A5" s="10">
        <v>2022</v>
      </c>
      <c r="B5" s="10" t="s">
        <v>36</v>
      </c>
      <c r="C5" s="26" t="s">
        <v>82</v>
      </c>
      <c r="D5" s="38" t="s">
        <v>113</v>
      </c>
      <c r="E5" s="38">
        <v>0</v>
      </c>
      <c r="F5" s="38">
        <v>1.7607192599999999</v>
      </c>
      <c r="G5" s="38">
        <v>12.708</v>
      </c>
      <c r="H5" s="38">
        <v>5.4159999999999998E-3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/>
      <c r="P5" s="38"/>
      <c r="Q5" s="38">
        <v>0</v>
      </c>
      <c r="R5" s="38">
        <v>2.5193188399999999</v>
      </c>
      <c r="S5" s="38">
        <v>0</v>
      </c>
      <c r="T5" s="38">
        <v>0.13</v>
      </c>
      <c r="U5" s="38">
        <v>0</v>
      </c>
      <c r="V5" s="38"/>
      <c r="W5" s="38"/>
      <c r="X5" s="38">
        <v>4.8205412499999998</v>
      </c>
      <c r="Y5" s="38">
        <f t="shared" ref="Y5:Y13" si="0">SUM(D5:X5)</f>
        <v>21.943995350000002</v>
      </c>
    </row>
    <row r="6" spans="1:25" x14ac:dyDescent="0.2">
      <c r="A6" s="10">
        <v>2022</v>
      </c>
      <c r="B6" s="10" t="s">
        <v>37</v>
      </c>
      <c r="C6" s="25" t="s">
        <v>83</v>
      </c>
      <c r="D6" s="38" t="s">
        <v>113</v>
      </c>
      <c r="E6" s="38">
        <v>22.825535330000001</v>
      </c>
      <c r="F6" s="38">
        <v>150.60019396000001</v>
      </c>
      <c r="G6" s="38">
        <v>5.6429999999999998</v>
      </c>
      <c r="H6" s="38">
        <v>2.8714339999999998</v>
      </c>
      <c r="I6" s="38">
        <v>0</v>
      </c>
      <c r="J6" s="38">
        <v>11.209651770000001</v>
      </c>
      <c r="K6" s="38">
        <v>4.7311719999999999</v>
      </c>
      <c r="L6" s="38">
        <v>4.675573</v>
      </c>
      <c r="M6" s="38">
        <v>13.92</v>
      </c>
      <c r="N6" s="38">
        <v>0.50226000000000004</v>
      </c>
      <c r="O6" s="38"/>
      <c r="P6" s="38">
        <v>4.4540999999999997E-2</v>
      </c>
      <c r="Q6" s="38">
        <v>1.2</v>
      </c>
      <c r="R6" s="38">
        <v>18.208512160000002</v>
      </c>
      <c r="S6" s="38">
        <v>0.54935199999999995</v>
      </c>
      <c r="T6" s="38">
        <v>8.6</v>
      </c>
      <c r="U6" s="38">
        <v>0</v>
      </c>
      <c r="V6" s="38"/>
      <c r="W6" s="38"/>
      <c r="X6" s="38">
        <v>65.695959459999997</v>
      </c>
      <c r="Y6" s="38">
        <f t="shared" si="0"/>
        <v>311.27718467999995</v>
      </c>
    </row>
    <row r="7" spans="1:25" x14ac:dyDescent="0.2">
      <c r="A7" s="10">
        <v>2022</v>
      </c>
      <c r="B7" s="10" t="s">
        <v>38</v>
      </c>
      <c r="C7" s="26" t="s">
        <v>84</v>
      </c>
      <c r="D7" s="38" t="s">
        <v>113</v>
      </c>
      <c r="E7" s="38">
        <v>1.1211268999999999</v>
      </c>
      <c r="F7" s="38">
        <v>13.98751169</v>
      </c>
      <c r="G7" s="38">
        <v>288.36900000000003</v>
      </c>
      <c r="H7" s="38">
        <v>76.085510999999997</v>
      </c>
      <c r="I7" s="38">
        <v>3859.442</v>
      </c>
      <c r="J7" s="38">
        <v>174.47706527</v>
      </c>
      <c r="K7" s="38">
        <v>4.0811000000000002</v>
      </c>
      <c r="L7" s="38">
        <v>7.8637389999999998</v>
      </c>
      <c r="M7" s="38">
        <v>7.14</v>
      </c>
      <c r="N7" s="38">
        <v>26.979075999999999</v>
      </c>
      <c r="O7" s="38"/>
      <c r="P7" s="38">
        <v>1.2708600000000001</v>
      </c>
      <c r="Q7" s="38">
        <v>397.61</v>
      </c>
      <c r="R7" s="38">
        <v>2.71897755</v>
      </c>
      <c r="S7" s="38">
        <v>2.6825000000000002E-2</v>
      </c>
      <c r="T7" s="38">
        <v>14.71</v>
      </c>
      <c r="U7" s="38">
        <v>127.81277028</v>
      </c>
      <c r="V7" s="38"/>
      <c r="W7" s="38"/>
      <c r="X7" s="38">
        <v>13.659849940000001</v>
      </c>
      <c r="Y7" s="38">
        <f t="shared" si="0"/>
        <v>5017.3554126299996</v>
      </c>
    </row>
    <row r="8" spans="1:25" x14ac:dyDescent="0.2">
      <c r="A8" s="10">
        <v>2022</v>
      </c>
      <c r="B8" s="10" t="s">
        <v>39</v>
      </c>
      <c r="C8" s="25" t="s">
        <v>85</v>
      </c>
      <c r="D8" s="38" t="s">
        <v>113</v>
      </c>
      <c r="E8" s="38">
        <v>86.287751819999997</v>
      </c>
      <c r="F8" s="38">
        <v>34.295958249999998</v>
      </c>
      <c r="G8" s="38">
        <v>0</v>
      </c>
      <c r="H8" s="38">
        <v>13.327370999999999</v>
      </c>
      <c r="I8" s="38">
        <v>214</v>
      </c>
      <c r="J8" s="38">
        <v>214.75340659</v>
      </c>
      <c r="K8" s="38">
        <v>16.49793</v>
      </c>
      <c r="L8" s="38">
        <v>11.736751</v>
      </c>
      <c r="M8" s="38">
        <v>10.57</v>
      </c>
      <c r="N8" s="38">
        <v>4.9588279999999996</v>
      </c>
      <c r="O8" s="38"/>
      <c r="P8" s="38">
        <v>22.860240000000001</v>
      </c>
      <c r="Q8" s="38">
        <v>80.12</v>
      </c>
      <c r="R8" s="38">
        <v>66.59148399</v>
      </c>
      <c r="S8" s="38">
        <v>19.490492</v>
      </c>
      <c r="T8" s="38">
        <v>5.23</v>
      </c>
      <c r="U8" s="38">
        <v>3.5655149999999997E-2</v>
      </c>
      <c r="V8" s="38"/>
      <c r="W8" s="38"/>
      <c r="X8" s="38">
        <v>398.40239145999999</v>
      </c>
      <c r="Y8" s="38">
        <f t="shared" si="0"/>
        <v>1199.1582592600002</v>
      </c>
    </row>
    <row r="9" spans="1:25" x14ac:dyDescent="0.2">
      <c r="A9" s="10">
        <v>2022</v>
      </c>
      <c r="B9" s="10" t="s">
        <v>40</v>
      </c>
      <c r="C9" s="26" t="s">
        <v>86</v>
      </c>
      <c r="D9" s="38" t="s">
        <v>113</v>
      </c>
      <c r="E9" s="38">
        <v>1.01270989</v>
      </c>
      <c r="F9" s="38">
        <v>7.1107035300000003</v>
      </c>
      <c r="G9" s="38">
        <v>0</v>
      </c>
      <c r="H9" s="38">
        <v>0.16917599999999999</v>
      </c>
      <c r="I9" s="38">
        <v>0</v>
      </c>
      <c r="J9" s="38">
        <v>0.81864053000000003</v>
      </c>
      <c r="K9" s="38">
        <v>0</v>
      </c>
      <c r="L9" s="38">
        <v>0.52231399999999994</v>
      </c>
      <c r="M9" s="38">
        <v>0.86</v>
      </c>
      <c r="N9" s="38">
        <v>0</v>
      </c>
      <c r="O9" s="38"/>
      <c r="P9" s="38"/>
      <c r="Q9" s="38">
        <v>0.47</v>
      </c>
      <c r="R9" s="38">
        <v>27.786793339999999</v>
      </c>
      <c r="S9" s="38">
        <v>1.2201979999999999</v>
      </c>
      <c r="T9" s="38">
        <v>0.5</v>
      </c>
      <c r="U9" s="38">
        <v>0</v>
      </c>
      <c r="V9" s="38"/>
      <c r="W9" s="38"/>
      <c r="X9" s="38">
        <v>22.58824461</v>
      </c>
      <c r="Y9" s="38">
        <f t="shared" si="0"/>
        <v>63.058779900000005</v>
      </c>
    </row>
    <row r="10" spans="1:25" x14ac:dyDescent="0.2">
      <c r="A10" s="10">
        <v>2022</v>
      </c>
      <c r="B10" s="10" t="s">
        <v>41</v>
      </c>
      <c r="C10" s="25" t="s">
        <v>87</v>
      </c>
      <c r="D10" s="38" t="s">
        <v>113</v>
      </c>
      <c r="E10" s="38">
        <v>1.80828254</v>
      </c>
      <c r="F10" s="38">
        <v>56.934796759999998</v>
      </c>
      <c r="G10" s="38">
        <v>0.40200000000000002</v>
      </c>
      <c r="H10" s="38">
        <v>0.36934299999999998</v>
      </c>
      <c r="I10" s="38">
        <v>0</v>
      </c>
      <c r="J10" s="38">
        <v>1.08962314</v>
      </c>
      <c r="K10" s="38">
        <v>0</v>
      </c>
      <c r="L10" s="38">
        <v>3.876233</v>
      </c>
      <c r="M10" s="38">
        <v>0.01</v>
      </c>
      <c r="N10" s="38">
        <v>0.93390799999999996</v>
      </c>
      <c r="O10" s="38"/>
      <c r="P10" s="38">
        <v>6.4024999999999999E-2</v>
      </c>
      <c r="Q10" s="38">
        <v>0.28999999999999998</v>
      </c>
      <c r="R10" s="38">
        <v>29.533523410000001</v>
      </c>
      <c r="S10" s="38">
        <v>0.34090399999999998</v>
      </c>
      <c r="T10" s="38">
        <v>3.86</v>
      </c>
      <c r="U10" s="38">
        <v>0</v>
      </c>
      <c r="V10" s="38"/>
      <c r="W10" s="38"/>
      <c r="X10" s="38">
        <v>9.5025043100000008</v>
      </c>
      <c r="Y10" s="38">
        <f t="shared" si="0"/>
        <v>109.01514316000002</v>
      </c>
    </row>
    <row r="11" spans="1:25" x14ac:dyDescent="0.2">
      <c r="A11" s="10">
        <v>2022</v>
      </c>
      <c r="B11" s="10" t="s">
        <v>42</v>
      </c>
      <c r="C11" s="26" t="s">
        <v>88</v>
      </c>
      <c r="D11" s="38" t="s">
        <v>113</v>
      </c>
      <c r="E11" s="38">
        <v>0.35704059999999999</v>
      </c>
      <c r="F11" s="38">
        <v>19.48364119</v>
      </c>
      <c r="G11" s="38">
        <v>13.7</v>
      </c>
      <c r="H11" s="38">
        <v>4.3293999999999999E-2</v>
      </c>
      <c r="I11" s="38">
        <v>0</v>
      </c>
      <c r="J11" s="38">
        <v>1.6897862699999999</v>
      </c>
      <c r="K11" s="38">
        <v>12.171977</v>
      </c>
      <c r="L11" s="38">
        <v>4.4544569999999997</v>
      </c>
      <c r="M11" s="38">
        <v>0.86</v>
      </c>
      <c r="N11" s="38">
        <v>0</v>
      </c>
      <c r="O11" s="38"/>
      <c r="P11" s="38">
        <v>0.428705</v>
      </c>
      <c r="Q11" s="38">
        <v>0.05</v>
      </c>
      <c r="R11" s="38">
        <v>7.41850729</v>
      </c>
      <c r="S11" s="38">
        <v>0.36899700000000002</v>
      </c>
      <c r="T11" s="38">
        <v>2.13</v>
      </c>
      <c r="U11" s="38">
        <v>20.148797510000001</v>
      </c>
      <c r="V11" s="38"/>
      <c r="W11" s="38"/>
      <c r="X11" s="38">
        <v>58.588878110000003</v>
      </c>
      <c r="Y11" s="38">
        <f t="shared" si="0"/>
        <v>141.89408097</v>
      </c>
    </row>
    <row r="12" spans="1:25" x14ac:dyDescent="0.2">
      <c r="A12" s="10">
        <v>2022</v>
      </c>
      <c r="B12" s="10" t="s">
        <v>43</v>
      </c>
      <c r="C12" s="25" t="s">
        <v>89</v>
      </c>
      <c r="D12" s="38" t="s">
        <v>113</v>
      </c>
      <c r="E12" s="38">
        <v>0.82005163999999997</v>
      </c>
      <c r="F12" s="38">
        <v>102.76224703</v>
      </c>
      <c r="G12" s="38">
        <v>17.994</v>
      </c>
      <c r="H12" s="38">
        <v>1.148884</v>
      </c>
      <c r="I12" s="38">
        <v>98</v>
      </c>
      <c r="J12" s="38">
        <v>35.96160544</v>
      </c>
      <c r="K12" s="38">
        <v>18.767009999999999</v>
      </c>
      <c r="L12" s="38">
        <v>20.422283</v>
      </c>
      <c r="M12" s="38">
        <v>33.97</v>
      </c>
      <c r="N12" s="38">
        <v>0.42468600000000001</v>
      </c>
      <c r="O12" s="38"/>
      <c r="P12" s="38">
        <v>288.65030200000001</v>
      </c>
      <c r="Q12" s="38">
        <v>24.45</v>
      </c>
      <c r="R12" s="38">
        <v>53.244043759999997</v>
      </c>
      <c r="S12" s="38">
        <v>0.70863799999999999</v>
      </c>
      <c r="T12" s="38">
        <v>30.35</v>
      </c>
      <c r="U12" s="38">
        <v>354.26212604</v>
      </c>
      <c r="V12" s="38"/>
      <c r="W12" s="38"/>
      <c r="X12" s="38">
        <v>171.47071051</v>
      </c>
      <c r="Y12" s="38">
        <f t="shared" si="0"/>
        <v>1253.4065874200001</v>
      </c>
    </row>
    <row r="13" spans="1:25" x14ac:dyDescent="0.2">
      <c r="A13" s="13">
        <v>2022</v>
      </c>
      <c r="B13" s="13" t="s">
        <v>33</v>
      </c>
      <c r="C13" s="28" t="s">
        <v>90</v>
      </c>
      <c r="D13" s="43">
        <v>624.46602199999995</v>
      </c>
      <c r="E13" s="43">
        <v>0</v>
      </c>
      <c r="F13" s="43">
        <v>204.64800715000001</v>
      </c>
      <c r="G13" s="43">
        <v>0.64600000000000002</v>
      </c>
      <c r="H13" s="43">
        <v>5.1E-5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0.45732600000000001</v>
      </c>
      <c r="O13" s="43">
        <v>1671.2285589999999</v>
      </c>
      <c r="P13" s="43">
        <v>0</v>
      </c>
      <c r="Q13" s="43">
        <v>1.68</v>
      </c>
      <c r="R13" s="43">
        <v>0</v>
      </c>
      <c r="S13" s="43">
        <v>0</v>
      </c>
      <c r="T13" s="43">
        <v>0</v>
      </c>
      <c r="U13" s="43">
        <v>0</v>
      </c>
      <c r="V13" s="43"/>
      <c r="W13" s="43">
        <v>1803.45319498</v>
      </c>
      <c r="X13" s="43">
        <v>61.281254330000003</v>
      </c>
      <c r="Y13" s="38">
        <f t="shared" si="0"/>
        <v>4367.8604144599994</v>
      </c>
    </row>
    <row r="16" spans="1:25" x14ac:dyDescent="0.2">
      <c r="A16" s="2" t="s">
        <v>69</v>
      </c>
      <c r="B16" s="17" t="s">
        <v>114</v>
      </c>
    </row>
    <row r="17" spans="1:2" ht="15.75" customHeight="1" x14ac:dyDescent="0.2">
      <c r="A17" s="2" t="s">
        <v>92</v>
      </c>
    </row>
    <row r="18" spans="1:2" ht="16.149999999999999" customHeight="1" x14ac:dyDescent="0.2">
      <c r="B18" s="29" t="s">
        <v>119</v>
      </c>
    </row>
    <row r="19" spans="1:2" x14ac:dyDescent="0.2">
      <c r="B19" s="3" t="s">
        <v>93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0"/>
  <sheetViews>
    <sheetView topLeftCell="C4" zoomScaleNormal="100" workbookViewId="0">
      <selection activeCell="C55" sqref="C55"/>
    </sheetView>
  </sheetViews>
  <sheetFormatPr defaultColWidth="11.42578125" defaultRowHeight="12.75" x14ac:dyDescent="0.2"/>
  <cols>
    <col min="1" max="2" width="11.42578125" style="1"/>
    <col min="3" max="3" width="28.7109375" style="1" customWidth="1"/>
    <col min="4" max="16384" width="11.42578125" style="1"/>
  </cols>
  <sheetData>
    <row r="1" spans="1:25" x14ac:dyDescent="0.2">
      <c r="A1" s="18" t="s">
        <v>1</v>
      </c>
      <c r="B1" s="22" t="s">
        <v>32</v>
      </c>
      <c r="C1" s="22"/>
      <c r="D1" s="22" t="s">
        <v>11</v>
      </c>
      <c r="E1" s="22" t="s">
        <v>19</v>
      </c>
      <c r="F1" s="22" t="s">
        <v>12</v>
      </c>
      <c r="G1" s="22" t="s">
        <v>14</v>
      </c>
      <c r="H1" s="22" t="s">
        <v>104</v>
      </c>
      <c r="I1" s="22" t="s">
        <v>13</v>
      </c>
      <c r="J1" s="22" t="s">
        <v>2</v>
      </c>
      <c r="K1" s="22" t="s">
        <v>105</v>
      </c>
      <c r="L1" s="22" t="s">
        <v>20</v>
      </c>
      <c r="M1" s="22" t="s">
        <v>21</v>
      </c>
      <c r="N1" s="22" t="s">
        <v>4</v>
      </c>
      <c r="O1" s="22" t="s">
        <v>5</v>
      </c>
      <c r="P1" s="22" t="s">
        <v>8</v>
      </c>
      <c r="Q1" s="22" t="s">
        <v>16</v>
      </c>
      <c r="R1" s="22" t="s">
        <v>17</v>
      </c>
      <c r="S1" s="22" t="s">
        <v>22</v>
      </c>
      <c r="T1" s="22" t="s">
        <v>10</v>
      </c>
      <c r="U1" s="22" t="s">
        <v>18</v>
      </c>
      <c r="V1" s="22"/>
      <c r="W1" s="22" t="s">
        <v>6</v>
      </c>
      <c r="X1" s="22" t="s">
        <v>15</v>
      </c>
      <c r="Y1" s="22"/>
    </row>
    <row r="2" spans="1:25" x14ac:dyDescent="0.2">
      <c r="A2" s="18"/>
      <c r="B2" s="23"/>
      <c r="C2" s="23"/>
      <c r="D2" s="23" t="s">
        <v>53</v>
      </c>
      <c r="E2" s="23" t="s">
        <v>60</v>
      </c>
      <c r="F2" s="23" t="s">
        <v>54</v>
      </c>
      <c r="G2" s="23" t="s">
        <v>55</v>
      </c>
      <c r="H2" s="23" t="s">
        <v>106</v>
      </c>
      <c r="I2" s="23" t="s">
        <v>66</v>
      </c>
      <c r="J2" s="23" t="s">
        <v>49</v>
      </c>
      <c r="K2" s="23" t="s">
        <v>107</v>
      </c>
      <c r="L2" s="23" t="s">
        <v>61</v>
      </c>
      <c r="M2" s="23" t="s">
        <v>62</v>
      </c>
      <c r="N2" s="23" t="s">
        <v>50</v>
      </c>
      <c r="O2" s="23" t="s">
        <v>51</v>
      </c>
      <c r="P2" s="23" t="s">
        <v>67</v>
      </c>
      <c r="Q2" s="23" t="s">
        <v>57</v>
      </c>
      <c r="R2" s="23" t="s">
        <v>58</v>
      </c>
      <c r="S2" s="23" t="s">
        <v>63</v>
      </c>
      <c r="T2" s="23" t="s">
        <v>52</v>
      </c>
      <c r="U2" s="23" t="s">
        <v>59</v>
      </c>
      <c r="V2" s="23"/>
      <c r="W2" s="23" t="s">
        <v>68</v>
      </c>
      <c r="X2" s="23" t="s">
        <v>56</v>
      </c>
      <c r="Y2" s="23" t="s">
        <v>120</v>
      </c>
    </row>
    <row r="3" spans="1:25" x14ac:dyDescent="0.2">
      <c r="A3" s="8">
        <v>2022</v>
      </c>
      <c r="B3" s="8" t="s">
        <v>34</v>
      </c>
      <c r="C3" s="27" t="s">
        <v>91</v>
      </c>
      <c r="D3" s="42">
        <v>624.46602199999995</v>
      </c>
      <c r="E3" s="42">
        <v>123.90021679</v>
      </c>
      <c r="F3" s="42">
        <v>652.01406755999994</v>
      </c>
      <c r="G3" s="42">
        <v>523.73800000000006</v>
      </c>
      <c r="H3" s="42">
        <v>105.706593</v>
      </c>
      <c r="I3" s="42">
        <v>4171.442</v>
      </c>
      <c r="J3" s="42">
        <v>460.73803980999998</v>
      </c>
      <c r="K3" s="42">
        <v>195.962977</v>
      </c>
      <c r="L3" s="42">
        <v>62.052413999999999</v>
      </c>
      <c r="M3" s="42">
        <v>67.540000000000006</v>
      </c>
      <c r="N3" s="42">
        <v>34.390210000000003</v>
      </c>
      <c r="O3" s="42">
        <v>1671.2285589999999</v>
      </c>
      <c r="P3" s="42">
        <v>317.69640900000002</v>
      </c>
      <c r="Q3" s="42">
        <v>536.45000000000005</v>
      </c>
      <c r="R3" s="42">
        <v>238.68912498</v>
      </c>
      <c r="S3" s="42">
        <v>22.708454</v>
      </c>
      <c r="T3" s="42">
        <v>97.31</v>
      </c>
      <c r="U3" s="42">
        <v>904.97484741000005</v>
      </c>
      <c r="V3" s="42"/>
      <c r="W3" s="42">
        <v>1803.45319498</v>
      </c>
      <c r="X3" s="42">
        <v>920.00079187999995</v>
      </c>
      <c r="Y3" s="42"/>
    </row>
    <row r="4" spans="1:25" x14ac:dyDescent="0.2">
      <c r="A4" s="10">
        <v>2022</v>
      </c>
      <c r="B4" s="10" t="s">
        <v>35</v>
      </c>
      <c r="C4" s="25" t="s">
        <v>81</v>
      </c>
      <c r="D4" s="38" t="s">
        <v>113</v>
      </c>
      <c r="E4" s="38">
        <v>9.6677180699999994</v>
      </c>
      <c r="F4" s="38">
        <v>60.430288730000001</v>
      </c>
      <c r="G4" s="38">
        <v>184.27600000000001</v>
      </c>
      <c r="H4" s="38">
        <v>11.686112</v>
      </c>
      <c r="I4" s="38">
        <v>0</v>
      </c>
      <c r="J4" s="38">
        <v>20.738260799999999</v>
      </c>
      <c r="K4" s="38">
        <v>139.71378799999999</v>
      </c>
      <c r="L4" s="38">
        <v>8.5010659999999998</v>
      </c>
      <c r="M4" s="38">
        <v>0.21</v>
      </c>
      <c r="N4" s="38">
        <v>0.13412499999999999</v>
      </c>
      <c r="O4" s="38"/>
      <c r="P4" s="38">
        <v>4.3777359999999996</v>
      </c>
      <c r="Q4" s="38">
        <v>30.58</v>
      </c>
      <c r="R4" s="38">
        <v>30.66796484</v>
      </c>
      <c r="S4" s="38">
        <v>3.0490000000000001E-3</v>
      </c>
      <c r="T4" s="38">
        <v>31.8</v>
      </c>
      <c r="U4" s="38">
        <v>402.71549850999997</v>
      </c>
      <c r="V4" s="38"/>
      <c r="W4" s="38"/>
      <c r="X4" s="38">
        <v>113.9904579</v>
      </c>
      <c r="Y4" s="38">
        <f>SUM(D4:X4)</f>
        <v>1049.4920648499999</v>
      </c>
    </row>
    <row r="5" spans="1:25" x14ac:dyDescent="0.2">
      <c r="A5" s="10">
        <v>2022</v>
      </c>
      <c r="B5" s="10" t="s">
        <v>36</v>
      </c>
      <c r="C5" s="26" t="s">
        <v>82</v>
      </c>
      <c r="D5" s="38" t="s">
        <v>113</v>
      </c>
      <c r="E5" s="38">
        <v>0</v>
      </c>
      <c r="F5" s="38">
        <v>1.7607192599999999</v>
      </c>
      <c r="G5" s="38">
        <v>12.708</v>
      </c>
      <c r="H5" s="38">
        <v>5.4159999999999998E-3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/>
      <c r="P5" s="38"/>
      <c r="Q5" s="38">
        <v>0</v>
      </c>
      <c r="R5" s="38">
        <v>2.5193188399999999</v>
      </c>
      <c r="S5" s="38">
        <v>0</v>
      </c>
      <c r="T5" s="38">
        <v>0.13</v>
      </c>
      <c r="U5" s="38">
        <v>0</v>
      </c>
      <c r="V5" s="38"/>
      <c r="W5" s="38"/>
      <c r="X5" s="38">
        <v>4.8205412499999998</v>
      </c>
      <c r="Y5" s="38">
        <f t="shared" ref="Y5:Y13" si="0">SUM(D5:X5)</f>
        <v>21.943995350000002</v>
      </c>
    </row>
    <row r="6" spans="1:25" x14ac:dyDescent="0.2">
      <c r="A6" s="10">
        <v>2022</v>
      </c>
      <c r="B6" s="10" t="s">
        <v>37</v>
      </c>
      <c r="C6" s="25" t="s">
        <v>83</v>
      </c>
      <c r="D6" s="38" t="s">
        <v>113</v>
      </c>
      <c r="E6" s="38">
        <v>22.825535330000001</v>
      </c>
      <c r="F6" s="38">
        <v>150.60019396000001</v>
      </c>
      <c r="G6" s="38">
        <v>5.6429999999999998</v>
      </c>
      <c r="H6" s="38">
        <v>2.8714339999999998</v>
      </c>
      <c r="I6" s="38">
        <v>0</v>
      </c>
      <c r="J6" s="38">
        <v>11.209651770000001</v>
      </c>
      <c r="K6" s="38">
        <v>4.7311719999999999</v>
      </c>
      <c r="L6" s="38">
        <v>4.675573</v>
      </c>
      <c r="M6" s="38">
        <v>13.92</v>
      </c>
      <c r="N6" s="38">
        <v>0.50226000000000004</v>
      </c>
      <c r="O6" s="38"/>
      <c r="P6" s="38">
        <v>4.4540999999999997E-2</v>
      </c>
      <c r="Q6" s="38">
        <v>1.2</v>
      </c>
      <c r="R6" s="38">
        <v>18.208512160000002</v>
      </c>
      <c r="S6" s="38">
        <v>0.54935199999999995</v>
      </c>
      <c r="T6" s="38">
        <v>8.6</v>
      </c>
      <c r="U6" s="38">
        <v>0</v>
      </c>
      <c r="V6" s="38"/>
      <c r="W6" s="38"/>
      <c r="X6" s="38">
        <v>65.695959459999997</v>
      </c>
      <c r="Y6" s="38">
        <f t="shared" si="0"/>
        <v>311.27718467999995</v>
      </c>
    </row>
    <row r="7" spans="1:25" x14ac:dyDescent="0.2">
      <c r="A7" s="10">
        <v>2022</v>
      </c>
      <c r="B7" s="10" t="s">
        <v>38</v>
      </c>
      <c r="C7" s="26" t="s">
        <v>84</v>
      </c>
      <c r="D7" s="38" t="s">
        <v>113</v>
      </c>
      <c r="E7" s="38">
        <v>1.1211268999999999</v>
      </c>
      <c r="F7" s="38">
        <v>13.98751169</v>
      </c>
      <c r="G7" s="38">
        <v>288.36900000000003</v>
      </c>
      <c r="H7" s="38">
        <v>76.085510999999997</v>
      </c>
      <c r="I7" s="38">
        <v>3859.442</v>
      </c>
      <c r="J7" s="38">
        <v>174.47706527</v>
      </c>
      <c r="K7" s="38">
        <v>4.0811000000000002</v>
      </c>
      <c r="L7" s="38">
        <v>7.8637389999999998</v>
      </c>
      <c r="M7" s="38">
        <v>7.14</v>
      </c>
      <c r="N7" s="38">
        <v>26.979075999999999</v>
      </c>
      <c r="O7" s="38"/>
      <c r="P7" s="38">
        <v>1.2708600000000001</v>
      </c>
      <c r="Q7" s="38">
        <v>397.61</v>
      </c>
      <c r="R7" s="38">
        <v>2.71897755</v>
      </c>
      <c r="S7" s="38">
        <v>2.6825000000000002E-2</v>
      </c>
      <c r="T7" s="38">
        <v>14.71</v>
      </c>
      <c r="U7" s="38">
        <v>127.81277028</v>
      </c>
      <c r="V7" s="38"/>
      <c r="W7" s="38"/>
      <c r="X7" s="38">
        <v>13.659849940000001</v>
      </c>
      <c r="Y7" s="38">
        <f t="shared" si="0"/>
        <v>5017.3554126299996</v>
      </c>
    </row>
    <row r="8" spans="1:25" x14ac:dyDescent="0.2">
      <c r="A8" s="10">
        <v>2022</v>
      </c>
      <c r="B8" s="10" t="s">
        <v>39</v>
      </c>
      <c r="C8" s="25" t="s">
        <v>85</v>
      </c>
      <c r="D8" s="38" t="s">
        <v>113</v>
      </c>
      <c r="E8" s="38">
        <v>86.287751819999997</v>
      </c>
      <c r="F8" s="38">
        <v>34.295958249999998</v>
      </c>
      <c r="G8" s="38">
        <v>0</v>
      </c>
      <c r="H8" s="38">
        <v>13.327370999999999</v>
      </c>
      <c r="I8" s="38">
        <v>214</v>
      </c>
      <c r="J8" s="38">
        <v>214.75340659</v>
      </c>
      <c r="K8" s="38">
        <v>16.49793</v>
      </c>
      <c r="L8" s="38">
        <v>11.736751</v>
      </c>
      <c r="M8" s="38">
        <v>10.57</v>
      </c>
      <c r="N8" s="38">
        <v>4.9588279999999996</v>
      </c>
      <c r="O8" s="38"/>
      <c r="P8" s="38">
        <v>22.860240000000001</v>
      </c>
      <c r="Q8" s="38">
        <v>80.12</v>
      </c>
      <c r="R8" s="38">
        <v>66.59148399</v>
      </c>
      <c r="S8" s="38">
        <v>19.490492</v>
      </c>
      <c r="T8" s="38">
        <v>5.23</v>
      </c>
      <c r="U8" s="38">
        <v>3.5655149999999997E-2</v>
      </c>
      <c r="V8" s="38"/>
      <c r="W8" s="38"/>
      <c r="X8" s="38">
        <v>398.40239145999999</v>
      </c>
      <c r="Y8" s="38">
        <f t="shared" si="0"/>
        <v>1199.1582592600002</v>
      </c>
    </row>
    <row r="9" spans="1:25" x14ac:dyDescent="0.2">
      <c r="A9" s="10">
        <v>2022</v>
      </c>
      <c r="B9" s="10" t="s">
        <v>40</v>
      </c>
      <c r="C9" s="26" t="s">
        <v>86</v>
      </c>
      <c r="D9" s="38" t="s">
        <v>113</v>
      </c>
      <c r="E9" s="38">
        <v>1.01270989</v>
      </c>
      <c r="F9" s="38">
        <v>7.1107035300000003</v>
      </c>
      <c r="G9" s="38">
        <v>0</v>
      </c>
      <c r="H9" s="38">
        <v>0.16917599999999999</v>
      </c>
      <c r="I9" s="38">
        <v>0</v>
      </c>
      <c r="J9" s="38">
        <v>0.81864053000000003</v>
      </c>
      <c r="K9" s="38">
        <v>0</v>
      </c>
      <c r="L9" s="38">
        <v>0.52231399999999994</v>
      </c>
      <c r="M9" s="38">
        <v>0.86</v>
      </c>
      <c r="N9" s="38">
        <v>0</v>
      </c>
      <c r="O9" s="38"/>
      <c r="P9" s="38"/>
      <c r="Q9" s="38">
        <v>0.47</v>
      </c>
      <c r="R9" s="38">
        <v>27.786793339999999</v>
      </c>
      <c r="S9" s="38">
        <v>1.2201979999999999</v>
      </c>
      <c r="T9" s="38">
        <v>0.5</v>
      </c>
      <c r="U9" s="38">
        <v>0</v>
      </c>
      <c r="V9" s="38"/>
      <c r="W9" s="38"/>
      <c r="X9" s="38">
        <v>22.58824461</v>
      </c>
      <c r="Y9" s="38">
        <f t="shared" si="0"/>
        <v>63.058779900000005</v>
      </c>
    </row>
    <row r="10" spans="1:25" x14ac:dyDescent="0.2">
      <c r="A10" s="10">
        <v>2022</v>
      </c>
      <c r="B10" s="10" t="s">
        <v>41</v>
      </c>
      <c r="C10" s="25" t="s">
        <v>87</v>
      </c>
      <c r="D10" s="38" t="s">
        <v>113</v>
      </c>
      <c r="E10" s="38">
        <v>1.80828254</v>
      </c>
      <c r="F10" s="38">
        <v>56.934796759999998</v>
      </c>
      <c r="G10" s="38">
        <v>0.40200000000000002</v>
      </c>
      <c r="H10" s="38">
        <v>0.36934299999999998</v>
      </c>
      <c r="I10" s="38">
        <v>0</v>
      </c>
      <c r="J10" s="38">
        <v>1.08962314</v>
      </c>
      <c r="K10" s="38">
        <v>0</v>
      </c>
      <c r="L10" s="38">
        <v>3.876233</v>
      </c>
      <c r="M10" s="38">
        <v>0.01</v>
      </c>
      <c r="N10" s="38">
        <v>0.93390799999999996</v>
      </c>
      <c r="O10" s="38"/>
      <c r="P10" s="38">
        <v>6.4024999999999999E-2</v>
      </c>
      <c r="Q10" s="38">
        <v>0.28999999999999998</v>
      </c>
      <c r="R10" s="38">
        <v>29.533523410000001</v>
      </c>
      <c r="S10" s="38">
        <v>0.34090399999999998</v>
      </c>
      <c r="T10" s="38">
        <v>3.86</v>
      </c>
      <c r="U10" s="38">
        <v>0</v>
      </c>
      <c r="V10" s="38"/>
      <c r="W10" s="38"/>
      <c r="X10" s="38">
        <v>9.5025043100000008</v>
      </c>
      <c r="Y10" s="38">
        <f t="shared" si="0"/>
        <v>109.01514316000002</v>
      </c>
    </row>
    <row r="11" spans="1:25" x14ac:dyDescent="0.2">
      <c r="A11" s="10">
        <v>2022</v>
      </c>
      <c r="B11" s="10" t="s">
        <v>42</v>
      </c>
      <c r="C11" s="26" t="s">
        <v>88</v>
      </c>
      <c r="D11" s="38" t="s">
        <v>113</v>
      </c>
      <c r="E11" s="38">
        <v>0.35704059999999999</v>
      </c>
      <c r="F11" s="38">
        <v>19.48364119</v>
      </c>
      <c r="G11" s="38">
        <v>13.7</v>
      </c>
      <c r="H11" s="38">
        <v>4.3293999999999999E-2</v>
      </c>
      <c r="I11" s="38">
        <v>0</v>
      </c>
      <c r="J11" s="38">
        <v>1.6897862699999999</v>
      </c>
      <c r="K11" s="38">
        <v>12.171977</v>
      </c>
      <c r="L11" s="38">
        <v>4.4544569999999997</v>
      </c>
      <c r="M11" s="38">
        <v>0.86</v>
      </c>
      <c r="N11" s="38">
        <v>0</v>
      </c>
      <c r="O11" s="38"/>
      <c r="P11" s="38">
        <v>0.428705</v>
      </c>
      <c r="Q11" s="38">
        <v>0.05</v>
      </c>
      <c r="R11" s="38">
        <v>7.41850729</v>
      </c>
      <c r="S11" s="38">
        <v>0.36899700000000002</v>
      </c>
      <c r="T11" s="38">
        <v>2.13</v>
      </c>
      <c r="U11" s="38">
        <v>20.148797510000001</v>
      </c>
      <c r="V11" s="38"/>
      <c r="W11" s="38"/>
      <c r="X11" s="38">
        <v>58.588878110000003</v>
      </c>
      <c r="Y11" s="38">
        <f t="shared" si="0"/>
        <v>141.89408097</v>
      </c>
    </row>
    <row r="12" spans="1:25" x14ac:dyDescent="0.2">
      <c r="A12" s="10">
        <v>2022</v>
      </c>
      <c r="B12" s="10" t="s">
        <v>43</v>
      </c>
      <c r="C12" s="25" t="s">
        <v>89</v>
      </c>
      <c r="D12" s="38" t="s">
        <v>113</v>
      </c>
      <c r="E12" s="38">
        <v>0.82005163999999997</v>
      </c>
      <c r="F12" s="38">
        <v>102.76224703</v>
      </c>
      <c r="G12" s="38">
        <v>17.994</v>
      </c>
      <c r="H12" s="38">
        <v>1.148884</v>
      </c>
      <c r="I12" s="38">
        <v>98</v>
      </c>
      <c r="J12" s="38">
        <v>35.96160544</v>
      </c>
      <c r="K12" s="38">
        <v>18.767009999999999</v>
      </c>
      <c r="L12" s="38">
        <v>20.422283</v>
      </c>
      <c r="M12" s="38">
        <v>33.97</v>
      </c>
      <c r="N12" s="38">
        <v>0.42468600000000001</v>
      </c>
      <c r="O12" s="38"/>
      <c r="P12" s="38">
        <v>288.65030200000001</v>
      </c>
      <c r="Q12" s="38">
        <v>24.45</v>
      </c>
      <c r="R12" s="38">
        <v>53.244043759999997</v>
      </c>
      <c r="S12" s="38">
        <v>0.70863799999999999</v>
      </c>
      <c r="T12" s="38">
        <v>30.35</v>
      </c>
      <c r="U12" s="38">
        <v>354.26212604</v>
      </c>
      <c r="V12" s="38"/>
      <c r="W12" s="38"/>
      <c r="X12" s="38">
        <v>171.47071051</v>
      </c>
      <c r="Y12" s="38">
        <f t="shared" si="0"/>
        <v>1253.4065874200001</v>
      </c>
    </row>
    <row r="13" spans="1:25" x14ac:dyDescent="0.2">
      <c r="A13" s="13">
        <v>2022</v>
      </c>
      <c r="B13" s="13" t="s">
        <v>33</v>
      </c>
      <c r="C13" s="28" t="s">
        <v>90</v>
      </c>
      <c r="D13" s="43">
        <v>624.46602199999995</v>
      </c>
      <c r="E13" s="43">
        <v>0</v>
      </c>
      <c r="F13" s="43">
        <v>204.64800715000001</v>
      </c>
      <c r="G13" s="43">
        <v>0.64600000000000002</v>
      </c>
      <c r="H13" s="43">
        <v>5.1E-5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0.45732600000000001</v>
      </c>
      <c r="O13" s="43">
        <v>1671.2285589999999</v>
      </c>
      <c r="P13" s="43">
        <v>0</v>
      </c>
      <c r="Q13" s="43">
        <v>1.68</v>
      </c>
      <c r="R13" s="43">
        <v>0</v>
      </c>
      <c r="S13" s="43">
        <v>0</v>
      </c>
      <c r="T13" s="43">
        <v>0</v>
      </c>
      <c r="U13" s="43">
        <v>0</v>
      </c>
      <c r="V13" s="43"/>
      <c r="W13" s="43">
        <v>1803.45319498</v>
      </c>
      <c r="X13" s="43">
        <v>61.281254330000003</v>
      </c>
      <c r="Y13" s="38">
        <f t="shared" si="0"/>
        <v>4367.8604144599994</v>
      </c>
    </row>
    <row r="17" spans="1:1" x14ac:dyDescent="0.2">
      <c r="A17" s="17" t="s">
        <v>115</v>
      </c>
    </row>
    <row r="18" spans="1:1" ht="15.75" customHeight="1" x14ac:dyDescent="0.2"/>
    <row r="19" spans="1:1" ht="16.149999999999999" customHeight="1" x14ac:dyDescent="0.2">
      <c r="A19" s="29" t="s">
        <v>119</v>
      </c>
    </row>
    <row r="20" spans="1:1" x14ac:dyDescent="0.2">
      <c r="A20" s="3" t="s">
        <v>93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tabSelected="1" topLeftCell="C4" zoomScaleNormal="100" workbookViewId="0">
      <selection activeCell="R24" sqref="R24"/>
    </sheetView>
  </sheetViews>
  <sheetFormatPr defaultColWidth="11.42578125" defaultRowHeight="12.75" x14ac:dyDescent="0.2"/>
  <cols>
    <col min="1" max="2" width="11.42578125" style="1"/>
    <col min="3" max="3" width="44" style="1" customWidth="1"/>
    <col min="4" max="16384" width="11.42578125" style="1"/>
  </cols>
  <sheetData>
    <row r="1" spans="1:26" x14ac:dyDescent="0.2">
      <c r="A1" s="1" t="s">
        <v>1</v>
      </c>
      <c r="B1" s="1" t="s">
        <v>44</v>
      </c>
      <c r="D1" s="1" t="s">
        <v>11</v>
      </c>
      <c r="E1" s="1" t="s">
        <v>19</v>
      </c>
      <c r="F1" s="1" t="s">
        <v>12</v>
      </c>
      <c r="G1" s="1" t="s">
        <v>104</v>
      </c>
      <c r="H1" s="1" t="s">
        <v>14</v>
      </c>
      <c r="I1" s="1" t="s">
        <v>13</v>
      </c>
      <c r="J1" s="1" t="s">
        <v>45</v>
      </c>
      <c r="K1" s="1" t="s">
        <v>2</v>
      </c>
      <c r="L1" s="1" t="s">
        <v>105</v>
      </c>
      <c r="M1" s="1" t="s">
        <v>20</v>
      </c>
      <c r="N1" s="1" t="s">
        <v>21</v>
      </c>
      <c r="O1" s="1" t="s">
        <v>4</v>
      </c>
      <c r="P1" s="1" t="s">
        <v>5</v>
      </c>
      <c r="Q1" s="1" t="s">
        <v>8</v>
      </c>
      <c r="R1" s="1" t="s">
        <v>16</v>
      </c>
      <c r="S1" s="1" t="s">
        <v>17</v>
      </c>
      <c r="T1" s="1" t="s">
        <v>22</v>
      </c>
      <c r="U1" s="1" t="s">
        <v>10</v>
      </c>
      <c r="V1" s="1" t="s">
        <v>18</v>
      </c>
      <c r="X1" s="1" t="s">
        <v>6</v>
      </c>
      <c r="Y1" s="1" t="s">
        <v>15</v>
      </c>
    </row>
    <row r="2" spans="1:26" x14ac:dyDescent="0.2">
      <c r="A2" s="19"/>
      <c r="B2" s="21"/>
      <c r="C2" s="21" t="s">
        <v>98</v>
      </c>
      <c r="D2" s="21" t="s">
        <v>53</v>
      </c>
      <c r="E2" s="21" t="s">
        <v>60</v>
      </c>
      <c r="F2" s="21" t="s">
        <v>54</v>
      </c>
      <c r="G2" s="21" t="s">
        <v>106</v>
      </c>
      <c r="H2" s="21" t="s">
        <v>55</v>
      </c>
      <c r="I2" s="21" t="s">
        <v>66</v>
      </c>
      <c r="J2" s="21" t="s">
        <v>121</v>
      </c>
      <c r="K2" s="21" t="s">
        <v>49</v>
      </c>
      <c r="L2" s="21" t="s">
        <v>107</v>
      </c>
      <c r="M2" s="21" t="s">
        <v>61</v>
      </c>
      <c r="N2" s="21" t="s">
        <v>62</v>
      </c>
      <c r="O2" s="21" t="s">
        <v>50</v>
      </c>
      <c r="P2" s="21" t="s">
        <v>51</v>
      </c>
      <c r="Q2" s="21" t="s">
        <v>67</v>
      </c>
      <c r="R2" s="21" t="s">
        <v>57</v>
      </c>
      <c r="S2" s="21" t="s">
        <v>58</v>
      </c>
      <c r="T2" s="21" t="s">
        <v>63</v>
      </c>
      <c r="U2" s="21" t="s">
        <v>52</v>
      </c>
      <c r="V2" s="21" t="s">
        <v>59</v>
      </c>
      <c r="W2" s="21"/>
      <c r="X2" s="21" t="s">
        <v>68</v>
      </c>
      <c r="Y2" s="21" t="s">
        <v>56</v>
      </c>
      <c r="Z2" s="21" t="s">
        <v>123</v>
      </c>
    </row>
    <row r="3" spans="1:26" x14ac:dyDescent="0.2">
      <c r="A3" s="1">
        <v>2022</v>
      </c>
      <c r="B3" s="1" t="s">
        <v>34</v>
      </c>
      <c r="C3" s="1" t="s">
        <v>99</v>
      </c>
      <c r="D3" s="1">
        <v>1675.0408570000002</v>
      </c>
      <c r="E3" s="1">
        <v>615.71126903999993</v>
      </c>
      <c r="F3" s="1">
        <v>299.72722485000003</v>
      </c>
      <c r="G3" s="1">
        <v>505.82490500000006</v>
      </c>
      <c r="H3" s="1">
        <v>1536.49</v>
      </c>
      <c r="I3" s="1">
        <v>4373.4922850000003</v>
      </c>
      <c r="J3" s="1">
        <v>0</v>
      </c>
      <c r="K3" s="1">
        <v>546.45348832000002</v>
      </c>
      <c r="L3" s="1">
        <v>436.611064</v>
      </c>
      <c r="M3" s="1">
        <v>363.55357100000003</v>
      </c>
      <c r="N3" s="1">
        <v>214.19</v>
      </c>
      <c r="O3" s="1">
        <v>154.19256700000003</v>
      </c>
      <c r="P3" s="1">
        <v>5617.364407</v>
      </c>
      <c r="Q3" s="1">
        <v>6233.8175600000004</v>
      </c>
      <c r="R3" s="1">
        <v>1166.31</v>
      </c>
      <c r="S3" s="1">
        <v>2524.9192223199998</v>
      </c>
      <c r="T3" s="1">
        <v>159.87660199999999</v>
      </c>
      <c r="U3" s="1">
        <v>587.69000000000005</v>
      </c>
      <c r="V3" s="1">
        <v>2388.4110014500002</v>
      </c>
      <c r="X3" s="1">
        <v>3474.9443406</v>
      </c>
      <c r="Y3" s="1">
        <v>1113.8261437599999</v>
      </c>
      <c r="Z3" s="1">
        <f>SUM(D3:Y3)</f>
        <v>33988.446508340006</v>
      </c>
    </row>
    <row r="4" spans="1:26" x14ac:dyDescent="0.2">
      <c r="A4" s="1">
        <v>2022</v>
      </c>
      <c r="B4" s="1" t="s">
        <v>46</v>
      </c>
      <c r="C4" s="1" t="s">
        <v>100</v>
      </c>
      <c r="D4" s="1">
        <v>1065.1479360000001</v>
      </c>
      <c r="E4" s="1">
        <v>514.26066572000002</v>
      </c>
      <c r="F4" s="1">
        <v>428.56967202999999</v>
      </c>
      <c r="G4" s="1">
        <v>283.55408299999999</v>
      </c>
      <c r="H4" s="1">
        <v>934.654</v>
      </c>
      <c r="I4" s="1">
        <v>514.05028500000003</v>
      </c>
      <c r="J4" s="1">
        <v>5715.5444510000007</v>
      </c>
      <c r="K4" s="1">
        <v>157.93512865000002</v>
      </c>
      <c r="L4" s="1">
        <v>359.35115500000001</v>
      </c>
      <c r="M4" s="1">
        <v>280.15295300000002</v>
      </c>
      <c r="N4" s="1">
        <v>173.44</v>
      </c>
      <c r="O4" s="1">
        <v>105.97798399999999</v>
      </c>
      <c r="P4" s="1">
        <v>3798.0044069999999</v>
      </c>
      <c r="Q4" s="1">
        <v>2713.6296010000001</v>
      </c>
      <c r="R4" s="1">
        <v>543.88</v>
      </c>
      <c r="S4" s="1">
        <v>2088.43630016</v>
      </c>
      <c r="T4" s="1">
        <v>159.87660199999999</v>
      </c>
      <c r="U4" s="1">
        <v>472.34</v>
      </c>
      <c r="V4" s="1">
        <v>2117.45700167</v>
      </c>
      <c r="X4" s="1">
        <v>2656.1929471499998</v>
      </c>
      <c r="Y4" s="1">
        <v>923.50484033999999</v>
      </c>
      <c r="Z4" s="1">
        <f>SUM(D4:Y4)</f>
        <v>26005.960012719999</v>
      </c>
    </row>
    <row r="5" spans="1:26" x14ac:dyDescent="0.2">
      <c r="A5" s="1">
        <v>2022</v>
      </c>
      <c r="B5" s="1" t="s">
        <v>47</v>
      </c>
      <c r="C5" s="1" t="s">
        <v>101</v>
      </c>
      <c r="D5" s="1">
        <v>609.892921</v>
      </c>
      <c r="E5" s="1">
        <v>101.45060283000001</v>
      </c>
      <c r="F5" s="1">
        <v>1.108554E-2</v>
      </c>
      <c r="G5" s="1">
        <v>222.27082100000001</v>
      </c>
      <c r="H5" s="1">
        <v>601.83600000000001</v>
      </c>
      <c r="I5" s="1">
        <v>3859.442</v>
      </c>
      <c r="J5" s="1">
        <v>0</v>
      </c>
      <c r="K5" s="1">
        <v>388.51835968</v>
      </c>
      <c r="L5" s="1">
        <v>77.259907999999996</v>
      </c>
      <c r="M5" s="1">
        <v>83.400617999999994</v>
      </c>
      <c r="N5" s="1">
        <v>40.75</v>
      </c>
      <c r="O5" s="1">
        <v>48.214582999999998</v>
      </c>
      <c r="P5" s="1">
        <v>1819.36</v>
      </c>
      <c r="Q5" s="1">
        <v>3520.1879589999999</v>
      </c>
      <c r="R5" s="1">
        <v>622.43000000000006</v>
      </c>
      <c r="S5" s="1">
        <v>436.48292193999998</v>
      </c>
      <c r="T5" s="1">
        <v>0</v>
      </c>
      <c r="U5" s="1">
        <v>115.35</v>
      </c>
      <c r="V5" s="1">
        <v>270.95399977</v>
      </c>
      <c r="X5" s="1">
        <v>818.75139345000002</v>
      </c>
      <c r="Y5" s="1">
        <v>190.32130343</v>
      </c>
      <c r="Z5" s="1">
        <f>SUM(D5:Y5)</f>
        <v>13826.88447664</v>
      </c>
    </row>
    <row r="9" spans="1:26" x14ac:dyDescent="0.2">
      <c r="A9" s="2" t="s">
        <v>74</v>
      </c>
      <c r="B9" s="17" t="s">
        <v>97</v>
      </c>
      <c r="C9" s="17"/>
    </row>
    <row r="10" spans="1:26" ht="15.75" customHeight="1" x14ac:dyDescent="0.2">
      <c r="A10" s="2" t="s">
        <v>70</v>
      </c>
      <c r="C10" s="3"/>
    </row>
    <row r="11" spans="1:26" ht="16.149999999999999" customHeight="1" x14ac:dyDescent="0.2">
      <c r="B11" s="47" t="s">
        <v>122</v>
      </c>
      <c r="C11" s="4"/>
    </row>
    <row r="12" spans="1:26" x14ac:dyDescent="0.2">
      <c r="B12" s="29" t="s">
        <v>124</v>
      </c>
    </row>
    <row r="13" spans="1:26" x14ac:dyDescent="0.2">
      <c r="B13" s="3" t="s">
        <v>64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 1</vt:lpstr>
      <vt:lpstr>Figure1</vt:lpstr>
      <vt:lpstr>Figure2</vt:lpstr>
      <vt:lpstr>Figure3</vt:lpstr>
      <vt:lpstr>Figure4</vt:lpstr>
      <vt:lpstr>Figure5</vt:lpstr>
      <vt:lpstr>Figure6</vt:lpstr>
      <vt:lpstr>Figure7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remonis</dc:creator>
  <cp:lastModifiedBy>FILIPPA Sofia (ESTAT)</cp:lastModifiedBy>
  <dcterms:created xsi:type="dcterms:W3CDTF">2024-05-24T15:15:15Z</dcterms:created>
  <dcterms:modified xsi:type="dcterms:W3CDTF">2025-04-03T12:13:12Z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2024-05-24T13:23:30Z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ac9f7bd1-1821-436c-a902-b27fcc3ea752</vt:lpwstr>
  </property>
  <property fmtid="{D5CDD505-2E9C-101B-9397-08002B2CF9AE}" pid="8" name="MSIP_Label_6bd9ddd1-4d20-43f6-abfa-fc3c07406f94_ContentBits">
    <vt:lpwstr>0</vt:lpwstr>
  </property>
</Properties>
</file>