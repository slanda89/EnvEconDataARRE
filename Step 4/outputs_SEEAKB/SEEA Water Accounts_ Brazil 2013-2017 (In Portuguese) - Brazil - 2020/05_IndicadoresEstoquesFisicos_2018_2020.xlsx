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ibge.gov.br\dpe-conac\ContasAmbientais\SCEA Água\Terceiras CEAA_2018_2020\informativo e outros\tabelas finais\"/>
    </mc:Choice>
  </mc:AlternateContent>
  <xr:revisionPtr revIDLastSave="0" documentId="13_ncr:1_{8CBAFB01-4350-46C2-8521-662CF9DB369D}" xr6:coauthVersionLast="47" xr6:coauthVersionMax="47" xr10:uidLastSave="{00000000-0000-0000-0000-000000000000}"/>
  <bookViews>
    <workbookView xWindow="-120" yWindow="-120" windowWidth="20730" windowHeight="11160" tabRatio="1000" xr2:uid="{6FB78D31-CFD0-4BB3-9AF1-3FF14D5049A1}"/>
  </bookViews>
  <sheets>
    <sheet name="Ind_est_fís_Brasil" sheetId="12" r:id="rId1"/>
    <sheet name="Ind_est_fís_Grandes Regiões" sheetId="24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24" l="1"/>
  <c r="D43" i="24"/>
  <c r="E43" i="24"/>
  <c r="F43" i="24"/>
  <c r="G43" i="24"/>
  <c r="C44" i="24"/>
  <c r="D44" i="24"/>
  <c r="E44" i="24"/>
  <c r="F44" i="24"/>
  <c r="G44" i="24"/>
  <c r="C45" i="24"/>
  <c r="D45" i="24"/>
  <c r="E45" i="24"/>
  <c r="F45" i="24"/>
  <c r="G45" i="24"/>
  <c r="C46" i="24"/>
  <c r="D46" i="24"/>
  <c r="E46" i="24"/>
  <c r="F46" i="24"/>
  <c r="G46" i="24"/>
  <c r="C47" i="24"/>
  <c r="D47" i="24"/>
  <c r="E47" i="24"/>
  <c r="F47" i="24"/>
  <c r="G47" i="24"/>
  <c r="C48" i="24"/>
  <c r="D48" i="24"/>
  <c r="E48" i="24"/>
  <c r="F48" i="24"/>
  <c r="G48" i="24"/>
  <c r="C49" i="24"/>
  <c r="D49" i="24"/>
  <c r="E49" i="24"/>
  <c r="F49" i="24"/>
  <c r="G49" i="24"/>
  <c r="C50" i="24"/>
  <c r="D50" i="24"/>
  <c r="E50" i="24"/>
  <c r="F50" i="24"/>
  <c r="G50" i="24"/>
</calcChain>
</file>

<file path=xl/sharedStrings.xml><?xml version="1.0" encoding="utf-8"?>
<sst xmlns="http://schemas.openxmlformats.org/spreadsheetml/2006/main" count="177" uniqueCount="41">
  <si>
    <t>Indústrias extrativas</t>
  </si>
  <si>
    <t>Indústrias de transformação e construção</t>
  </si>
  <si>
    <t>Eletricidade e gás</t>
  </si>
  <si>
    <t>Demais atividades</t>
  </si>
  <si>
    <t>N</t>
  </si>
  <si>
    <t>NE</t>
  </si>
  <si>
    <t>SE</t>
  </si>
  <si>
    <t>S</t>
  </si>
  <si>
    <t>CO</t>
  </si>
  <si>
    <t>Agricultura, pecuária, produção florestal, pesca e aquicultura</t>
  </si>
  <si>
    <t>Indicadores</t>
  </si>
  <si>
    <t>Unidade</t>
  </si>
  <si>
    <t>%</t>
  </si>
  <si>
    <t>Água e esgoto</t>
  </si>
  <si>
    <t>Famílias</t>
  </si>
  <si>
    <t>litros/habitante/dia</t>
  </si>
  <si>
    <t>INDICADORES DE ESTOQUE</t>
  </si>
  <si>
    <t>Total de Recursos Hídricos Renováveis (TRHR)</t>
  </si>
  <si>
    <r>
      <t>hm</t>
    </r>
    <r>
      <rPr>
        <b/>
        <vertAlign val="superscript"/>
        <sz val="7"/>
        <rFont val="Arial"/>
        <family val="2"/>
      </rPr>
      <t>3</t>
    </r>
  </si>
  <si>
    <r>
      <t xml:space="preserve">Total de Recursos Hídricos Renováveis (TRHR) </t>
    </r>
    <r>
      <rPr>
        <b/>
        <i/>
        <sz val="7"/>
        <color indexed="8"/>
        <rFont val="Arial"/>
        <family val="2"/>
      </rPr>
      <t>per capita</t>
    </r>
  </si>
  <si>
    <r>
      <t>m</t>
    </r>
    <r>
      <rPr>
        <b/>
        <vertAlign val="superscript"/>
        <sz val="7"/>
        <color indexed="8"/>
        <rFont val="Arial"/>
        <family val="2"/>
      </rPr>
      <t>3</t>
    </r>
    <r>
      <rPr>
        <b/>
        <sz val="7"/>
        <color indexed="8"/>
        <rFont val="Arial"/>
        <family val="2"/>
      </rPr>
      <t>/habitante/ano</t>
    </r>
  </si>
  <si>
    <t>Índice de Retirada (IR) - Volume captado como proporção do TRHR</t>
  </si>
  <si>
    <t>Razão de dependência (RD) - Volume de entradas de outros países a montante como proporção de TRHR</t>
  </si>
  <si>
    <t>INDICADORES FÍSICOS</t>
  </si>
  <si>
    <t>Retirada total de água</t>
  </si>
  <si>
    <t>Participação das atividades econômicas na retirada total</t>
  </si>
  <si>
    <t>Participação das Famílias na retirada total</t>
  </si>
  <si>
    <t>Uso total da água</t>
  </si>
  <si>
    <t>Participação das atividades econômicas no uso total da água</t>
  </si>
  <si>
    <t>Participação das Famílias no uso total da água</t>
  </si>
  <si>
    <t>Retorno total para o meio ambiente</t>
  </si>
  <si>
    <t>Participação das atividades econômicas no retorno total</t>
  </si>
  <si>
    <t>Participação das Famílias no retorno total</t>
  </si>
  <si>
    <t>Consumo total</t>
  </si>
  <si>
    <t>Participação das atividades econômicas no consumo total</t>
  </si>
  <si>
    <t>Participação das Famílias no consumo total</t>
  </si>
  <si>
    <r>
      <t xml:space="preserve">Uso total da água pelas Famílias </t>
    </r>
    <r>
      <rPr>
        <i/>
        <sz val="7"/>
        <color indexed="8"/>
        <rFont val="Arial"/>
        <family val="2"/>
      </rPr>
      <t>per capita</t>
    </r>
    <r>
      <rPr>
        <sz val="7"/>
        <color indexed="8"/>
        <rFont val="Arial"/>
        <family val="2"/>
      </rPr>
      <t xml:space="preserve"> por dia</t>
    </r>
  </si>
  <si>
    <t>Índice de esgoto coletado das Famílias em relação ao uso de água</t>
  </si>
  <si>
    <t>Razão de dependência (RD) - Volume de entradas de outros países e/ou regiões a montante como proporção de TRHR</t>
  </si>
  <si>
    <t>Indicadores de Estoques e Físicos: Brasil, 2018-2020</t>
  </si>
  <si>
    <t>Indicadores de Estoques e Físicos: grandes regiões,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</si>
</sst>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%"/>
    <numFmt numFmtId="165" formatCode="0.000"/>
    <numFmt numFmtId="166" formatCode="#,##0.0"/>
    <numFmt numFmtId="167" formatCode="_-* #,##0.0_-;\-* #,##0.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7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7"/>
      <name val="Arial"/>
      <family val="2"/>
    </font>
    <font>
      <sz val="7"/>
      <name val="Times New Roman"/>
      <family val="1"/>
    </font>
    <font>
      <b/>
      <vertAlign val="superscript"/>
      <sz val="7"/>
      <name val="Arial"/>
      <family val="2"/>
    </font>
    <font>
      <b/>
      <i/>
      <sz val="7"/>
      <color indexed="8"/>
      <name val="Arial"/>
      <family val="2"/>
    </font>
    <font>
      <b/>
      <vertAlign val="superscript"/>
      <sz val="7"/>
      <color indexed="8"/>
      <name val="Arial"/>
      <family val="2"/>
    </font>
    <font>
      <b/>
      <sz val="7"/>
      <color indexed="8"/>
      <name val="Arial"/>
      <family val="2"/>
    </font>
    <font>
      <i/>
      <sz val="7"/>
      <color indexed="8"/>
      <name val="Arial"/>
      <family val="2"/>
    </font>
    <font>
      <sz val="7"/>
      <color indexed="8"/>
      <name val="Arial"/>
      <family val="2"/>
    </font>
    <font>
      <sz val="7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ck">
        <color theme="0"/>
      </right>
      <top style="hair">
        <color indexed="64"/>
      </top>
      <bottom style="hair">
        <color indexed="64"/>
      </bottom>
      <diagonal/>
    </border>
    <border>
      <left style="thick">
        <color theme="0"/>
      </left>
      <right style="thick">
        <color theme="0"/>
      </right>
      <top style="hair">
        <color indexed="64"/>
      </top>
      <bottom style="hair">
        <color indexed="64"/>
      </bottom>
      <diagonal/>
    </border>
    <border>
      <left style="thick">
        <color theme="0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5" fillId="0" borderId="0"/>
  </cellStyleXfs>
  <cellXfs count="34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Continuous"/>
    </xf>
    <xf numFmtId="0" fontId="2" fillId="0" borderId="0" xfId="0" applyFont="1" applyAlignment="1">
      <alignment horizontal="center"/>
    </xf>
    <xf numFmtId="0" fontId="4" fillId="4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10" fontId="2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10" fontId="2" fillId="0" borderId="0" xfId="1" applyNumberFormat="1" applyFont="1" applyFill="1" applyBorder="1" applyAlignme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0" borderId="4" xfId="0" applyFont="1" applyBorder="1"/>
    <xf numFmtId="165" fontId="5" fillId="0" borderId="0" xfId="0" applyNumberFormat="1" applyFont="1"/>
    <xf numFmtId="0" fontId="13" fillId="5" borderId="0" xfId="0" applyFont="1" applyFill="1"/>
    <xf numFmtId="3" fontId="6" fillId="0" borderId="0" xfId="0" applyNumberFormat="1" applyFont="1" applyAlignment="1">
      <alignment horizontal="left"/>
    </xf>
    <xf numFmtId="3" fontId="3" fillId="4" borderId="0" xfId="0" applyNumberFormat="1" applyFont="1" applyFill="1" applyAlignment="1">
      <alignment horizontal="right"/>
    </xf>
    <xf numFmtId="3" fontId="3" fillId="4" borderId="0" xfId="1" applyNumberFormat="1" applyFont="1" applyFill="1" applyAlignment="1">
      <alignment horizontal="right"/>
    </xf>
    <xf numFmtId="0" fontId="4" fillId="4" borderId="0" xfId="0" applyFont="1" applyFill="1" applyAlignment="1">
      <alignment horizontal="left" wrapText="1"/>
    </xf>
    <xf numFmtId="166" fontId="3" fillId="4" borderId="0" xfId="1" applyNumberFormat="1" applyFont="1" applyFill="1" applyAlignment="1">
      <alignment horizontal="right"/>
    </xf>
    <xf numFmtId="166" fontId="3" fillId="4" borderId="0" xfId="0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67" fontId="2" fillId="0" borderId="0" xfId="2" applyNumberFormat="1" applyFont="1" applyAlignment="1">
      <alignment horizontal="right"/>
    </xf>
    <xf numFmtId="167" fontId="5" fillId="0" borderId="0" xfId="2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6">
    <cellStyle name="Normal" xfId="0" builtinId="0"/>
    <cellStyle name="Normal 2" xfId="5" xr:uid="{00000000-0005-0000-0000-000031000000}"/>
    <cellStyle name="Normal 7" xfId="3" xr:uid="{52FBEE66-E37A-4B95-ACBE-41CD46F0874E}"/>
    <cellStyle name="Porcentagem" xfId="1" builtinId="5"/>
    <cellStyle name="Porcentagem 2" xfId="4" xr:uid="{2C946067-D716-4E42-827F-D014749278D0}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ibge.gov.br\dpe-conac\ContasAmbientais\SCEA%20&#193;gua\Terceiras%20CEAA_2018_2020\arquivo%20de%20sa&#237;da%20do%20algoritmo%20(an&#225;lise%20resultados)\Insumos2018-2020.xlsx" TargetMode="External"/><Relationship Id="rId1" Type="http://schemas.openxmlformats.org/officeDocument/2006/relationships/externalLinkPath" Target="/ContasAmbientais/SCEA%20&#193;gua/Terceiras%20CEAA_2018_2020/arquivo%20de%20sa&#237;da%20do%20algoritmo%20(an&#225;lise%20resultados)/Insumos2018-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BP"/>
      <sheetName val="PPI monetário"/>
      <sheetName val="PPI - F"/>
      <sheetName val="VAB_BR"/>
      <sheetName val="VAB_N"/>
      <sheetName val="VAB_NE"/>
      <sheetName val="VAB_SE"/>
      <sheetName val="VAB_S"/>
      <sheetName val="VAB_CO"/>
      <sheetName val="Despesas com A_BR"/>
      <sheetName val="Despesas com A_N"/>
      <sheetName val="Despesas com A_NE"/>
      <sheetName val="Despesas com A_SE"/>
      <sheetName val="Despesas com A_S"/>
      <sheetName val="Despesas com A_CO"/>
      <sheetName val="Despesas com E_BR"/>
      <sheetName val="Despesas com E_N"/>
      <sheetName val="Despesas com E_NE"/>
      <sheetName val="Despesas com E_SE"/>
      <sheetName val="Despesas com E_S"/>
      <sheetName val="Despesas com E_CO"/>
      <sheetName val="Despesas com A&amp;E_BR"/>
      <sheetName val="Despesas com A&amp;E_N"/>
      <sheetName val="Despesas com A&amp;E_NE"/>
      <sheetName val="Despesas com A&amp;E_SE"/>
      <sheetName val="Despesas com A&amp;E_S"/>
      <sheetName val="Despesas com A&amp;E_CO"/>
      <sheetName val="Retirada total_BR"/>
      <sheetName val="Retirada total_N"/>
      <sheetName val="Retirada total_NE"/>
      <sheetName val="Retirada total_SE"/>
      <sheetName val="Retirada total_S"/>
      <sheetName val="Retirada total_CO"/>
      <sheetName val="Retirada total_uso consuntivoBR"/>
      <sheetName val="Retirada total_uso consuntivoN"/>
      <sheetName val="Retirada total_uso consuntivoNE"/>
      <sheetName val="Retirada total_uso consuntivoSE"/>
      <sheetName val="Retirada total_uso consuntivoS"/>
      <sheetName val="Retirada total_uso consuntivoCO"/>
      <sheetName val="Uso água de outras atividadesB"/>
      <sheetName val="Uso água de outras atividadesN"/>
      <sheetName val="Uso água de outras atividadesNE"/>
      <sheetName val="Uso água de outras atividadesSE"/>
      <sheetName val="Uso água de outras atividadesS"/>
      <sheetName val="Uso água de outras atividadesCO"/>
      <sheetName val="Uso de água tratada_BR"/>
      <sheetName val="Uso de água tratada_N"/>
      <sheetName val="Uso de água tratada_NE"/>
      <sheetName val="Uso de água tratada_SE"/>
      <sheetName val="Uso de água tratada_S"/>
      <sheetName val="Uso de água tratada_CO"/>
      <sheetName val="Uso de água por tipo de origem"/>
      <sheetName val="Uso total_BR"/>
      <sheetName val="Uso total_N"/>
      <sheetName val="Uso total_NE"/>
      <sheetName val="Uso total_SE"/>
      <sheetName val="Uso total_S"/>
      <sheetName val="Uso total_CO"/>
      <sheetName val="Suprimento_BR"/>
      <sheetName val="Suprimento_N"/>
      <sheetName val="Suprimento_NE"/>
      <sheetName val="Suprimento_SE"/>
      <sheetName val="Suprimento_S"/>
      <sheetName val="Suprimento_CO"/>
      <sheetName val="Águas residuais para redes_BR"/>
      <sheetName val="Águas residuais para redes_N"/>
      <sheetName val="Águas residuais para redes_NE"/>
      <sheetName val="Águas residuais para redes_SE"/>
      <sheetName val="Águas residuais para redes_S"/>
      <sheetName val="Águas residuais para redes_CO"/>
      <sheetName val="Retorno para o meio ambiente_BR"/>
      <sheetName val="Retorno para o meio ambiente_N"/>
      <sheetName val="Retorno para o meio ambiente_NE"/>
      <sheetName val="Retorno para o meio ambiente_SE"/>
      <sheetName val="Retorno para o meio ambiente_S"/>
      <sheetName val="Retorno para o meio ambiente_CO"/>
      <sheetName val="Consumo_BR"/>
      <sheetName val="Consumo_N"/>
      <sheetName val="Consumo_NE"/>
      <sheetName val="Consumo_SE"/>
      <sheetName val="Consumo_S"/>
      <sheetName val="Consumo_CO"/>
      <sheetName val="Eletr e gas agua e esg desag BR"/>
      <sheetName val="Elet e gas agua e esg desag N"/>
      <sheetName val="Índic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Indicadores_informe"/>
      <sheetName val="Indicadores_informe_regiões"/>
      <sheetName val="Indicadores_híb_site"/>
      <sheetName val="Indicadores_fís_site"/>
      <sheetName val="Indicadores_híb_site_regiões"/>
      <sheetName val="Indicadores_fís_site_regiões"/>
      <sheetName val="População"/>
      <sheetName val="VAB IV"/>
      <sheetName val="conferencia_dado_texto_estoque"/>
      <sheetName val="conferência_dado_texto_fisica"/>
      <sheetName val="conferência_dado_texto_hibrida"/>
      <sheetName val="conferência_dado_estoques mateu"/>
      <sheetName val="Indicadores_apresentação_agu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>
        <row r="43">
          <cell r="C43">
            <v>0.99593061731920873</v>
          </cell>
          <cell r="D43">
            <v>0.99031283399918235</v>
          </cell>
          <cell r="E43">
            <v>0.98704812516055029</v>
          </cell>
          <cell r="F43">
            <v>0.99570535147747208</v>
          </cell>
          <cell r="G43">
            <v>0.9979831783214993</v>
          </cell>
        </row>
        <row r="44">
          <cell r="C44">
            <v>0.97391132168287653</v>
          </cell>
          <cell r="D44">
            <v>0.94583220811588042</v>
          </cell>
          <cell r="E44">
            <v>0.951400102364099</v>
          </cell>
          <cell r="F44">
            <v>0.98410348039366824</v>
          </cell>
          <cell r="G44">
            <v>0.98995963666832898</v>
          </cell>
        </row>
        <row r="45">
          <cell r="C45">
            <v>4.7747357559387105E-3</v>
          </cell>
          <cell r="D45">
            <v>2.516369525823927E-4</v>
          </cell>
          <cell r="E45">
            <v>1.6661936936247482E-3</v>
          </cell>
          <cell r="F45">
            <v>1.8152396121602862E-4</v>
          </cell>
          <cell r="G45">
            <v>1.5614469021232749E-4</v>
          </cell>
        </row>
        <row r="46">
          <cell r="C46">
            <v>2.6462207718294804E-3</v>
          </cell>
          <cell r="D46">
            <v>2.0721871906851271E-2</v>
          </cell>
          <cell r="E46">
            <v>1.7193715359799897E-2</v>
          </cell>
          <cell r="F46">
            <v>4.5778316636360455E-3</v>
          </cell>
          <cell r="G46">
            <v>5.1691364947471013E-3</v>
          </cell>
        </row>
        <row r="47">
          <cell r="C47">
            <v>6.8365010818967537E-4</v>
          </cell>
          <cell r="D47">
            <v>9.8017205732854585E-4</v>
          </cell>
          <cell r="E47">
            <v>2.7893314314694989E-4</v>
          </cell>
          <cell r="F47">
            <v>4.483057040797392E-4</v>
          </cell>
          <cell r="G47">
            <v>2.6513695404236655E-5</v>
          </cell>
        </row>
        <row r="48">
          <cell r="C48">
            <v>9.4293076613731625E-3</v>
          </cell>
          <cell r="D48">
            <v>2.05989575676413E-2</v>
          </cell>
          <cell r="E48">
            <v>1.5825478105583868E-2</v>
          </cell>
          <cell r="F48">
            <v>5.9052948813892265E-3</v>
          </cell>
          <cell r="G48">
            <v>2.4551589129111579E-3</v>
          </cell>
        </row>
        <row r="49">
          <cell r="C49">
            <v>4.485381339001151E-3</v>
          </cell>
          <cell r="D49">
            <v>1.9279873988983813E-3</v>
          </cell>
          <cell r="E49">
            <v>6.8370249429586553E-4</v>
          </cell>
          <cell r="F49">
            <v>4.8891487348280921E-4</v>
          </cell>
          <cell r="G49">
            <v>2.165878598954931E-4</v>
          </cell>
        </row>
        <row r="50">
          <cell r="C50">
            <v>4.0693826807911837E-3</v>
          </cell>
          <cell r="D50">
            <v>9.6871660008186651E-3</v>
          </cell>
          <cell r="E50">
            <v>1.2951874839450202E-2</v>
          </cell>
          <cell r="F50">
            <v>4.2946485225274066E-3</v>
          </cell>
          <cell r="G50">
            <v>2.0168216785014055E-3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67EB-B147-4AF9-A761-7AF9655BB58A}">
  <dimension ref="A1:E55"/>
  <sheetViews>
    <sheetView tabSelected="1" workbookViewId="0">
      <pane xSplit="2" ySplit="3" topLeftCell="C4" activePane="bottomRight" state="frozen"/>
      <selection activeCell="M46" sqref="M46"/>
      <selection pane="topRight" activeCell="M46" sqref="M46"/>
      <selection pane="bottomLeft" activeCell="M46" sqref="M46"/>
      <selection pane="bottomRight" sqref="A1:E1"/>
    </sheetView>
  </sheetViews>
  <sheetFormatPr defaultRowHeight="9" x14ac:dyDescent="0.15"/>
  <cols>
    <col min="1" max="1" width="78.7109375" style="14" customWidth="1"/>
    <col min="2" max="2" width="23" style="13" customWidth="1"/>
    <col min="3" max="5" width="8.7109375" style="20" customWidth="1"/>
    <col min="6" max="254" width="9.140625" style="1"/>
    <col min="255" max="255" width="51.7109375" style="1" customWidth="1"/>
    <col min="256" max="256" width="9.85546875" style="1" bestFit="1" customWidth="1"/>
    <col min="257" max="259" width="8.7109375" style="1" customWidth="1"/>
    <col min="260" max="510" width="9.140625" style="1"/>
    <col min="511" max="511" width="51.7109375" style="1" customWidth="1"/>
    <col min="512" max="512" width="9.85546875" style="1" bestFit="1" customWidth="1"/>
    <col min="513" max="515" width="8.7109375" style="1" customWidth="1"/>
    <col min="516" max="766" width="9.140625" style="1"/>
    <col min="767" max="767" width="51.7109375" style="1" customWidth="1"/>
    <col min="768" max="768" width="9.85546875" style="1" bestFit="1" customWidth="1"/>
    <col min="769" max="771" width="8.7109375" style="1" customWidth="1"/>
    <col min="772" max="1022" width="9.140625" style="1"/>
    <col min="1023" max="1023" width="51.7109375" style="1" customWidth="1"/>
    <col min="1024" max="1024" width="9.85546875" style="1" bestFit="1" customWidth="1"/>
    <col min="1025" max="1027" width="8.7109375" style="1" customWidth="1"/>
    <col min="1028" max="1278" width="9.140625" style="1"/>
    <col min="1279" max="1279" width="51.7109375" style="1" customWidth="1"/>
    <col min="1280" max="1280" width="9.85546875" style="1" bestFit="1" customWidth="1"/>
    <col min="1281" max="1283" width="8.7109375" style="1" customWidth="1"/>
    <col min="1284" max="1534" width="9.140625" style="1"/>
    <col min="1535" max="1535" width="51.7109375" style="1" customWidth="1"/>
    <col min="1536" max="1536" width="9.85546875" style="1" bestFit="1" customWidth="1"/>
    <col min="1537" max="1539" width="8.7109375" style="1" customWidth="1"/>
    <col min="1540" max="1790" width="9.140625" style="1"/>
    <col min="1791" max="1791" width="51.7109375" style="1" customWidth="1"/>
    <col min="1792" max="1792" width="9.85546875" style="1" bestFit="1" customWidth="1"/>
    <col min="1793" max="1795" width="8.7109375" style="1" customWidth="1"/>
    <col min="1796" max="2046" width="9.140625" style="1"/>
    <col min="2047" max="2047" width="51.7109375" style="1" customWidth="1"/>
    <col min="2048" max="2048" width="9.85546875" style="1" bestFit="1" customWidth="1"/>
    <col min="2049" max="2051" width="8.7109375" style="1" customWidth="1"/>
    <col min="2052" max="2302" width="9.140625" style="1"/>
    <col min="2303" max="2303" width="51.7109375" style="1" customWidth="1"/>
    <col min="2304" max="2304" width="9.85546875" style="1" bestFit="1" customWidth="1"/>
    <col min="2305" max="2307" width="8.7109375" style="1" customWidth="1"/>
    <col min="2308" max="2558" width="9.140625" style="1"/>
    <col min="2559" max="2559" width="51.7109375" style="1" customWidth="1"/>
    <col min="2560" max="2560" width="9.85546875" style="1" bestFit="1" customWidth="1"/>
    <col min="2561" max="2563" width="8.7109375" style="1" customWidth="1"/>
    <col min="2564" max="2814" width="9.140625" style="1"/>
    <col min="2815" max="2815" width="51.7109375" style="1" customWidth="1"/>
    <col min="2816" max="2816" width="9.85546875" style="1" bestFit="1" customWidth="1"/>
    <col min="2817" max="2819" width="8.7109375" style="1" customWidth="1"/>
    <col min="2820" max="3070" width="9.140625" style="1"/>
    <col min="3071" max="3071" width="51.7109375" style="1" customWidth="1"/>
    <col min="3072" max="3072" width="9.85546875" style="1" bestFit="1" customWidth="1"/>
    <col min="3073" max="3075" width="8.7109375" style="1" customWidth="1"/>
    <col min="3076" max="3326" width="9.140625" style="1"/>
    <col min="3327" max="3327" width="51.7109375" style="1" customWidth="1"/>
    <col min="3328" max="3328" width="9.85546875" style="1" bestFit="1" customWidth="1"/>
    <col min="3329" max="3331" width="8.7109375" style="1" customWidth="1"/>
    <col min="3332" max="3582" width="9.140625" style="1"/>
    <col min="3583" max="3583" width="51.7109375" style="1" customWidth="1"/>
    <col min="3584" max="3584" width="9.85546875" style="1" bestFit="1" customWidth="1"/>
    <col min="3585" max="3587" width="8.7109375" style="1" customWidth="1"/>
    <col min="3588" max="3838" width="9.140625" style="1"/>
    <col min="3839" max="3839" width="51.7109375" style="1" customWidth="1"/>
    <col min="3840" max="3840" width="9.85546875" style="1" bestFit="1" customWidth="1"/>
    <col min="3841" max="3843" width="8.7109375" style="1" customWidth="1"/>
    <col min="3844" max="4094" width="9.140625" style="1"/>
    <col min="4095" max="4095" width="51.7109375" style="1" customWidth="1"/>
    <col min="4096" max="4096" width="9.85546875" style="1" bestFit="1" customWidth="1"/>
    <col min="4097" max="4099" width="8.7109375" style="1" customWidth="1"/>
    <col min="4100" max="4350" width="9.140625" style="1"/>
    <col min="4351" max="4351" width="51.7109375" style="1" customWidth="1"/>
    <col min="4352" max="4352" width="9.85546875" style="1" bestFit="1" customWidth="1"/>
    <col min="4353" max="4355" width="8.7109375" style="1" customWidth="1"/>
    <col min="4356" max="4606" width="9.140625" style="1"/>
    <col min="4607" max="4607" width="51.7109375" style="1" customWidth="1"/>
    <col min="4608" max="4608" width="9.85546875" style="1" bestFit="1" customWidth="1"/>
    <col min="4609" max="4611" width="8.7109375" style="1" customWidth="1"/>
    <col min="4612" max="4862" width="9.140625" style="1"/>
    <col min="4863" max="4863" width="51.7109375" style="1" customWidth="1"/>
    <col min="4864" max="4864" width="9.85546875" style="1" bestFit="1" customWidth="1"/>
    <col min="4865" max="4867" width="8.7109375" style="1" customWidth="1"/>
    <col min="4868" max="5118" width="9.140625" style="1"/>
    <col min="5119" max="5119" width="51.7109375" style="1" customWidth="1"/>
    <col min="5120" max="5120" width="9.85546875" style="1" bestFit="1" customWidth="1"/>
    <col min="5121" max="5123" width="8.7109375" style="1" customWidth="1"/>
    <col min="5124" max="5374" width="9.140625" style="1"/>
    <col min="5375" max="5375" width="51.7109375" style="1" customWidth="1"/>
    <col min="5376" max="5376" width="9.85546875" style="1" bestFit="1" customWidth="1"/>
    <col min="5377" max="5379" width="8.7109375" style="1" customWidth="1"/>
    <col min="5380" max="5630" width="9.140625" style="1"/>
    <col min="5631" max="5631" width="51.7109375" style="1" customWidth="1"/>
    <col min="5632" max="5632" width="9.85546875" style="1" bestFit="1" customWidth="1"/>
    <col min="5633" max="5635" width="8.7109375" style="1" customWidth="1"/>
    <col min="5636" max="5886" width="9.140625" style="1"/>
    <col min="5887" max="5887" width="51.7109375" style="1" customWidth="1"/>
    <col min="5888" max="5888" width="9.85546875" style="1" bestFit="1" customWidth="1"/>
    <col min="5889" max="5891" width="8.7109375" style="1" customWidth="1"/>
    <col min="5892" max="6142" width="9.140625" style="1"/>
    <col min="6143" max="6143" width="51.7109375" style="1" customWidth="1"/>
    <col min="6144" max="6144" width="9.85546875" style="1" bestFit="1" customWidth="1"/>
    <col min="6145" max="6147" width="8.7109375" style="1" customWidth="1"/>
    <col min="6148" max="6398" width="9.140625" style="1"/>
    <col min="6399" max="6399" width="51.7109375" style="1" customWidth="1"/>
    <col min="6400" max="6400" width="9.85546875" style="1" bestFit="1" customWidth="1"/>
    <col min="6401" max="6403" width="8.7109375" style="1" customWidth="1"/>
    <col min="6404" max="6654" width="9.140625" style="1"/>
    <col min="6655" max="6655" width="51.7109375" style="1" customWidth="1"/>
    <col min="6656" max="6656" width="9.85546875" style="1" bestFit="1" customWidth="1"/>
    <col min="6657" max="6659" width="8.7109375" style="1" customWidth="1"/>
    <col min="6660" max="6910" width="9.140625" style="1"/>
    <col min="6911" max="6911" width="51.7109375" style="1" customWidth="1"/>
    <col min="6912" max="6912" width="9.85546875" style="1" bestFit="1" customWidth="1"/>
    <col min="6913" max="6915" width="8.7109375" style="1" customWidth="1"/>
    <col min="6916" max="7166" width="9.140625" style="1"/>
    <col min="7167" max="7167" width="51.7109375" style="1" customWidth="1"/>
    <col min="7168" max="7168" width="9.85546875" style="1" bestFit="1" customWidth="1"/>
    <col min="7169" max="7171" width="8.7109375" style="1" customWidth="1"/>
    <col min="7172" max="7422" width="9.140625" style="1"/>
    <col min="7423" max="7423" width="51.7109375" style="1" customWidth="1"/>
    <col min="7424" max="7424" width="9.85546875" style="1" bestFit="1" customWidth="1"/>
    <col min="7425" max="7427" width="8.7109375" style="1" customWidth="1"/>
    <col min="7428" max="7678" width="9.140625" style="1"/>
    <col min="7679" max="7679" width="51.7109375" style="1" customWidth="1"/>
    <col min="7680" max="7680" width="9.85546875" style="1" bestFit="1" customWidth="1"/>
    <col min="7681" max="7683" width="8.7109375" style="1" customWidth="1"/>
    <col min="7684" max="7934" width="9.140625" style="1"/>
    <col min="7935" max="7935" width="51.7109375" style="1" customWidth="1"/>
    <col min="7936" max="7936" width="9.85546875" style="1" bestFit="1" customWidth="1"/>
    <col min="7937" max="7939" width="8.7109375" style="1" customWidth="1"/>
    <col min="7940" max="8190" width="9.140625" style="1"/>
    <col min="8191" max="8191" width="51.7109375" style="1" customWidth="1"/>
    <col min="8192" max="8192" width="9.85546875" style="1" bestFit="1" customWidth="1"/>
    <col min="8193" max="8195" width="8.7109375" style="1" customWidth="1"/>
    <col min="8196" max="8446" width="9.140625" style="1"/>
    <col min="8447" max="8447" width="51.7109375" style="1" customWidth="1"/>
    <col min="8448" max="8448" width="9.85546875" style="1" bestFit="1" customWidth="1"/>
    <col min="8449" max="8451" width="8.7109375" style="1" customWidth="1"/>
    <col min="8452" max="8702" width="9.140625" style="1"/>
    <col min="8703" max="8703" width="51.7109375" style="1" customWidth="1"/>
    <col min="8704" max="8704" width="9.85546875" style="1" bestFit="1" customWidth="1"/>
    <col min="8705" max="8707" width="8.7109375" style="1" customWidth="1"/>
    <col min="8708" max="8958" width="9.140625" style="1"/>
    <col min="8959" max="8959" width="51.7109375" style="1" customWidth="1"/>
    <col min="8960" max="8960" width="9.85546875" style="1" bestFit="1" customWidth="1"/>
    <col min="8961" max="8963" width="8.7109375" style="1" customWidth="1"/>
    <col min="8964" max="9214" width="9.140625" style="1"/>
    <col min="9215" max="9215" width="51.7109375" style="1" customWidth="1"/>
    <col min="9216" max="9216" width="9.85546875" style="1" bestFit="1" customWidth="1"/>
    <col min="9217" max="9219" width="8.7109375" style="1" customWidth="1"/>
    <col min="9220" max="9470" width="9.140625" style="1"/>
    <col min="9471" max="9471" width="51.7109375" style="1" customWidth="1"/>
    <col min="9472" max="9472" width="9.85546875" style="1" bestFit="1" customWidth="1"/>
    <col min="9473" max="9475" width="8.7109375" style="1" customWidth="1"/>
    <col min="9476" max="9726" width="9.140625" style="1"/>
    <col min="9727" max="9727" width="51.7109375" style="1" customWidth="1"/>
    <col min="9728" max="9728" width="9.85546875" style="1" bestFit="1" customWidth="1"/>
    <col min="9729" max="9731" width="8.7109375" style="1" customWidth="1"/>
    <col min="9732" max="9982" width="9.140625" style="1"/>
    <col min="9983" max="9983" width="51.7109375" style="1" customWidth="1"/>
    <col min="9984" max="9984" width="9.85546875" style="1" bestFit="1" customWidth="1"/>
    <col min="9985" max="9987" width="8.7109375" style="1" customWidth="1"/>
    <col min="9988" max="10238" width="9.140625" style="1"/>
    <col min="10239" max="10239" width="51.7109375" style="1" customWidth="1"/>
    <col min="10240" max="10240" width="9.85546875" style="1" bestFit="1" customWidth="1"/>
    <col min="10241" max="10243" width="8.7109375" style="1" customWidth="1"/>
    <col min="10244" max="10494" width="9.140625" style="1"/>
    <col min="10495" max="10495" width="51.7109375" style="1" customWidth="1"/>
    <col min="10496" max="10496" width="9.85546875" style="1" bestFit="1" customWidth="1"/>
    <col min="10497" max="10499" width="8.7109375" style="1" customWidth="1"/>
    <col min="10500" max="10750" width="9.140625" style="1"/>
    <col min="10751" max="10751" width="51.7109375" style="1" customWidth="1"/>
    <col min="10752" max="10752" width="9.85546875" style="1" bestFit="1" customWidth="1"/>
    <col min="10753" max="10755" width="8.7109375" style="1" customWidth="1"/>
    <col min="10756" max="11006" width="9.140625" style="1"/>
    <col min="11007" max="11007" width="51.7109375" style="1" customWidth="1"/>
    <col min="11008" max="11008" width="9.85546875" style="1" bestFit="1" customWidth="1"/>
    <col min="11009" max="11011" width="8.7109375" style="1" customWidth="1"/>
    <col min="11012" max="11262" width="9.140625" style="1"/>
    <col min="11263" max="11263" width="51.7109375" style="1" customWidth="1"/>
    <col min="11264" max="11264" width="9.85546875" style="1" bestFit="1" customWidth="1"/>
    <col min="11265" max="11267" width="8.7109375" style="1" customWidth="1"/>
    <col min="11268" max="11518" width="9.140625" style="1"/>
    <col min="11519" max="11519" width="51.7109375" style="1" customWidth="1"/>
    <col min="11520" max="11520" width="9.85546875" style="1" bestFit="1" customWidth="1"/>
    <col min="11521" max="11523" width="8.7109375" style="1" customWidth="1"/>
    <col min="11524" max="11774" width="9.140625" style="1"/>
    <col min="11775" max="11775" width="51.7109375" style="1" customWidth="1"/>
    <col min="11776" max="11776" width="9.85546875" style="1" bestFit="1" customWidth="1"/>
    <col min="11777" max="11779" width="8.7109375" style="1" customWidth="1"/>
    <col min="11780" max="12030" width="9.140625" style="1"/>
    <col min="12031" max="12031" width="51.7109375" style="1" customWidth="1"/>
    <col min="12032" max="12032" width="9.85546875" style="1" bestFit="1" customWidth="1"/>
    <col min="12033" max="12035" width="8.7109375" style="1" customWidth="1"/>
    <col min="12036" max="12286" width="9.140625" style="1"/>
    <col min="12287" max="12287" width="51.7109375" style="1" customWidth="1"/>
    <col min="12288" max="12288" width="9.85546875" style="1" bestFit="1" customWidth="1"/>
    <col min="12289" max="12291" width="8.7109375" style="1" customWidth="1"/>
    <col min="12292" max="12542" width="9.140625" style="1"/>
    <col min="12543" max="12543" width="51.7109375" style="1" customWidth="1"/>
    <col min="12544" max="12544" width="9.85546875" style="1" bestFit="1" customWidth="1"/>
    <col min="12545" max="12547" width="8.7109375" style="1" customWidth="1"/>
    <col min="12548" max="12798" width="9.140625" style="1"/>
    <col min="12799" max="12799" width="51.7109375" style="1" customWidth="1"/>
    <col min="12800" max="12800" width="9.85546875" style="1" bestFit="1" customWidth="1"/>
    <col min="12801" max="12803" width="8.7109375" style="1" customWidth="1"/>
    <col min="12804" max="13054" width="9.140625" style="1"/>
    <col min="13055" max="13055" width="51.7109375" style="1" customWidth="1"/>
    <col min="13056" max="13056" width="9.85546875" style="1" bestFit="1" customWidth="1"/>
    <col min="13057" max="13059" width="8.7109375" style="1" customWidth="1"/>
    <col min="13060" max="13310" width="9.140625" style="1"/>
    <col min="13311" max="13311" width="51.7109375" style="1" customWidth="1"/>
    <col min="13312" max="13312" width="9.85546875" style="1" bestFit="1" customWidth="1"/>
    <col min="13313" max="13315" width="8.7109375" style="1" customWidth="1"/>
    <col min="13316" max="13566" width="9.140625" style="1"/>
    <col min="13567" max="13567" width="51.7109375" style="1" customWidth="1"/>
    <col min="13568" max="13568" width="9.85546875" style="1" bestFit="1" customWidth="1"/>
    <col min="13569" max="13571" width="8.7109375" style="1" customWidth="1"/>
    <col min="13572" max="13822" width="9.140625" style="1"/>
    <col min="13823" max="13823" width="51.7109375" style="1" customWidth="1"/>
    <col min="13824" max="13824" width="9.85546875" style="1" bestFit="1" customWidth="1"/>
    <col min="13825" max="13827" width="8.7109375" style="1" customWidth="1"/>
    <col min="13828" max="14078" width="9.140625" style="1"/>
    <col min="14079" max="14079" width="51.7109375" style="1" customWidth="1"/>
    <col min="14080" max="14080" width="9.85546875" style="1" bestFit="1" customWidth="1"/>
    <col min="14081" max="14083" width="8.7109375" style="1" customWidth="1"/>
    <col min="14084" max="14334" width="9.140625" style="1"/>
    <col min="14335" max="14335" width="51.7109375" style="1" customWidth="1"/>
    <col min="14336" max="14336" width="9.85546875" style="1" bestFit="1" customWidth="1"/>
    <col min="14337" max="14339" width="8.7109375" style="1" customWidth="1"/>
    <col min="14340" max="14590" width="9.140625" style="1"/>
    <col min="14591" max="14591" width="51.7109375" style="1" customWidth="1"/>
    <col min="14592" max="14592" width="9.85546875" style="1" bestFit="1" customWidth="1"/>
    <col min="14593" max="14595" width="8.7109375" style="1" customWidth="1"/>
    <col min="14596" max="14846" width="9.140625" style="1"/>
    <col min="14847" max="14847" width="51.7109375" style="1" customWidth="1"/>
    <col min="14848" max="14848" width="9.85546875" style="1" bestFit="1" customWidth="1"/>
    <col min="14849" max="14851" width="8.7109375" style="1" customWidth="1"/>
    <col min="14852" max="15102" width="9.140625" style="1"/>
    <col min="15103" max="15103" width="51.7109375" style="1" customWidth="1"/>
    <col min="15104" max="15104" width="9.85546875" style="1" bestFit="1" customWidth="1"/>
    <col min="15105" max="15107" width="8.7109375" style="1" customWidth="1"/>
    <col min="15108" max="15358" width="9.140625" style="1"/>
    <col min="15359" max="15359" width="51.7109375" style="1" customWidth="1"/>
    <col min="15360" max="15360" width="9.85546875" style="1" bestFit="1" customWidth="1"/>
    <col min="15361" max="15363" width="8.7109375" style="1" customWidth="1"/>
    <col min="15364" max="15614" width="9.140625" style="1"/>
    <col min="15615" max="15615" width="51.7109375" style="1" customWidth="1"/>
    <col min="15616" max="15616" width="9.85546875" style="1" bestFit="1" customWidth="1"/>
    <col min="15617" max="15619" width="8.7109375" style="1" customWidth="1"/>
    <col min="15620" max="15870" width="9.140625" style="1"/>
    <col min="15871" max="15871" width="51.7109375" style="1" customWidth="1"/>
    <col min="15872" max="15872" width="9.85546875" style="1" bestFit="1" customWidth="1"/>
    <col min="15873" max="15875" width="8.7109375" style="1" customWidth="1"/>
    <col min="15876" max="16126" width="9.140625" style="1"/>
    <col min="16127" max="16127" width="51.7109375" style="1" customWidth="1"/>
    <col min="16128" max="16128" width="9.85546875" style="1" bestFit="1" customWidth="1"/>
    <col min="16129" max="16131" width="8.7109375" style="1" customWidth="1"/>
    <col min="16132" max="16384" width="9.140625" style="1"/>
  </cols>
  <sheetData>
    <row r="1" spans="1:5" ht="13.5" customHeight="1" x14ac:dyDescent="0.25">
      <c r="A1" s="32" t="s">
        <v>39</v>
      </c>
      <c r="B1" s="33"/>
      <c r="C1" s="33"/>
      <c r="D1" s="33"/>
      <c r="E1" s="33"/>
    </row>
    <row r="2" spans="1:5" ht="13.5" customHeight="1" x14ac:dyDescent="0.15">
      <c r="A2" s="7"/>
      <c r="B2" s="7"/>
      <c r="C2" s="7"/>
      <c r="D2" s="7"/>
      <c r="E2" s="7"/>
    </row>
    <row r="3" spans="1:5" ht="13.5" customHeight="1" x14ac:dyDescent="0.15">
      <c r="A3" s="2" t="s">
        <v>10</v>
      </c>
      <c r="B3" s="3" t="s">
        <v>11</v>
      </c>
      <c r="C3" s="4">
        <v>2018</v>
      </c>
      <c r="D3" s="4">
        <v>2019</v>
      </c>
      <c r="E3" s="4">
        <v>2020</v>
      </c>
    </row>
    <row r="4" spans="1:5" ht="13.5" customHeight="1" x14ac:dyDescent="0.15">
      <c r="A4" s="5"/>
      <c r="B4" s="5"/>
      <c r="C4" s="5"/>
      <c r="D4" s="5"/>
      <c r="E4" s="5"/>
    </row>
    <row r="5" spans="1:5" ht="13.5" customHeight="1" x14ac:dyDescent="0.15">
      <c r="A5" s="6" t="s">
        <v>16</v>
      </c>
      <c r="B5" s="6"/>
      <c r="C5" s="6"/>
      <c r="D5" s="6"/>
      <c r="E5" s="6"/>
    </row>
    <row r="6" spans="1:5" ht="13.5" customHeight="1" x14ac:dyDescent="0.15">
      <c r="A6" s="8" t="s">
        <v>17</v>
      </c>
      <c r="B6" s="9" t="s">
        <v>18</v>
      </c>
      <c r="C6" s="24">
        <v>8306766</v>
      </c>
      <c r="D6" s="24">
        <v>8380734</v>
      </c>
      <c r="E6" s="24">
        <v>6733794</v>
      </c>
    </row>
    <row r="7" spans="1:5" ht="13.5" customHeight="1" x14ac:dyDescent="0.15">
      <c r="A7" s="8" t="s">
        <v>19</v>
      </c>
      <c r="B7" s="9" t="s">
        <v>20</v>
      </c>
      <c r="C7" s="24">
        <v>39841.578858763452</v>
      </c>
      <c r="D7" s="24">
        <v>39880.317182545325</v>
      </c>
      <c r="E7" s="24">
        <v>31799.825243894742</v>
      </c>
    </row>
    <row r="8" spans="1:5" ht="13.5" customHeight="1" x14ac:dyDescent="0.15">
      <c r="A8" s="8" t="s">
        <v>21</v>
      </c>
      <c r="B8" s="9" t="s">
        <v>12</v>
      </c>
      <c r="C8" s="26">
        <v>6.7891631007797599</v>
      </c>
      <c r="D8" s="26">
        <v>6.7244127678487713</v>
      </c>
      <c r="E8" s="26">
        <v>8.5436591248021276</v>
      </c>
    </row>
    <row r="9" spans="1:5" ht="13.5" customHeight="1" x14ac:dyDescent="0.15">
      <c r="A9" s="8" t="s">
        <v>22</v>
      </c>
      <c r="B9" s="9" t="s">
        <v>12</v>
      </c>
      <c r="C9" s="26">
        <v>34.32770346486226</v>
      </c>
      <c r="D9" s="26">
        <v>35.18607081432247</v>
      </c>
      <c r="E9" s="26">
        <v>36.08693702242747</v>
      </c>
    </row>
    <row r="10" spans="1:5" ht="13.5" customHeight="1" x14ac:dyDescent="0.15">
      <c r="A10" s="5"/>
      <c r="B10" s="5"/>
      <c r="C10" s="5"/>
      <c r="D10" s="5"/>
      <c r="E10" s="5"/>
    </row>
    <row r="11" spans="1:5" ht="13.5" customHeight="1" x14ac:dyDescent="0.15">
      <c r="A11" s="6" t="s">
        <v>23</v>
      </c>
      <c r="B11" s="6"/>
      <c r="C11" s="6"/>
      <c r="D11" s="6"/>
      <c r="E11" s="6"/>
    </row>
    <row r="12" spans="1:5" ht="13.5" customHeight="1" x14ac:dyDescent="0.15">
      <c r="A12" s="10" t="s">
        <v>24</v>
      </c>
      <c r="B12" s="7"/>
      <c r="C12" s="11"/>
      <c r="D12" s="11"/>
      <c r="E12" s="11"/>
    </row>
    <row r="13" spans="1:5" ht="13.5" customHeight="1" x14ac:dyDescent="0.15">
      <c r="A13" s="10" t="s">
        <v>25</v>
      </c>
      <c r="B13" s="7" t="s">
        <v>12</v>
      </c>
      <c r="C13" s="30">
        <v>99.982518115242215</v>
      </c>
      <c r="D13" s="30">
        <v>99.983184107540566</v>
      </c>
      <c r="E13" s="30">
        <v>99.983286396948785</v>
      </c>
    </row>
    <row r="14" spans="1:5" ht="13.5" customHeight="1" x14ac:dyDescent="0.15">
      <c r="A14" s="12" t="s">
        <v>9</v>
      </c>
      <c r="B14" s="13" t="s">
        <v>12</v>
      </c>
      <c r="C14" s="31">
        <v>13.310568155168658</v>
      </c>
      <c r="D14" s="31">
        <v>12.885471127642814</v>
      </c>
      <c r="E14" s="31">
        <v>13.181538024778227</v>
      </c>
    </row>
    <row r="15" spans="1:5" ht="13.5" customHeight="1" x14ac:dyDescent="0.15">
      <c r="A15" s="12" t="s">
        <v>0</v>
      </c>
      <c r="B15" s="13" t="s">
        <v>12</v>
      </c>
      <c r="C15" s="31">
        <v>2.1049648644254227E-2</v>
      </c>
      <c r="D15" s="31">
        <v>2.1334468029457449E-2</v>
      </c>
      <c r="E15" s="31">
        <v>2.2313728741841787E-2</v>
      </c>
    </row>
    <row r="16" spans="1:5" ht="13.5" customHeight="1" x14ac:dyDescent="0.15">
      <c r="A16" s="12" t="s">
        <v>1</v>
      </c>
      <c r="B16" s="13" t="s">
        <v>12</v>
      </c>
      <c r="C16" s="31">
        <v>0.14461974022736612</v>
      </c>
      <c r="D16" s="31">
        <v>0.14090868405945112</v>
      </c>
      <c r="E16" s="31">
        <v>0.14492110152982723</v>
      </c>
    </row>
    <row r="17" spans="1:5" ht="13.5" customHeight="1" x14ac:dyDescent="0.15">
      <c r="A17" s="12" t="s">
        <v>2</v>
      </c>
      <c r="B17" s="13" t="s">
        <v>12</v>
      </c>
      <c r="C17" s="31">
        <v>85.058001776074107</v>
      </c>
      <c r="D17" s="31">
        <v>85.528523228666771</v>
      </c>
      <c r="E17" s="31">
        <v>85.247188356456391</v>
      </c>
    </row>
    <row r="18" spans="1:5" ht="13.5" customHeight="1" x14ac:dyDescent="0.15">
      <c r="A18" s="12" t="s">
        <v>13</v>
      </c>
      <c r="B18" s="13" t="s">
        <v>12</v>
      </c>
      <c r="C18" s="31">
        <v>1.4482787951278195</v>
      </c>
      <c r="D18" s="31">
        <v>1.4069465991420829</v>
      </c>
      <c r="E18" s="31">
        <v>1.3873251854425015</v>
      </c>
    </row>
    <row r="19" spans="1:5" ht="13.5" customHeight="1" x14ac:dyDescent="0.15">
      <c r="A19" s="12" t="s">
        <v>3</v>
      </c>
      <c r="B19" s="13" t="s">
        <v>12</v>
      </c>
      <c r="C19" s="31">
        <v>0</v>
      </c>
      <c r="D19" s="31">
        <v>0</v>
      </c>
      <c r="E19" s="31">
        <v>0</v>
      </c>
    </row>
    <row r="20" spans="1:5" ht="13.5" customHeight="1" x14ac:dyDescent="0.15">
      <c r="A20" s="10" t="s">
        <v>26</v>
      </c>
      <c r="B20" s="7" t="s">
        <v>12</v>
      </c>
      <c r="C20" s="30">
        <v>1.7481884757776015E-2</v>
      </c>
      <c r="D20" s="30">
        <v>1.6815892459429032E-2</v>
      </c>
      <c r="E20" s="30">
        <v>1.6713603051208125E-2</v>
      </c>
    </row>
    <row r="21" spans="1:5" ht="13.5" customHeight="1" x14ac:dyDescent="0.15">
      <c r="A21" s="12"/>
      <c r="C21" s="30"/>
      <c r="D21" s="30"/>
      <c r="E21" s="30"/>
    </row>
    <row r="22" spans="1:5" ht="13.5" customHeight="1" x14ac:dyDescent="0.15">
      <c r="A22" s="10" t="s">
        <v>27</v>
      </c>
      <c r="B22" s="7"/>
      <c r="C22" s="30"/>
      <c r="D22" s="30"/>
      <c r="E22" s="30"/>
    </row>
    <row r="23" spans="1:5" ht="13.5" customHeight="1" x14ac:dyDescent="0.15">
      <c r="A23" s="10" t="s">
        <v>28</v>
      </c>
      <c r="B23" s="7" t="s">
        <v>12</v>
      </c>
      <c r="C23" s="30">
        <v>99.781862363519494</v>
      </c>
      <c r="D23" s="30">
        <v>99.784372023691333</v>
      </c>
      <c r="E23" s="30">
        <v>99.781522023521987</v>
      </c>
    </row>
    <row r="24" spans="1:5" ht="13.5" customHeight="1" x14ac:dyDescent="0.15">
      <c r="A24" s="12" t="s">
        <v>9</v>
      </c>
      <c r="B24" s="13" t="s">
        <v>12</v>
      </c>
      <c r="C24" s="31">
        <v>13.288996266612212</v>
      </c>
      <c r="D24" s="31">
        <v>12.868084010340276</v>
      </c>
      <c r="E24" s="31">
        <v>13.15745557350389</v>
      </c>
    </row>
    <row r="25" spans="1:5" ht="13.5" customHeight="1" x14ac:dyDescent="0.15">
      <c r="A25" s="12" t="s">
        <v>0</v>
      </c>
      <c r="B25" s="13" t="s">
        <v>12</v>
      </c>
      <c r="C25" s="31">
        <v>2.1164752618545241E-2</v>
      </c>
      <c r="D25" s="31">
        <v>2.1445295315919422E-2</v>
      </c>
      <c r="E25" s="31">
        <v>2.2426845391338518E-2</v>
      </c>
    </row>
    <row r="26" spans="1:5" ht="13.5" customHeight="1" x14ac:dyDescent="0.15">
      <c r="A26" s="12" t="s">
        <v>1</v>
      </c>
      <c r="B26" s="13" t="s">
        <v>12</v>
      </c>
      <c r="C26" s="31">
        <v>0.14981629925856305</v>
      </c>
      <c r="D26" s="31">
        <v>0.14595843198585426</v>
      </c>
      <c r="E26" s="31">
        <v>0.14963678049289872</v>
      </c>
    </row>
    <row r="27" spans="1:5" ht="13.5" customHeight="1" x14ac:dyDescent="0.15">
      <c r="A27" s="12" t="s">
        <v>2</v>
      </c>
      <c r="B27" s="13" t="s">
        <v>12</v>
      </c>
      <c r="C27" s="31">
        <v>84.671417945291296</v>
      </c>
      <c r="D27" s="31">
        <v>85.136986206656189</v>
      </c>
      <c r="E27" s="31">
        <v>84.86373464093198</v>
      </c>
    </row>
    <row r="28" spans="1:5" ht="13.5" customHeight="1" x14ac:dyDescent="0.15">
      <c r="A28" s="12" t="s">
        <v>13</v>
      </c>
      <c r="B28" s="13" t="s">
        <v>12</v>
      </c>
      <c r="C28" s="31">
        <v>1.6030552097060735</v>
      </c>
      <c r="D28" s="31">
        <v>1.564611000873638</v>
      </c>
      <c r="E28" s="31">
        <v>1.544730763063338</v>
      </c>
    </row>
    <row r="29" spans="1:5" ht="13.5" customHeight="1" x14ac:dyDescent="0.15">
      <c r="A29" s="12" t="s">
        <v>3</v>
      </c>
      <c r="B29" s="13" t="s">
        <v>12</v>
      </c>
      <c r="C29" s="31">
        <v>4.7411890032798394E-2</v>
      </c>
      <c r="D29" s="31">
        <v>4.7287078519450798E-2</v>
      </c>
      <c r="E29" s="31">
        <v>4.3537420138540867E-2</v>
      </c>
    </row>
    <row r="30" spans="1:5" ht="13.5" customHeight="1" x14ac:dyDescent="0.15">
      <c r="A30" s="10" t="s">
        <v>29</v>
      </c>
      <c r="B30" s="7" t="s">
        <v>12</v>
      </c>
      <c r="C30" s="30">
        <v>0.21813763648049203</v>
      </c>
      <c r="D30" s="30">
        <v>0.21562797630865949</v>
      </c>
      <c r="E30" s="30">
        <v>0.21847797647802217</v>
      </c>
    </row>
    <row r="31" spans="1:5" ht="13.5" customHeight="1" x14ac:dyDescent="0.15">
      <c r="A31" s="10"/>
      <c r="B31" s="7"/>
      <c r="C31" s="30"/>
      <c r="D31" s="30"/>
      <c r="E31" s="30"/>
    </row>
    <row r="32" spans="1:5" ht="13.5" customHeight="1" x14ac:dyDescent="0.15">
      <c r="A32" s="10" t="s">
        <v>30</v>
      </c>
      <c r="B32" s="7"/>
      <c r="C32" s="30"/>
      <c r="D32" s="30"/>
      <c r="E32" s="30"/>
    </row>
    <row r="33" spans="1:5" ht="13.5" customHeight="1" x14ac:dyDescent="0.15">
      <c r="A33" s="10" t="s">
        <v>31</v>
      </c>
      <c r="B33" s="7" t="s">
        <v>12</v>
      </c>
      <c r="C33" s="30">
        <v>99.954850336412534</v>
      </c>
      <c r="D33" s="30">
        <v>99.95815199205947</v>
      </c>
      <c r="E33" s="30">
        <v>99.957213835258941</v>
      </c>
    </row>
    <row r="34" spans="1:5" ht="13.5" customHeight="1" x14ac:dyDescent="0.15">
      <c r="A34" s="12" t="s">
        <v>9</v>
      </c>
      <c r="B34" s="13" t="s">
        <v>12</v>
      </c>
      <c r="C34" s="31">
        <v>6.6927279687088985</v>
      </c>
      <c r="D34" s="31">
        <v>6.3606639759570829</v>
      </c>
      <c r="E34" s="31">
        <v>6.5215528140769736</v>
      </c>
    </row>
    <row r="35" spans="1:5" ht="13.5" customHeight="1" x14ac:dyDescent="0.15">
      <c r="A35" s="12" t="s">
        <v>0</v>
      </c>
      <c r="B35" s="13" t="s">
        <v>12</v>
      </c>
      <c r="C35" s="31">
        <v>1.6012916768332459E-2</v>
      </c>
      <c r="D35" s="31">
        <v>1.6199000360780369E-2</v>
      </c>
      <c r="E35" s="31">
        <v>1.7009187332376018E-2</v>
      </c>
    </row>
    <row r="36" spans="1:5" ht="13.5" customHeight="1" x14ac:dyDescent="0.15">
      <c r="A36" s="12" t="s">
        <v>1</v>
      </c>
      <c r="B36" s="13" t="s">
        <v>12</v>
      </c>
      <c r="C36" s="31">
        <v>7.5010858616668327E-2</v>
      </c>
      <c r="D36" s="31">
        <v>7.2427638599852684E-2</v>
      </c>
      <c r="E36" s="31">
        <v>7.517457489224158E-2</v>
      </c>
    </row>
    <row r="37" spans="1:5" ht="13.5" customHeight="1" x14ac:dyDescent="0.15">
      <c r="A37" s="12" t="s">
        <v>2</v>
      </c>
      <c r="B37" s="13" t="s">
        <v>12</v>
      </c>
      <c r="C37" s="31">
        <v>91.812407292303803</v>
      </c>
      <c r="D37" s="31">
        <v>92.195593163268725</v>
      </c>
      <c r="E37" s="31">
        <v>92.051592611703569</v>
      </c>
    </row>
    <row r="38" spans="1:5" ht="13.5" customHeight="1" x14ac:dyDescent="0.15">
      <c r="A38" s="12" t="s">
        <v>13</v>
      </c>
      <c r="B38" s="13" t="s">
        <v>12</v>
      </c>
      <c r="C38" s="31">
        <v>1.3502006514456228</v>
      </c>
      <c r="D38" s="31">
        <v>1.3054928026582786</v>
      </c>
      <c r="E38" s="31">
        <v>1.2854673393234677</v>
      </c>
    </row>
    <row r="39" spans="1:5" ht="13.5" customHeight="1" x14ac:dyDescent="0.15">
      <c r="A39" s="12" t="s">
        <v>3</v>
      </c>
      <c r="B39" s="13" t="s">
        <v>12</v>
      </c>
      <c r="C39" s="31">
        <v>8.4906485692123248E-3</v>
      </c>
      <c r="D39" s="31">
        <v>7.7754112147516465E-3</v>
      </c>
      <c r="E39" s="31">
        <v>6.4173079303208869E-3</v>
      </c>
    </row>
    <row r="40" spans="1:5" ht="13.5" customHeight="1" x14ac:dyDescent="0.15">
      <c r="A40" s="10" t="s">
        <v>32</v>
      </c>
      <c r="B40" s="7" t="s">
        <v>12</v>
      </c>
      <c r="C40" s="30">
        <v>4.5149663587466672E-2</v>
      </c>
      <c r="D40" s="30">
        <v>4.1848007940518912E-2</v>
      </c>
      <c r="E40" s="30">
        <v>4.2786164741051784E-2</v>
      </c>
    </row>
    <row r="41" spans="1:5" ht="13.5" customHeight="1" x14ac:dyDescent="0.15">
      <c r="A41" s="10"/>
      <c r="C41" s="30"/>
      <c r="D41" s="30"/>
      <c r="E41" s="30"/>
    </row>
    <row r="42" spans="1:5" ht="13.5" customHeight="1" x14ac:dyDescent="0.15">
      <c r="A42" s="10" t="s">
        <v>33</v>
      </c>
      <c r="B42" s="7"/>
      <c r="C42" s="30"/>
      <c r="D42" s="30"/>
      <c r="E42" s="30"/>
    </row>
    <row r="43" spans="1:5" ht="13.5" customHeight="1" x14ac:dyDescent="0.15">
      <c r="A43" s="10" t="s">
        <v>34</v>
      </c>
      <c r="B43" s="7" t="s">
        <v>12</v>
      </c>
      <c r="C43" s="30">
        <v>99.310638535475192</v>
      </c>
      <c r="D43" s="30">
        <v>99.307418729573399</v>
      </c>
      <c r="E43" s="30">
        <v>99.313509003342006</v>
      </c>
    </row>
    <row r="44" spans="1:5" ht="13.5" customHeight="1" x14ac:dyDescent="0.15">
      <c r="A44" s="12" t="s">
        <v>9</v>
      </c>
      <c r="B44" s="13" t="s">
        <v>12</v>
      </c>
      <c r="C44" s="31">
        <v>97.15813586130848</v>
      </c>
      <c r="D44" s="31">
        <v>97.143225200732104</v>
      </c>
      <c r="E44" s="31">
        <v>97.062521152297279</v>
      </c>
    </row>
    <row r="45" spans="1:5" ht="13.5" customHeight="1" x14ac:dyDescent="0.15">
      <c r="A45" s="12" t="s">
        <v>0</v>
      </c>
      <c r="B45" s="13" t="s">
        <v>12</v>
      </c>
      <c r="C45" s="31">
        <v>8.5433717801215503E-2</v>
      </c>
      <c r="D45" s="31">
        <v>8.8044613886370623E-2</v>
      </c>
      <c r="E45" s="31">
        <v>8.948924718377195E-2</v>
      </c>
    </row>
    <row r="46" spans="1:5" ht="13.5" customHeight="1" x14ac:dyDescent="0.15">
      <c r="A46" s="12" t="s">
        <v>1</v>
      </c>
      <c r="B46" s="13" t="s">
        <v>12</v>
      </c>
      <c r="C46" s="31">
        <v>1.0483756635958388</v>
      </c>
      <c r="D46" s="31">
        <v>1.0431494928531793</v>
      </c>
      <c r="E46" s="31">
        <v>1.0383671809991093</v>
      </c>
    </row>
    <row r="47" spans="1:5" ht="13.5" customHeight="1" x14ac:dyDescent="0.15">
      <c r="A47" s="12" t="s">
        <v>2</v>
      </c>
      <c r="B47" s="13" t="s">
        <v>12</v>
      </c>
      <c r="C47" s="31">
        <v>2.3491029727641746E-2</v>
      </c>
      <c r="D47" s="31">
        <v>2.4925714682384255E-2</v>
      </c>
      <c r="E47" s="31">
        <v>3.6687093316044028E-2</v>
      </c>
    </row>
    <row r="48" spans="1:5" ht="13.5" customHeight="1" x14ac:dyDescent="0.15">
      <c r="A48" s="12" t="s">
        <v>13</v>
      </c>
      <c r="B48" s="13" t="s">
        <v>12</v>
      </c>
      <c r="C48" s="31">
        <v>0.88149891466928543</v>
      </c>
      <c r="D48" s="31">
        <v>0.90589770753015442</v>
      </c>
      <c r="E48" s="31">
        <v>0.99617131487348498</v>
      </c>
    </row>
    <row r="49" spans="1:5" ht="13.5" customHeight="1" x14ac:dyDescent="0.15">
      <c r="A49" s="12" t="s">
        <v>3</v>
      </c>
      <c r="B49" s="13" t="s">
        <v>12</v>
      </c>
      <c r="C49" s="31">
        <v>0.11370334837272422</v>
      </c>
      <c r="D49" s="31">
        <v>0.1021759998891954</v>
      </c>
      <c r="E49" s="31">
        <v>9.0273014672316618E-2</v>
      </c>
    </row>
    <row r="50" spans="1:5" ht="13.5" customHeight="1" x14ac:dyDescent="0.15">
      <c r="A50" s="10" t="s">
        <v>35</v>
      </c>
      <c r="B50" s="7" t="s">
        <v>12</v>
      </c>
      <c r="C50" s="30">
        <v>0.68936146452444158</v>
      </c>
      <c r="D50" s="30">
        <v>0.69258127042649686</v>
      </c>
      <c r="E50" s="30">
        <v>0.68649099665791491</v>
      </c>
    </row>
    <row r="51" spans="1:5" ht="13.5" customHeight="1" x14ac:dyDescent="0.15">
      <c r="B51" s="7"/>
      <c r="C51" s="15"/>
      <c r="D51" s="15"/>
      <c r="E51" s="15"/>
    </row>
    <row r="52" spans="1:5" ht="13.5" customHeight="1" x14ac:dyDescent="0.15">
      <c r="A52" s="10" t="s">
        <v>14</v>
      </c>
      <c r="B52" s="16"/>
      <c r="C52" s="17"/>
      <c r="D52" s="17"/>
      <c r="E52" s="17"/>
    </row>
    <row r="53" spans="1:5" ht="13.5" customHeight="1" x14ac:dyDescent="0.15">
      <c r="A53" s="12" t="s">
        <v>36</v>
      </c>
      <c r="B53" s="13" t="s">
        <v>15</v>
      </c>
      <c r="C53" s="18">
        <v>115.99101992169433</v>
      </c>
      <c r="D53" s="18">
        <v>117.23786800948255</v>
      </c>
      <c r="E53" s="18">
        <v>117.52926764752935</v>
      </c>
    </row>
    <row r="54" spans="1:5" ht="13.5" customHeight="1" x14ac:dyDescent="0.15">
      <c r="A54" s="12" t="s">
        <v>37</v>
      </c>
      <c r="B54" s="13" t="s">
        <v>12</v>
      </c>
      <c r="C54" s="29">
        <v>57.76355104230003</v>
      </c>
      <c r="D54" s="29">
        <v>58.952188725795587</v>
      </c>
      <c r="E54" s="29">
        <v>58.814868827291193</v>
      </c>
    </row>
    <row r="55" spans="1:5" s="14" customFormat="1" ht="13.5" customHeight="1" x14ac:dyDescent="0.15">
      <c r="A55" s="19"/>
      <c r="B55" s="19"/>
      <c r="C55" s="19"/>
      <c r="D55" s="19"/>
      <c r="E55" s="19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395D-8303-4BF1-89AD-DAAEF6D5553B}">
  <dimension ref="A1:J55"/>
  <sheetViews>
    <sheetView zoomScaleNormal="100" workbookViewId="0">
      <pane xSplit="2" ySplit="3" topLeftCell="C4" activePane="bottomRight" state="frozen"/>
      <selection activeCell="E26" sqref="E26"/>
      <selection pane="topRight" activeCell="E26" sqref="E26"/>
      <selection pane="bottomLeft" activeCell="E26" sqref="E26"/>
      <selection pane="bottomRight" sqref="A1:G1"/>
    </sheetView>
  </sheetViews>
  <sheetFormatPr defaultRowHeight="9" x14ac:dyDescent="0.15"/>
  <cols>
    <col min="1" max="1" width="87.85546875" style="14" bestFit="1" customWidth="1"/>
    <col min="2" max="2" width="14.140625" style="13" bestFit="1" customWidth="1"/>
    <col min="3" max="4" width="9.85546875" style="13" customWidth="1"/>
    <col min="5" max="7" width="8.7109375" style="20" customWidth="1"/>
    <col min="8" max="256" width="9.140625" style="1"/>
    <col min="257" max="257" width="51.7109375" style="1" customWidth="1"/>
    <col min="258" max="258" width="9.85546875" style="1" bestFit="1" customWidth="1"/>
    <col min="259" max="261" width="8.7109375" style="1" customWidth="1"/>
    <col min="262" max="512" width="9.140625" style="1"/>
    <col min="513" max="513" width="51.7109375" style="1" customWidth="1"/>
    <col min="514" max="514" width="9.85546875" style="1" bestFit="1" customWidth="1"/>
    <col min="515" max="517" width="8.7109375" style="1" customWidth="1"/>
    <col min="518" max="768" width="9.140625" style="1"/>
    <col min="769" max="769" width="51.7109375" style="1" customWidth="1"/>
    <col min="770" max="770" width="9.85546875" style="1" bestFit="1" customWidth="1"/>
    <col min="771" max="773" width="8.7109375" style="1" customWidth="1"/>
    <col min="774" max="1024" width="9.140625" style="1"/>
    <col min="1025" max="1025" width="51.7109375" style="1" customWidth="1"/>
    <col min="1026" max="1026" width="9.85546875" style="1" bestFit="1" customWidth="1"/>
    <col min="1027" max="1029" width="8.7109375" style="1" customWidth="1"/>
    <col min="1030" max="1280" width="9.140625" style="1"/>
    <col min="1281" max="1281" width="51.7109375" style="1" customWidth="1"/>
    <col min="1282" max="1282" width="9.85546875" style="1" bestFit="1" customWidth="1"/>
    <col min="1283" max="1285" width="8.7109375" style="1" customWidth="1"/>
    <col min="1286" max="1536" width="9.140625" style="1"/>
    <col min="1537" max="1537" width="51.7109375" style="1" customWidth="1"/>
    <col min="1538" max="1538" width="9.85546875" style="1" bestFit="1" customWidth="1"/>
    <col min="1539" max="1541" width="8.7109375" style="1" customWidth="1"/>
    <col min="1542" max="1792" width="9.140625" style="1"/>
    <col min="1793" max="1793" width="51.7109375" style="1" customWidth="1"/>
    <col min="1794" max="1794" width="9.85546875" style="1" bestFit="1" customWidth="1"/>
    <col min="1795" max="1797" width="8.7109375" style="1" customWidth="1"/>
    <col min="1798" max="2048" width="9.140625" style="1"/>
    <col min="2049" max="2049" width="51.7109375" style="1" customWidth="1"/>
    <col min="2050" max="2050" width="9.85546875" style="1" bestFit="1" customWidth="1"/>
    <col min="2051" max="2053" width="8.7109375" style="1" customWidth="1"/>
    <col min="2054" max="2304" width="9.140625" style="1"/>
    <col min="2305" max="2305" width="51.7109375" style="1" customWidth="1"/>
    <col min="2306" max="2306" width="9.85546875" style="1" bestFit="1" customWidth="1"/>
    <col min="2307" max="2309" width="8.7109375" style="1" customWidth="1"/>
    <col min="2310" max="2560" width="9.140625" style="1"/>
    <col min="2561" max="2561" width="51.7109375" style="1" customWidth="1"/>
    <col min="2562" max="2562" width="9.85546875" style="1" bestFit="1" customWidth="1"/>
    <col min="2563" max="2565" width="8.7109375" style="1" customWidth="1"/>
    <col min="2566" max="2816" width="9.140625" style="1"/>
    <col min="2817" max="2817" width="51.7109375" style="1" customWidth="1"/>
    <col min="2818" max="2818" width="9.85546875" style="1" bestFit="1" customWidth="1"/>
    <col min="2819" max="2821" width="8.7109375" style="1" customWidth="1"/>
    <col min="2822" max="3072" width="9.140625" style="1"/>
    <col min="3073" max="3073" width="51.7109375" style="1" customWidth="1"/>
    <col min="3074" max="3074" width="9.85546875" style="1" bestFit="1" customWidth="1"/>
    <col min="3075" max="3077" width="8.7109375" style="1" customWidth="1"/>
    <col min="3078" max="3328" width="9.140625" style="1"/>
    <col min="3329" max="3329" width="51.7109375" style="1" customWidth="1"/>
    <col min="3330" max="3330" width="9.85546875" style="1" bestFit="1" customWidth="1"/>
    <col min="3331" max="3333" width="8.7109375" style="1" customWidth="1"/>
    <col min="3334" max="3584" width="9.140625" style="1"/>
    <col min="3585" max="3585" width="51.7109375" style="1" customWidth="1"/>
    <col min="3586" max="3586" width="9.85546875" style="1" bestFit="1" customWidth="1"/>
    <col min="3587" max="3589" width="8.7109375" style="1" customWidth="1"/>
    <col min="3590" max="3840" width="9.140625" style="1"/>
    <col min="3841" max="3841" width="51.7109375" style="1" customWidth="1"/>
    <col min="3842" max="3842" width="9.85546875" style="1" bestFit="1" customWidth="1"/>
    <col min="3843" max="3845" width="8.7109375" style="1" customWidth="1"/>
    <col min="3846" max="4096" width="9.140625" style="1"/>
    <col min="4097" max="4097" width="51.7109375" style="1" customWidth="1"/>
    <col min="4098" max="4098" width="9.85546875" style="1" bestFit="1" customWidth="1"/>
    <col min="4099" max="4101" width="8.7109375" style="1" customWidth="1"/>
    <col min="4102" max="4352" width="9.140625" style="1"/>
    <col min="4353" max="4353" width="51.7109375" style="1" customWidth="1"/>
    <col min="4354" max="4354" width="9.85546875" style="1" bestFit="1" customWidth="1"/>
    <col min="4355" max="4357" width="8.7109375" style="1" customWidth="1"/>
    <col min="4358" max="4608" width="9.140625" style="1"/>
    <col min="4609" max="4609" width="51.7109375" style="1" customWidth="1"/>
    <col min="4610" max="4610" width="9.85546875" style="1" bestFit="1" customWidth="1"/>
    <col min="4611" max="4613" width="8.7109375" style="1" customWidth="1"/>
    <col min="4614" max="4864" width="9.140625" style="1"/>
    <col min="4865" max="4865" width="51.7109375" style="1" customWidth="1"/>
    <col min="4866" max="4866" width="9.85546875" style="1" bestFit="1" customWidth="1"/>
    <col min="4867" max="4869" width="8.7109375" style="1" customWidth="1"/>
    <col min="4870" max="5120" width="9.140625" style="1"/>
    <col min="5121" max="5121" width="51.7109375" style="1" customWidth="1"/>
    <col min="5122" max="5122" width="9.85546875" style="1" bestFit="1" customWidth="1"/>
    <col min="5123" max="5125" width="8.7109375" style="1" customWidth="1"/>
    <col min="5126" max="5376" width="9.140625" style="1"/>
    <col min="5377" max="5377" width="51.7109375" style="1" customWidth="1"/>
    <col min="5378" max="5378" width="9.85546875" style="1" bestFit="1" customWidth="1"/>
    <col min="5379" max="5381" width="8.7109375" style="1" customWidth="1"/>
    <col min="5382" max="5632" width="9.140625" style="1"/>
    <col min="5633" max="5633" width="51.7109375" style="1" customWidth="1"/>
    <col min="5634" max="5634" width="9.85546875" style="1" bestFit="1" customWidth="1"/>
    <col min="5635" max="5637" width="8.7109375" style="1" customWidth="1"/>
    <col min="5638" max="5888" width="9.140625" style="1"/>
    <col min="5889" max="5889" width="51.7109375" style="1" customWidth="1"/>
    <col min="5890" max="5890" width="9.85546875" style="1" bestFit="1" customWidth="1"/>
    <col min="5891" max="5893" width="8.7109375" style="1" customWidth="1"/>
    <col min="5894" max="6144" width="9.140625" style="1"/>
    <col min="6145" max="6145" width="51.7109375" style="1" customWidth="1"/>
    <col min="6146" max="6146" width="9.85546875" style="1" bestFit="1" customWidth="1"/>
    <col min="6147" max="6149" width="8.7109375" style="1" customWidth="1"/>
    <col min="6150" max="6400" width="9.140625" style="1"/>
    <col min="6401" max="6401" width="51.7109375" style="1" customWidth="1"/>
    <col min="6402" max="6402" width="9.85546875" style="1" bestFit="1" customWidth="1"/>
    <col min="6403" max="6405" width="8.7109375" style="1" customWidth="1"/>
    <col min="6406" max="6656" width="9.140625" style="1"/>
    <col min="6657" max="6657" width="51.7109375" style="1" customWidth="1"/>
    <col min="6658" max="6658" width="9.85546875" style="1" bestFit="1" customWidth="1"/>
    <col min="6659" max="6661" width="8.7109375" style="1" customWidth="1"/>
    <col min="6662" max="6912" width="9.140625" style="1"/>
    <col min="6913" max="6913" width="51.7109375" style="1" customWidth="1"/>
    <col min="6914" max="6914" width="9.85546875" style="1" bestFit="1" customWidth="1"/>
    <col min="6915" max="6917" width="8.7109375" style="1" customWidth="1"/>
    <col min="6918" max="7168" width="9.140625" style="1"/>
    <col min="7169" max="7169" width="51.7109375" style="1" customWidth="1"/>
    <col min="7170" max="7170" width="9.85546875" style="1" bestFit="1" customWidth="1"/>
    <col min="7171" max="7173" width="8.7109375" style="1" customWidth="1"/>
    <col min="7174" max="7424" width="9.140625" style="1"/>
    <col min="7425" max="7425" width="51.7109375" style="1" customWidth="1"/>
    <col min="7426" max="7426" width="9.85546875" style="1" bestFit="1" customWidth="1"/>
    <col min="7427" max="7429" width="8.7109375" style="1" customWidth="1"/>
    <col min="7430" max="7680" width="9.140625" style="1"/>
    <col min="7681" max="7681" width="51.7109375" style="1" customWidth="1"/>
    <col min="7682" max="7682" width="9.85546875" style="1" bestFit="1" customWidth="1"/>
    <col min="7683" max="7685" width="8.7109375" style="1" customWidth="1"/>
    <col min="7686" max="7936" width="9.140625" style="1"/>
    <col min="7937" max="7937" width="51.7109375" style="1" customWidth="1"/>
    <col min="7938" max="7938" width="9.85546875" style="1" bestFit="1" customWidth="1"/>
    <col min="7939" max="7941" width="8.7109375" style="1" customWidth="1"/>
    <col min="7942" max="8192" width="9.140625" style="1"/>
    <col min="8193" max="8193" width="51.7109375" style="1" customWidth="1"/>
    <col min="8194" max="8194" width="9.85546875" style="1" bestFit="1" customWidth="1"/>
    <col min="8195" max="8197" width="8.7109375" style="1" customWidth="1"/>
    <col min="8198" max="8448" width="9.140625" style="1"/>
    <col min="8449" max="8449" width="51.7109375" style="1" customWidth="1"/>
    <col min="8450" max="8450" width="9.85546875" style="1" bestFit="1" customWidth="1"/>
    <col min="8451" max="8453" width="8.7109375" style="1" customWidth="1"/>
    <col min="8454" max="8704" width="9.140625" style="1"/>
    <col min="8705" max="8705" width="51.7109375" style="1" customWidth="1"/>
    <col min="8706" max="8706" width="9.85546875" style="1" bestFit="1" customWidth="1"/>
    <col min="8707" max="8709" width="8.7109375" style="1" customWidth="1"/>
    <col min="8710" max="8960" width="9.140625" style="1"/>
    <col min="8961" max="8961" width="51.7109375" style="1" customWidth="1"/>
    <col min="8962" max="8962" width="9.85546875" style="1" bestFit="1" customWidth="1"/>
    <col min="8963" max="8965" width="8.7109375" style="1" customWidth="1"/>
    <col min="8966" max="9216" width="9.140625" style="1"/>
    <col min="9217" max="9217" width="51.7109375" style="1" customWidth="1"/>
    <col min="9218" max="9218" width="9.85546875" style="1" bestFit="1" customWidth="1"/>
    <col min="9219" max="9221" width="8.7109375" style="1" customWidth="1"/>
    <col min="9222" max="9472" width="9.140625" style="1"/>
    <col min="9473" max="9473" width="51.7109375" style="1" customWidth="1"/>
    <col min="9474" max="9474" width="9.85546875" style="1" bestFit="1" customWidth="1"/>
    <col min="9475" max="9477" width="8.7109375" style="1" customWidth="1"/>
    <col min="9478" max="9728" width="9.140625" style="1"/>
    <col min="9729" max="9729" width="51.7109375" style="1" customWidth="1"/>
    <col min="9730" max="9730" width="9.85546875" style="1" bestFit="1" customWidth="1"/>
    <col min="9731" max="9733" width="8.7109375" style="1" customWidth="1"/>
    <col min="9734" max="9984" width="9.140625" style="1"/>
    <col min="9985" max="9985" width="51.7109375" style="1" customWidth="1"/>
    <col min="9986" max="9986" width="9.85546875" style="1" bestFit="1" customWidth="1"/>
    <col min="9987" max="9989" width="8.7109375" style="1" customWidth="1"/>
    <col min="9990" max="10240" width="9.140625" style="1"/>
    <col min="10241" max="10241" width="51.7109375" style="1" customWidth="1"/>
    <col min="10242" max="10242" width="9.85546875" style="1" bestFit="1" customWidth="1"/>
    <col min="10243" max="10245" width="8.7109375" style="1" customWidth="1"/>
    <col min="10246" max="10496" width="9.140625" style="1"/>
    <col min="10497" max="10497" width="51.7109375" style="1" customWidth="1"/>
    <col min="10498" max="10498" width="9.85546875" style="1" bestFit="1" customWidth="1"/>
    <col min="10499" max="10501" width="8.7109375" style="1" customWidth="1"/>
    <col min="10502" max="10752" width="9.140625" style="1"/>
    <col min="10753" max="10753" width="51.7109375" style="1" customWidth="1"/>
    <col min="10754" max="10754" width="9.85546875" style="1" bestFit="1" customWidth="1"/>
    <col min="10755" max="10757" width="8.7109375" style="1" customWidth="1"/>
    <col min="10758" max="11008" width="9.140625" style="1"/>
    <col min="11009" max="11009" width="51.7109375" style="1" customWidth="1"/>
    <col min="11010" max="11010" width="9.85546875" style="1" bestFit="1" customWidth="1"/>
    <col min="11011" max="11013" width="8.7109375" style="1" customWidth="1"/>
    <col min="11014" max="11264" width="9.140625" style="1"/>
    <col min="11265" max="11265" width="51.7109375" style="1" customWidth="1"/>
    <col min="11266" max="11266" width="9.85546875" style="1" bestFit="1" customWidth="1"/>
    <col min="11267" max="11269" width="8.7109375" style="1" customWidth="1"/>
    <col min="11270" max="11520" width="9.140625" style="1"/>
    <col min="11521" max="11521" width="51.7109375" style="1" customWidth="1"/>
    <col min="11522" max="11522" width="9.85546875" style="1" bestFit="1" customWidth="1"/>
    <col min="11523" max="11525" width="8.7109375" style="1" customWidth="1"/>
    <col min="11526" max="11776" width="9.140625" style="1"/>
    <col min="11777" max="11777" width="51.7109375" style="1" customWidth="1"/>
    <col min="11778" max="11778" width="9.85546875" style="1" bestFit="1" customWidth="1"/>
    <col min="11779" max="11781" width="8.7109375" style="1" customWidth="1"/>
    <col min="11782" max="12032" width="9.140625" style="1"/>
    <col min="12033" max="12033" width="51.7109375" style="1" customWidth="1"/>
    <col min="12034" max="12034" width="9.85546875" style="1" bestFit="1" customWidth="1"/>
    <col min="12035" max="12037" width="8.7109375" style="1" customWidth="1"/>
    <col min="12038" max="12288" width="9.140625" style="1"/>
    <col min="12289" max="12289" width="51.7109375" style="1" customWidth="1"/>
    <col min="12290" max="12290" width="9.85546875" style="1" bestFit="1" customWidth="1"/>
    <col min="12291" max="12293" width="8.7109375" style="1" customWidth="1"/>
    <col min="12294" max="12544" width="9.140625" style="1"/>
    <col min="12545" max="12545" width="51.7109375" style="1" customWidth="1"/>
    <col min="12546" max="12546" width="9.85546875" style="1" bestFit="1" customWidth="1"/>
    <col min="12547" max="12549" width="8.7109375" style="1" customWidth="1"/>
    <col min="12550" max="12800" width="9.140625" style="1"/>
    <col min="12801" max="12801" width="51.7109375" style="1" customWidth="1"/>
    <col min="12802" max="12802" width="9.85546875" style="1" bestFit="1" customWidth="1"/>
    <col min="12803" max="12805" width="8.7109375" style="1" customWidth="1"/>
    <col min="12806" max="13056" width="9.140625" style="1"/>
    <col min="13057" max="13057" width="51.7109375" style="1" customWidth="1"/>
    <col min="13058" max="13058" width="9.85546875" style="1" bestFit="1" customWidth="1"/>
    <col min="13059" max="13061" width="8.7109375" style="1" customWidth="1"/>
    <col min="13062" max="13312" width="9.140625" style="1"/>
    <col min="13313" max="13313" width="51.7109375" style="1" customWidth="1"/>
    <col min="13314" max="13314" width="9.85546875" style="1" bestFit="1" customWidth="1"/>
    <col min="13315" max="13317" width="8.7109375" style="1" customWidth="1"/>
    <col min="13318" max="13568" width="9.140625" style="1"/>
    <col min="13569" max="13569" width="51.7109375" style="1" customWidth="1"/>
    <col min="13570" max="13570" width="9.85546875" style="1" bestFit="1" customWidth="1"/>
    <col min="13571" max="13573" width="8.7109375" style="1" customWidth="1"/>
    <col min="13574" max="13824" width="9.140625" style="1"/>
    <col min="13825" max="13825" width="51.7109375" style="1" customWidth="1"/>
    <col min="13826" max="13826" width="9.85546875" style="1" bestFit="1" customWidth="1"/>
    <col min="13827" max="13829" width="8.7109375" style="1" customWidth="1"/>
    <col min="13830" max="14080" width="9.140625" style="1"/>
    <col min="14081" max="14081" width="51.7109375" style="1" customWidth="1"/>
    <col min="14082" max="14082" width="9.85546875" style="1" bestFit="1" customWidth="1"/>
    <col min="14083" max="14085" width="8.7109375" style="1" customWidth="1"/>
    <col min="14086" max="14336" width="9.140625" style="1"/>
    <col min="14337" max="14337" width="51.7109375" style="1" customWidth="1"/>
    <col min="14338" max="14338" width="9.85546875" style="1" bestFit="1" customWidth="1"/>
    <col min="14339" max="14341" width="8.7109375" style="1" customWidth="1"/>
    <col min="14342" max="14592" width="9.140625" style="1"/>
    <col min="14593" max="14593" width="51.7109375" style="1" customWidth="1"/>
    <col min="14594" max="14594" width="9.85546875" style="1" bestFit="1" customWidth="1"/>
    <col min="14595" max="14597" width="8.7109375" style="1" customWidth="1"/>
    <col min="14598" max="14848" width="9.140625" style="1"/>
    <col min="14849" max="14849" width="51.7109375" style="1" customWidth="1"/>
    <col min="14850" max="14850" width="9.85546875" style="1" bestFit="1" customWidth="1"/>
    <col min="14851" max="14853" width="8.7109375" style="1" customWidth="1"/>
    <col min="14854" max="15104" width="9.140625" style="1"/>
    <col min="15105" max="15105" width="51.7109375" style="1" customWidth="1"/>
    <col min="15106" max="15106" width="9.85546875" style="1" bestFit="1" customWidth="1"/>
    <col min="15107" max="15109" width="8.7109375" style="1" customWidth="1"/>
    <col min="15110" max="15360" width="9.140625" style="1"/>
    <col min="15361" max="15361" width="51.7109375" style="1" customWidth="1"/>
    <col min="15362" max="15362" width="9.85546875" style="1" bestFit="1" customWidth="1"/>
    <col min="15363" max="15365" width="8.7109375" style="1" customWidth="1"/>
    <col min="15366" max="15616" width="9.140625" style="1"/>
    <col min="15617" max="15617" width="51.7109375" style="1" customWidth="1"/>
    <col min="15618" max="15618" width="9.85546875" style="1" bestFit="1" customWidth="1"/>
    <col min="15619" max="15621" width="8.7109375" style="1" customWidth="1"/>
    <col min="15622" max="15872" width="9.140625" style="1"/>
    <col min="15873" max="15873" width="51.7109375" style="1" customWidth="1"/>
    <col min="15874" max="15874" width="9.85546875" style="1" bestFit="1" customWidth="1"/>
    <col min="15875" max="15877" width="8.7109375" style="1" customWidth="1"/>
    <col min="15878" max="16128" width="9.140625" style="1"/>
    <col min="16129" max="16129" width="51.7109375" style="1" customWidth="1"/>
    <col min="16130" max="16130" width="9.85546875" style="1" bestFit="1" customWidth="1"/>
    <col min="16131" max="16133" width="8.7109375" style="1" customWidth="1"/>
    <col min="16134" max="16384" width="9.140625" style="1"/>
  </cols>
  <sheetData>
    <row r="1" spans="1:10" ht="15" customHeight="1" x14ac:dyDescent="0.25">
      <c r="A1" s="32" t="s">
        <v>40</v>
      </c>
      <c r="B1" s="33"/>
      <c r="C1" s="33"/>
      <c r="D1" s="33"/>
      <c r="E1" s="33"/>
      <c r="F1" s="33"/>
      <c r="G1" s="33"/>
      <c r="J1" s="21"/>
    </row>
    <row r="2" spans="1:10" ht="12" customHeight="1" x14ac:dyDescent="0.15">
      <c r="A2" s="7"/>
      <c r="B2" s="7"/>
      <c r="C2" s="7"/>
      <c r="D2" s="7"/>
      <c r="E2" s="7"/>
      <c r="F2" s="7"/>
      <c r="G2" s="7"/>
    </row>
    <row r="3" spans="1:10" ht="21" customHeight="1" x14ac:dyDescent="0.15">
      <c r="A3" s="2" t="s">
        <v>10</v>
      </c>
      <c r="B3" s="3" t="s">
        <v>11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</row>
    <row r="4" spans="1:10" ht="6.95" customHeight="1" x14ac:dyDescent="0.15">
      <c r="A4" s="5"/>
      <c r="B4" s="5"/>
      <c r="C4" s="5"/>
      <c r="D4" s="5"/>
      <c r="E4" s="5"/>
      <c r="F4" s="5"/>
      <c r="G4" s="5"/>
    </row>
    <row r="5" spans="1:10" ht="18" customHeight="1" x14ac:dyDescent="0.15">
      <c r="A5" s="6" t="s">
        <v>16</v>
      </c>
      <c r="B5" s="6"/>
      <c r="C5" s="6"/>
      <c r="D5" s="6"/>
      <c r="E5" s="6"/>
      <c r="F5" s="6"/>
      <c r="G5" s="6"/>
    </row>
    <row r="6" spans="1:10" ht="14.25" customHeight="1" x14ac:dyDescent="0.15">
      <c r="A6" s="8" t="s">
        <v>17</v>
      </c>
      <c r="B6" s="9" t="s">
        <v>18</v>
      </c>
      <c r="C6" s="23">
        <v>6195556</v>
      </c>
      <c r="D6" s="23">
        <v>337681</v>
      </c>
      <c r="E6" s="23">
        <v>314625</v>
      </c>
      <c r="F6" s="23">
        <v>350670</v>
      </c>
      <c r="G6" s="23">
        <v>495157</v>
      </c>
      <c r="I6" s="22"/>
    </row>
    <row r="7" spans="1:10" ht="14.25" customHeight="1" x14ac:dyDescent="0.15">
      <c r="A7" s="8" t="s">
        <v>19</v>
      </c>
      <c r="B7" s="9" t="s">
        <v>20</v>
      </c>
      <c r="C7" s="23">
        <v>331799.48085404967</v>
      </c>
      <c r="D7" s="23">
        <v>5885.5852790946628</v>
      </c>
      <c r="E7" s="23">
        <v>3534.6262491540488</v>
      </c>
      <c r="F7" s="23">
        <v>11614.544959536888</v>
      </c>
      <c r="G7" s="23">
        <v>30001.691074139879</v>
      </c>
      <c r="I7" s="22"/>
    </row>
    <row r="8" spans="1:10" ht="14.25" customHeight="1" x14ac:dyDescent="0.15">
      <c r="A8" s="8" t="s">
        <v>21</v>
      </c>
      <c r="B8" s="9" t="s">
        <v>12</v>
      </c>
      <c r="C8" s="27">
        <v>0.8196012010944066</v>
      </c>
      <c r="D8" s="27">
        <v>20.855948760891405</v>
      </c>
      <c r="E8" s="27">
        <v>47.316397920358192</v>
      </c>
      <c r="F8" s="27">
        <v>38.626585930975047</v>
      </c>
      <c r="G8" s="27">
        <v>34.289308635353713</v>
      </c>
      <c r="I8" s="22"/>
    </row>
    <row r="9" spans="1:10" ht="15" customHeight="1" x14ac:dyDescent="0.15">
      <c r="A9" s="25" t="s">
        <v>38</v>
      </c>
      <c r="B9" s="9" t="s">
        <v>12</v>
      </c>
      <c r="C9" s="27">
        <v>47.669313294884269</v>
      </c>
      <c r="D9" s="27">
        <v>38.4244301574563</v>
      </c>
      <c r="E9" s="27">
        <v>17.149940405244337</v>
      </c>
      <c r="F9" s="27">
        <v>36.051273276869992</v>
      </c>
      <c r="G9" s="27">
        <v>25.528266792148752</v>
      </c>
      <c r="I9" s="22"/>
    </row>
    <row r="10" spans="1:10" ht="14.25" customHeight="1" x14ac:dyDescent="0.15">
      <c r="A10" s="5"/>
      <c r="B10" s="5"/>
      <c r="C10" s="5"/>
      <c r="D10" s="5"/>
      <c r="E10" s="5"/>
      <c r="F10" s="5"/>
      <c r="G10" s="5"/>
    </row>
    <row r="11" spans="1:10" ht="14.25" customHeight="1" x14ac:dyDescent="0.15">
      <c r="A11" s="6" t="s">
        <v>23</v>
      </c>
      <c r="B11" s="6"/>
      <c r="C11" s="6"/>
      <c r="D11" s="6"/>
      <c r="E11" s="6"/>
      <c r="F11" s="6"/>
      <c r="G11" s="6"/>
    </row>
    <row r="12" spans="1:10" ht="14.25" customHeight="1" x14ac:dyDescent="0.15">
      <c r="A12" s="10" t="s">
        <v>24</v>
      </c>
      <c r="B12" s="7"/>
      <c r="C12" s="28"/>
      <c r="D12" s="28"/>
      <c r="E12" s="28"/>
      <c r="F12" s="28"/>
      <c r="G12" s="28"/>
    </row>
    <row r="13" spans="1:10" ht="14.25" customHeight="1" x14ac:dyDescent="0.15">
      <c r="A13" s="10" t="s">
        <v>25</v>
      </c>
      <c r="B13" s="7" t="s">
        <v>12</v>
      </c>
      <c r="C13" s="30">
        <v>99.976961150805792</v>
      </c>
      <c r="D13" s="30">
        <v>99.913651673094648</v>
      </c>
      <c r="E13" s="30">
        <v>99.991953682514279</v>
      </c>
      <c r="F13" s="30">
        <v>99.981357863459664</v>
      </c>
      <c r="G13" s="30">
        <v>99.994309729048098</v>
      </c>
    </row>
    <row r="14" spans="1:10" ht="14.25" customHeight="1" x14ac:dyDescent="0.15">
      <c r="A14" s="12" t="s">
        <v>9</v>
      </c>
      <c r="B14" s="13" t="s">
        <v>12</v>
      </c>
      <c r="C14" s="31">
        <v>8.731620685029732</v>
      </c>
      <c r="D14" s="31">
        <v>20.648492948618877</v>
      </c>
      <c r="E14" s="31">
        <v>6.6364322055584717</v>
      </c>
      <c r="F14" s="31">
        <v>26.998004810279802</v>
      </c>
      <c r="G14" s="31">
        <v>22.176972458865304</v>
      </c>
    </row>
    <row r="15" spans="1:10" ht="14.25" customHeight="1" x14ac:dyDescent="0.15">
      <c r="A15" s="12" t="s">
        <v>0</v>
      </c>
      <c r="B15" s="13" t="s">
        <v>12</v>
      </c>
      <c r="C15" s="31">
        <v>5.1027392068924829E-2</v>
      </c>
      <c r="D15" s="31">
        <v>6.2820536775452518E-3</v>
      </c>
      <c r="E15" s="31">
        <v>2.6356173002630746E-2</v>
      </c>
      <c r="F15" s="31">
        <v>1.0570873099115044E-2</v>
      </c>
      <c r="G15" s="31">
        <v>4.4178830261402003E-3</v>
      </c>
    </row>
    <row r="16" spans="1:10" ht="14.25" customHeight="1" x14ac:dyDescent="0.15">
      <c r="A16" s="12" t="s">
        <v>1</v>
      </c>
      <c r="B16" s="13" t="s">
        <v>12</v>
      </c>
      <c r="C16" s="31">
        <v>2.7594738143405153E-2</v>
      </c>
      <c r="D16" s="31">
        <v>0.40461952830054515</v>
      </c>
      <c r="E16" s="31">
        <v>0.13376283068883998</v>
      </c>
      <c r="F16" s="31">
        <v>0.22287111427022346</v>
      </c>
      <c r="G16" s="31">
        <v>0.10493236296747405</v>
      </c>
    </row>
    <row r="17" spans="1:7" ht="14.25" customHeight="1" x14ac:dyDescent="0.15">
      <c r="A17" s="12" t="s">
        <v>2</v>
      </c>
      <c r="B17" s="13" t="s">
        <v>12</v>
      </c>
      <c r="C17" s="31">
        <v>90.360345200036747</v>
      </c>
      <c r="D17" s="31">
        <v>75.288738507659289</v>
      </c>
      <c r="E17" s="31">
        <v>91.92518985296239</v>
      </c>
      <c r="F17" s="31">
        <v>70.739206402234018</v>
      </c>
      <c r="G17" s="31">
        <v>76.86924545677455</v>
      </c>
    </row>
    <row r="18" spans="1:7" ht="14.25" customHeight="1" x14ac:dyDescent="0.15">
      <c r="A18" s="12" t="s">
        <v>13</v>
      </c>
      <c r="B18" s="13" t="s">
        <v>12</v>
      </c>
      <c r="C18" s="31">
        <v>0.80637313552696999</v>
      </c>
      <c r="D18" s="31">
        <v>3.5655186348383929</v>
      </c>
      <c r="E18" s="31">
        <v>1.270212620301943</v>
      </c>
      <c r="F18" s="31">
        <v>2.0107046635765053</v>
      </c>
      <c r="G18" s="31">
        <v>0.83874156741463923</v>
      </c>
    </row>
    <row r="19" spans="1:7" ht="14.25" customHeight="1" x14ac:dyDescent="0.15">
      <c r="A19" s="12" t="s">
        <v>3</v>
      </c>
      <c r="B19" s="13" t="s">
        <v>12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</row>
    <row r="20" spans="1:7" ht="14.25" customHeight="1" x14ac:dyDescent="0.15">
      <c r="A20" s="10" t="s">
        <v>26</v>
      </c>
      <c r="B20" s="7" t="s">
        <v>12</v>
      </c>
      <c r="C20" s="30">
        <v>2.3038849194236457E-2</v>
      </c>
      <c r="D20" s="30">
        <v>8.6348326905350437E-2</v>
      </c>
      <c r="E20" s="30">
        <v>8.0463174857370572E-3</v>
      </c>
      <c r="F20" s="30">
        <v>1.8642136540341595E-2</v>
      </c>
      <c r="G20" s="30">
        <v>5.6902709518985633E-3</v>
      </c>
    </row>
    <row r="21" spans="1:7" ht="14.25" customHeight="1" x14ac:dyDescent="0.15">
      <c r="A21" s="12"/>
      <c r="C21" s="30"/>
      <c r="D21" s="30"/>
      <c r="E21" s="30"/>
      <c r="F21" s="30"/>
      <c r="G21" s="30"/>
    </row>
    <row r="22" spans="1:7" ht="14.25" customHeight="1" x14ac:dyDescent="0.15">
      <c r="A22" s="10" t="s">
        <v>27</v>
      </c>
      <c r="B22" s="7"/>
      <c r="C22" s="30"/>
      <c r="D22" s="30"/>
      <c r="E22" s="30"/>
      <c r="F22" s="30"/>
      <c r="G22" s="30"/>
    </row>
    <row r="23" spans="1:7" ht="14.25" customHeight="1" x14ac:dyDescent="0.15">
      <c r="A23" s="10" t="s">
        <v>28</v>
      </c>
      <c r="B23" s="7" t="s">
        <v>12</v>
      </c>
      <c r="C23" s="30">
        <v>99.903413819859352</v>
      </c>
      <c r="D23" s="30">
        <v>99.428947961719615</v>
      </c>
      <c r="E23" s="30">
        <v>99.770851066045168</v>
      </c>
      <c r="F23" s="30">
        <v>99.723510200708134</v>
      </c>
      <c r="G23" s="30">
        <v>99.90401126471555</v>
      </c>
    </row>
    <row r="24" spans="1:7" ht="14.25" customHeight="1" x14ac:dyDescent="0.15">
      <c r="A24" s="12" t="s">
        <v>9</v>
      </c>
      <c r="B24" s="13" t="s">
        <v>12</v>
      </c>
      <c r="C24" s="31">
        <v>8.7350964064286938</v>
      </c>
      <c r="D24" s="31">
        <v>20.731635113565115</v>
      </c>
      <c r="E24" s="31">
        <v>6.6084659350990798</v>
      </c>
      <c r="F24" s="31">
        <v>26.889725898044592</v>
      </c>
      <c r="G24" s="31">
        <v>22.138035823967208</v>
      </c>
    </row>
    <row r="25" spans="1:7" ht="14.25" customHeight="1" x14ac:dyDescent="0.15">
      <c r="A25" s="12" t="s">
        <v>0</v>
      </c>
      <c r="B25" s="13" t="s">
        <v>12</v>
      </c>
      <c r="C25" s="31">
        <v>5.112655686585748E-2</v>
      </c>
      <c r="D25" s="31">
        <v>6.5991907347052077E-3</v>
      </c>
      <c r="E25" s="31">
        <v>2.6544139548569969E-2</v>
      </c>
      <c r="F25" s="31">
        <v>1.0545842818361481E-2</v>
      </c>
      <c r="G25" s="31">
        <v>4.417621584517902E-3</v>
      </c>
    </row>
    <row r="26" spans="1:7" ht="14.25" customHeight="1" x14ac:dyDescent="0.15">
      <c r="A26" s="12" t="s">
        <v>1</v>
      </c>
      <c r="B26" s="13" t="s">
        <v>12</v>
      </c>
      <c r="C26" s="31">
        <v>2.9224234201449064E-2</v>
      </c>
      <c r="D26" s="31">
        <v>0.40811447127121264</v>
      </c>
      <c r="E26" s="31">
        <v>0.13949091833970279</v>
      </c>
      <c r="F26" s="31">
        <v>0.23087546839877254</v>
      </c>
      <c r="G26" s="31">
        <v>0.10629896060072885</v>
      </c>
    </row>
    <row r="27" spans="1:7" ht="14.25" customHeight="1" x14ac:dyDescent="0.15">
      <c r="A27" s="12" t="s">
        <v>2</v>
      </c>
      <c r="B27" s="13" t="s">
        <v>12</v>
      </c>
      <c r="C27" s="31">
        <v>90.230423576695699</v>
      </c>
      <c r="D27" s="31">
        <v>74.36131852167199</v>
      </c>
      <c r="E27" s="31">
        <v>91.480642228326005</v>
      </c>
      <c r="F27" s="31">
        <v>70.334882064748527</v>
      </c>
      <c r="G27" s="31">
        <v>76.729797790837665</v>
      </c>
    </row>
    <row r="28" spans="1:7" ht="14.25" customHeight="1" x14ac:dyDescent="0.15">
      <c r="A28" s="12" t="s">
        <v>13</v>
      </c>
      <c r="B28" s="13" t="s">
        <v>12</v>
      </c>
      <c r="C28" s="31">
        <v>0.82681688206244397</v>
      </c>
      <c r="D28" s="31">
        <v>3.8141191897512234</v>
      </c>
      <c r="E28" s="31">
        <v>1.4713108037179163</v>
      </c>
      <c r="F28" s="31">
        <v>2.2050569221103618</v>
      </c>
      <c r="G28" s="31">
        <v>0.90687185991921071</v>
      </c>
    </row>
    <row r="29" spans="1:7" ht="14.25" customHeight="1" x14ac:dyDescent="0.15">
      <c r="A29" s="12" t="s">
        <v>3</v>
      </c>
      <c r="B29" s="13" t="s">
        <v>12</v>
      </c>
      <c r="C29" s="31">
        <v>3.0726163605210174E-2</v>
      </c>
      <c r="D29" s="31">
        <v>0.10716147472536941</v>
      </c>
      <c r="E29" s="31">
        <v>4.4397041013902641E-2</v>
      </c>
      <c r="F29" s="31">
        <v>5.2424004587520327E-2</v>
      </c>
      <c r="G29" s="31">
        <v>1.8589207806232844E-2</v>
      </c>
    </row>
    <row r="30" spans="1:7" ht="14.25" customHeight="1" x14ac:dyDescent="0.15">
      <c r="A30" s="10" t="s">
        <v>29</v>
      </c>
      <c r="B30" s="7" t="s">
        <v>12</v>
      </c>
      <c r="C30" s="30">
        <v>9.6586180140651887E-2</v>
      </c>
      <c r="D30" s="30">
        <v>0.57105203828040141</v>
      </c>
      <c r="E30" s="30">
        <v>0.22914893395482647</v>
      </c>
      <c r="F30" s="30">
        <v>0.27648979929187611</v>
      </c>
      <c r="G30" s="30">
        <v>9.5988735284453133E-2</v>
      </c>
    </row>
    <row r="31" spans="1:7" ht="14.25" customHeight="1" x14ac:dyDescent="0.15">
      <c r="A31" s="10"/>
      <c r="B31" s="7"/>
      <c r="C31" s="30"/>
      <c r="D31" s="30"/>
      <c r="E31" s="30"/>
      <c r="F31" s="30"/>
      <c r="G31" s="30"/>
    </row>
    <row r="32" spans="1:7" ht="14.25" customHeight="1" x14ac:dyDescent="0.15">
      <c r="A32" s="10" t="s">
        <v>30</v>
      </c>
      <c r="B32" s="7"/>
      <c r="C32" s="30"/>
      <c r="D32" s="30"/>
      <c r="E32" s="30"/>
      <c r="F32" s="30"/>
      <c r="G32" s="30"/>
    </row>
    <row r="33" spans="1:7" ht="14.25" customHeight="1" x14ac:dyDescent="0.15">
      <c r="A33" s="10" t="s">
        <v>31</v>
      </c>
      <c r="B33" s="7" t="s">
        <v>12</v>
      </c>
      <c r="C33" s="30">
        <v>99.92999732449077</v>
      </c>
      <c r="D33" s="30">
        <v>99.742713616452633</v>
      </c>
      <c r="E33" s="30">
        <v>99.990058828392463</v>
      </c>
      <c r="F33" s="30">
        <v>99.942851378528957</v>
      </c>
      <c r="G33" s="30">
        <v>99.978480201248615</v>
      </c>
    </row>
    <row r="34" spans="1:7" ht="14.25" customHeight="1" x14ac:dyDescent="0.15">
      <c r="A34" s="12" t="s">
        <v>9</v>
      </c>
      <c r="B34" s="13" t="s">
        <v>12</v>
      </c>
      <c r="C34" s="31">
        <v>5.6499601426475747</v>
      </c>
      <c r="D34" s="31">
        <v>10.071664988557497</v>
      </c>
      <c r="E34" s="31">
        <v>2.6102994328105824</v>
      </c>
      <c r="F34" s="31">
        <v>14.077085464565977</v>
      </c>
      <c r="G34" s="31">
        <v>12.528414507766069</v>
      </c>
    </row>
    <row r="35" spans="1:7" ht="14.25" customHeight="1" x14ac:dyDescent="0.15">
      <c r="A35" s="12" t="s">
        <v>0</v>
      </c>
      <c r="B35" s="13" t="s">
        <v>12</v>
      </c>
      <c r="C35" s="31">
        <v>3.6275829847523942E-2</v>
      </c>
      <c r="D35" s="31">
        <v>3.6530422531227701E-3</v>
      </c>
      <c r="E35" s="31">
        <v>2.0017017945511847E-2</v>
      </c>
      <c r="F35" s="31">
        <v>9.2063034085302E-3</v>
      </c>
      <c r="G35" s="31">
        <v>3.0138528839118647E-3</v>
      </c>
    </row>
    <row r="36" spans="1:7" ht="14.25" customHeight="1" x14ac:dyDescent="0.15">
      <c r="A36" s="12" t="s">
        <v>1</v>
      </c>
      <c r="B36" s="13" t="s">
        <v>12</v>
      </c>
      <c r="C36" s="31">
        <v>2.0748245151686235E-2</v>
      </c>
      <c r="D36" s="31">
        <v>0.1615909789396642</v>
      </c>
      <c r="E36" s="31">
        <v>6.2771077196104294E-2</v>
      </c>
      <c r="F36" s="31">
        <v>0.18384100229445743</v>
      </c>
      <c r="G36" s="31">
        <v>5.3641809836279933E-2</v>
      </c>
    </row>
    <row r="37" spans="1:7" ht="14.25" customHeight="1" x14ac:dyDescent="0.15">
      <c r="A37" s="12" t="s">
        <v>2</v>
      </c>
      <c r="B37" s="13" t="s">
        <v>12</v>
      </c>
      <c r="C37" s="31">
        <v>93.515793161549382</v>
      </c>
      <c r="D37" s="31">
        <v>86.444528561546292</v>
      </c>
      <c r="E37" s="31">
        <v>96.110229052121952</v>
      </c>
      <c r="F37" s="31">
        <v>83.584552667031247</v>
      </c>
      <c r="G37" s="31">
        <v>86.525257058033986</v>
      </c>
    </row>
    <row r="38" spans="1:7" ht="14.25" customHeight="1" x14ac:dyDescent="0.15">
      <c r="A38" s="12" t="s">
        <v>13</v>
      </c>
      <c r="B38" s="13" t="s">
        <v>12</v>
      </c>
      <c r="C38" s="31">
        <v>0.69720792074668381</v>
      </c>
      <c r="D38" s="31">
        <v>3.0364196508172103</v>
      </c>
      <c r="E38" s="31">
        <v>1.1832149550095419</v>
      </c>
      <c r="F38" s="31">
        <v>2.0783306838319691</v>
      </c>
      <c r="G38" s="31">
        <v>0.86570585849358017</v>
      </c>
    </row>
    <row r="39" spans="1:7" ht="14.25" customHeight="1" x14ac:dyDescent="0.15">
      <c r="A39" s="12" t="s">
        <v>3</v>
      </c>
      <c r="B39" s="13" t="s">
        <v>12</v>
      </c>
      <c r="C39" s="31">
        <v>1.0012024547933131E-2</v>
      </c>
      <c r="D39" s="31">
        <v>2.4856394338841084E-2</v>
      </c>
      <c r="E39" s="31">
        <v>3.5272933087779784E-3</v>
      </c>
      <c r="F39" s="31">
        <v>9.8352573967843172E-3</v>
      </c>
      <c r="G39" s="31">
        <v>2.4471142347801044E-3</v>
      </c>
    </row>
    <row r="40" spans="1:7" ht="14.25" customHeight="1" x14ac:dyDescent="0.15">
      <c r="A40" s="10" t="s">
        <v>32</v>
      </c>
      <c r="B40" s="7" t="s">
        <v>12</v>
      </c>
      <c r="C40" s="30">
        <v>7.0002675509229548E-2</v>
      </c>
      <c r="D40" s="30">
        <v>0.25728638354737204</v>
      </c>
      <c r="E40" s="30">
        <v>9.9411716075231953E-3</v>
      </c>
      <c r="F40" s="30">
        <v>5.7148621471051361E-2</v>
      </c>
      <c r="G40" s="30">
        <v>2.1519798751376572E-2</v>
      </c>
    </row>
    <row r="41" spans="1:7" ht="14.25" customHeight="1" x14ac:dyDescent="0.15">
      <c r="A41" s="10"/>
      <c r="C41" s="30"/>
      <c r="D41" s="30"/>
      <c r="E41" s="30"/>
      <c r="F41" s="30"/>
      <c r="G41" s="30"/>
    </row>
    <row r="42" spans="1:7" ht="14.25" customHeight="1" x14ac:dyDescent="0.15">
      <c r="A42" s="10" t="s">
        <v>33</v>
      </c>
      <c r="B42" s="7"/>
      <c r="C42" s="30"/>
      <c r="D42" s="30"/>
      <c r="E42" s="30"/>
      <c r="F42" s="30"/>
      <c r="G42" s="30"/>
    </row>
    <row r="43" spans="1:7" ht="14.25" customHeight="1" x14ac:dyDescent="0.15">
      <c r="A43" s="10" t="s">
        <v>34</v>
      </c>
      <c r="B43" s="7" t="s">
        <v>12</v>
      </c>
      <c r="C43" s="30">
        <f>[1]Indicadores_fís_site_regiões!C43*100</f>
        <v>99.593061731920869</v>
      </c>
      <c r="D43" s="30">
        <f>[1]Indicadores_fís_site_regiões!D43*100</f>
        <v>99.031283399918237</v>
      </c>
      <c r="E43" s="30">
        <f>[1]Indicadores_fís_site_regiões!E43*100</f>
        <v>98.704812516055028</v>
      </c>
      <c r="F43" s="30">
        <f>[1]Indicadores_fís_site_regiões!F43*100</f>
        <v>99.570535147747208</v>
      </c>
      <c r="G43" s="30">
        <f>[1]Indicadores_fís_site_regiões!G43*100</f>
        <v>99.798317832149934</v>
      </c>
    </row>
    <row r="44" spans="1:7" ht="14.25" customHeight="1" x14ac:dyDescent="0.15">
      <c r="A44" s="12" t="s">
        <v>9</v>
      </c>
      <c r="B44" s="13" t="s">
        <v>12</v>
      </c>
      <c r="C44" s="31">
        <f>[1]Indicadores_fís_site_regiões!C44*100</f>
        <v>97.391132168287655</v>
      </c>
      <c r="D44" s="31">
        <f>[1]Indicadores_fís_site_regiões!D44*100</f>
        <v>94.583220811588049</v>
      </c>
      <c r="E44" s="31">
        <f>[1]Indicadores_fís_site_regiões!E44*100</f>
        <v>95.140010236409893</v>
      </c>
      <c r="F44" s="31">
        <f>[1]Indicadores_fís_site_regiões!F44*100</f>
        <v>98.410348039366824</v>
      </c>
      <c r="G44" s="31">
        <f>[1]Indicadores_fís_site_regiões!G44*100</f>
        <v>98.995963666832893</v>
      </c>
    </row>
    <row r="45" spans="1:7" ht="14.25" customHeight="1" x14ac:dyDescent="0.15">
      <c r="A45" s="12" t="s">
        <v>0</v>
      </c>
      <c r="B45" s="13" t="s">
        <v>12</v>
      </c>
      <c r="C45" s="31">
        <f>[1]Indicadores_fís_site_regiões!C45*100</f>
        <v>0.47747357559387105</v>
      </c>
      <c r="D45" s="31">
        <f>[1]Indicadores_fís_site_regiões!D45*100</f>
        <v>2.516369525823927E-2</v>
      </c>
      <c r="E45" s="31">
        <f>[1]Indicadores_fís_site_regiões!E45*100</f>
        <v>0.16661936936247482</v>
      </c>
      <c r="F45" s="31">
        <f>[1]Indicadores_fís_site_regiões!F45*100</f>
        <v>1.8152396121602861E-2</v>
      </c>
      <c r="G45" s="31">
        <f>[1]Indicadores_fís_site_regiões!G45*100</f>
        <v>1.5614469021232749E-2</v>
      </c>
    </row>
    <row r="46" spans="1:7" ht="14.25" customHeight="1" x14ac:dyDescent="0.15">
      <c r="A46" s="12" t="s">
        <v>1</v>
      </c>
      <c r="B46" s="13" t="s">
        <v>12</v>
      </c>
      <c r="C46" s="31">
        <f>[1]Indicadores_fís_site_regiões!C46*100</f>
        <v>0.26462207718294806</v>
      </c>
      <c r="D46" s="31">
        <f>[1]Indicadores_fís_site_regiões!D46*100</f>
        <v>2.0721871906851272</v>
      </c>
      <c r="E46" s="31">
        <f>[1]Indicadores_fís_site_regiões!E46*100</f>
        <v>1.7193715359799897</v>
      </c>
      <c r="F46" s="31">
        <f>[1]Indicadores_fís_site_regiões!F46*100</f>
        <v>0.45778316636360455</v>
      </c>
      <c r="G46" s="31">
        <f>[1]Indicadores_fís_site_regiões!G46*100</f>
        <v>0.51691364947471008</v>
      </c>
    </row>
    <row r="47" spans="1:7" ht="14.25" customHeight="1" x14ac:dyDescent="0.15">
      <c r="A47" s="12" t="s">
        <v>2</v>
      </c>
      <c r="B47" s="13" t="s">
        <v>12</v>
      </c>
      <c r="C47" s="31">
        <f>[1]Indicadores_fís_site_regiões!C47*100</f>
        <v>6.8365010818967537E-2</v>
      </c>
      <c r="D47" s="31">
        <f>[1]Indicadores_fís_site_regiões!D47*100</f>
        <v>9.8017205732854579E-2</v>
      </c>
      <c r="E47" s="31">
        <f>[1]Indicadores_fís_site_regiões!E47*100</f>
        <v>2.7893314314694988E-2</v>
      </c>
      <c r="F47" s="31">
        <f>[1]Indicadores_fís_site_regiões!F47*100</f>
        <v>4.4830570407973919E-2</v>
      </c>
      <c r="G47" s="31">
        <f>[1]Indicadores_fís_site_regiões!G47*100</f>
        <v>2.6513695404236657E-3</v>
      </c>
    </row>
    <row r="48" spans="1:7" ht="14.25" customHeight="1" x14ac:dyDescent="0.15">
      <c r="A48" s="12" t="s">
        <v>13</v>
      </c>
      <c r="B48" s="13" t="s">
        <v>12</v>
      </c>
      <c r="C48" s="31">
        <f>[1]Indicadores_fís_site_regiões!C48*100</f>
        <v>0.9429307661373163</v>
      </c>
      <c r="D48" s="31">
        <f>[1]Indicadores_fís_site_regiões!D48*100</f>
        <v>2.0598957567641301</v>
      </c>
      <c r="E48" s="31">
        <f>[1]Indicadores_fís_site_regiões!E48*100</f>
        <v>1.5825478105583868</v>
      </c>
      <c r="F48" s="31">
        <f>[1]Indicadores_fís_site_regiões!F48*100</f>
        <v>0.5905294881389227</v>
      </c>
      <c r="G48" s="31">
        <f>[1]Indicadores_fís_site_regiões!G48*100</f>
        <v>0.24551589129111578</v>
      </c>
    </row>
    <row r="49" spans="1:7" ht="14.25" customHeight="1" x14ac:dyDescent="0.15">
      <c r="A49" s="12" t="s">
        <v>3</v>
      </c>
      <c r="B49" s="13" t="s">
        <v>12</v>
      </c>
      <c r="C49" s="31">
        <f>[1]Indicadores_fís_site_regiões!C49*100</f>
        <v>0.4485381339001151</v>
      </c>
      <c r="D49" s="31">
        <f>[1]Indicadores_fís_site_regiões!D49*100</f>
        <v>0.19279873988983812</v>
      </c>
      <c r="E49" s="31">
        <f>[1]Indicadores_fís_site_regiões!E49*100</f>
        <v>6.8370249429586555E-2</v>
      </c>
      <c r="F49" s="31">
        <f>[1]Indicadores_fís_site_regiões!F49*100</f>
        <v>4.8891487348280922E-2</v>
      </c>
      <c r="G49" s="31">
        <f>[1]Indicadores_fís_site_regiões!G49*100</f>
        <v>2.165878598954931E-2</v>
      </c>
    </row>
    <row r="50" spans="1:7" ht="14.25" customHeight="1" x14ac:dyDescent="0.15">
      <c r="A50" s="10" t="s">
        <v>35</v>
      </c>
      <c r="B50" s="7" t="s">
        <v>12</v>
      </c>
      <c r="C50" s="30">
        <f>[1]Indicadores_fís_site_regiões!C50*100</f>
        <v>0.40693826807911837</v>
      </c>
      <c r="D50" s="30">
        <f>[1]Indicadores_fís_site_regiões!D50*100</f>
        <v>0.96871660008186655</v>
      </c>
      <c r="E50" s="30">
        <f>[1]Indicadores_fís_site_regiões!E50*100</f>
        <v>1.2951874839450201</v>
      </c>
      <c r="F50" s="30">
        <f>[1]Indicadores_fís_site_regiões!F50*100</f>
        <v>0.42946485225274067</v>
      </c>
      <c r="G50" s="30">
        <f>[1]Indicadores_fís_site_regiões!G50*100</f>
        <v>0.20168216785014054</v>
      </c>
    </row>
    <row r="51" spans="1:7" ht="14.25" customHeight="1" x14ac:dyDescent="0.15">
      <c r="B51" s="7"/>
      <c r="C51" s="7"/>
      <c r="D51" s="7"/>
      <c r="E51" s="7"/>
      <c r="F51" s="7"/>
      <c r="G51" s="7"/>
    </row>
    <row r="52" spans="1:7" ht="14.25" customHeight="1" x14ac:dyDescent="0.15">
      <c r="A52" s="10" t="s">
        <v>14</v>
      </c>
      <c r="B52" s="16"/>
      <c r="C52" s="16"/>
      <c r="D52" s="16"/>
      <c r="E52" s="16"/>
      <c r="F52" s="16"/>
      <c r="G52" s="16"/>
    </row>
    <row r="53" spans="1:7" ht="14.25" customHeight="1" x14ac:dyDescent="0.15">
      <c r="A53" s="12" t="s">
        <v>36</v>
      </c>
      <c r="B53" s="5" t="s">
        <v>15</v>
      </c>
      <c r="C53" s="18">
        <v>78.741721582383533</v>
      </c>
      <c r="D53" s="18">
        <v>85.354102931340464</v>
      </c>
      <c r="E53" s="18">
        <v>144.26966356820333</v>
      </c>
      <c r="F53" s="18">
        <v>122.14903227730014</v>
      </c>
      <c r="G53" s="18">
        <v>120.59427283107603</v>
      </c>
    </row>
    <row r="54" spans="1:7" s="14" customFormat="1" ht="14.25" customHeight="1" x14ac:dyDescent="0.15">
      <c r="A54" s="12" t="s">
        <v>37</v>
      </c>
      <c r="B54" s="13" t="s">
        <v>12</v>
      </c>
      <c r="C54" s="29">
        <v>15.86532146973898</v>
      </c>
      <c r="D54" s="29">
        <v>39.603107563336891</v>
      </c>
      <c r="E54" s="29">
        <v>71.370884908027904</v>
      </c>
      <c r="F54" s="29">
        <v>58.861899720363077</v>
      </c>
      <c r="G54" s="29">
        <v>56.713101582363414</v>
      </c>
    </row>
    <row r="55" spans="1:7" s="14" customFormat="1" ht="12.75" customHeight="1" x14ac:dyDescent="0.15">
      <c r="A55" s="19"/>
      <c r="B55" s="19"/>
      <c r="C55" s="19"/>
      <c r="D55" s="19"/>
      <c r="E55" s="19"/>
      <c r="F55" s="19"/>
      <c r="G55" s="19"/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Ind_est_fís_Brasil</vt:lpstr>
      <vt:lpstr>Ind_est_fís_Grandes Regiões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Jaqueline Coelho Visentin</dc:creator>
  <cp:lastModifiedBy>Gabriela Cavalcanti De Araujo Martins</cp:lastModifiedBy>
  <dcterms:created xsi:type="dcterms:W3CDTF">2020-03-03T13:48:17Z</dcterms:created>
  <dcterms:modified xsi:type="dcterms:W3CDTF">2023-04-04T16:09:23Z</dcterms:modified>
</cp:coreProperties>
</file>