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M:\INTERNET\Thème Environnement\1_fiches_bilan_environnemental_2023\excel\"/>
    </mc:Choice>
  </mc:AlternateContent>
  <xr:revisionPtr revIDLastSave="0" documentId="13_ncr:1_{2F25885F-5E2D-42C4-870C-E960A50119C6}" xr6:coauthVersionLast="47" xr6:coauthVersionMax="47" xr10:uidLastSave="{00000000-0000-0000-0000-000000000000}"/>
  <bookViews>
    <workbookView xWindow="28680" yWindow="-120" windowWidth="29040" windowHeight="15840" tabRatio="920" xr2:uid="{00000000-000D-0000-FFFF-FFFF00000000}"/>
  </bookViews>
  <sheets>
    <sheet name="Sommaire" sheetId="18" r:id="rId1"/>
    <sheet name="Donnees_Eurostat_MFA" sheetId="19" r:id="rId2"/>
    <sheet name="Donnees_Eurostat_MF" sheetId="23" r:id="rId3"/>
    <sheet name="Donnees_INSEE" sheetId="20" r:id="rId4"/>
    <sheet name="Donnees_OECD" sheetId="24" r:id="rId5"/>
    <sheet name="Graph 1" sheetId="17" r:id="rId6"/>
    <sheet name="Graph 2" sheetId="10" r:id="rId7"/>
    <sheet name="Graph 3" sheetId="11" r:id="rId8"/>
    <sheet name="Graph 4" sheetId="16" r:id="rId9"/>
  </sheets>
  <definedNames>
    <definedName name="_016" localSheetId="5">#REF!</definedName>
    <definedName name="_016" localSheetId="8">#REF!</definedName>
    <definedName name="_016">#REF!</definedName>
    <definedName name="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10" l="1"/>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G18" i="10" s="1"/>
  <c r="B10" i="10"/>
  <c r="C250" i="19"/>
  <c r="D250" i="19"/>
  <c r="E250" i="19"/>
  <c r="F250" i="19"/>
  <c r="G250" i="19"/>
  <c r="H250" i="19"/>
  <c r="I250" i="19"/>
  <c r="J250" i="19"/>
  <c r="K250" i="19"/>
  <c r="L250" i="19"/>
  <c r="M250" i="19"/>
  <c r="N250" i="19"/>
  <c r="O250" i="19"/>
  <c r="P250" i="19"/>
  <c r="Q250" i="19"/>
  <c r="R250" i="19"/>
  <c r="S250" i="19"/>
  <c r="S245" i="19" s="1"/>
  <c r="T250" i="19"/>
  <c r="U250" i="19"/>
  <c r="V250" i="19"/>
  <c r="W250" i="19"/>
  <c r="X250" i="19"/>
  <c r="Y250" i="19"/>
  <c r="Z250" i="19"/>
  <c r="AA250" i="19"/>
  <c r="AB250" i="19"/>
  <c r="AC250" i="19"/>
  <c r="AD250" i="19"/>
  <c r="AE250" i="19"/>
  <c r="AF250" i="19"/>
  <c r="AG250" i="19"/>
  <c r="AH250" i="19"/>
  <c r="M245" i="19"/>
  <c r="Z245" i="19"/>
  <c r="D249" i="19"/>
  <c r="E249" i="19"/>
  <c r="F249" i="19"/>
  <c r="G249" i="19"/>
  <c r="H249" i="19"/>
  <c r="I249" i="19"/>
  <c r="J249" i="19"/>
  <c r="K249" i="19"/>
  <c r="L249" i="19"/>
  <c r="M249" i="19"/>
  <c r="N249" i="19"/>
  <c r="O249" i="19"/>
  <c r="P249" i="19"/>
  <c r="Q249" i="19"/>
  <c r="R249" i="19"/>
  <c r="S249" i="19"/>
  <c r="T249" i="19"/>
  <c r="U249" i="19"/>
  <c r="V249" i="19"/>
  <c r="W249" i="19"/>
  <c r="X249" i="19"/>
  <c r="Y249" i="19"/>
  <c r="Z249" i="19"/>
  <c r="AA249" i="19"/>
  <c r="AB249" i="19"/>
  <c r="AC249" i="19"/>
  <c r="AD249" i="19"/>
  <c r="AE249" i="19"/>
  <c r="AF249" i="19"/>
  <c r="AG249" i="19"/>
  <c r="AH249" i="19"/>
  <c r="AI249" i="19"/>
  <c r="C249" i="19"/>
  <c r="D248" i="19"/>
  <c r="E248" i="19"/>
  <c r="F248" i="19"/>
  <c r="G248" i="19"/>
  <c r="H248" i="19"/>
  <c r="I248" i="19"/>
  <c r="J248" i="19"/>
  <c r="K248" i="19"/>
  <c r="L248" i="19"/>
  <c r="M248" i="19"/>
  <c r="N248" i="19"/>
  <c r="O248" i="19"/>
  <c r="P248" i="19"/>
  <c r="Q248" i="19"/>
  <c r="R248" i="19"/>
  <c r="S248" i="19"/>
  <c r="T248" i="19"/>
  <c r="U248" i="19"/>
  <c r="V248" i="19"/>
  <c r="W248" i="19"/>
  <c r="X248" i="19"/>
  <c r="Y248" i="19"/>
  <c r="Z248" i="19"/>
  <c r="AA248" i="19"/>
  <c r="AB248" i="19"/>
  <c r="AC248" i="19"/>
  <c r="AD248" i="19"/>
  <c r="AE248" i="19"/>
  <c r="AF248" i="19"/>
  <c r="AG248" i="19"/>
  <c r="AH248" i="19"/>
  <c r="AI248" i="19"/>
  <c r="C248" i="19"/>
  <c r="D247" i="19"/>
  <c r="E247" i="19"/>
  <c r="F247" i="19"/>
  <c r="G247" i="19"/>
  <c r="H247" i="19"/>
  <c r="I247" i="19"/>
  <c r="J247" i="19"/>
  <c r="K247" i="19"/>
  <c r="L247" i="19"/>
  <c r="M247" i="19"/>
  <c r="N247" i="19"/>
  <c r="O247" i="19"/>
  <c r="P247" i="19"/>
  <c r="Q247" i="19"/>
  <c r="R247" i="19"/>
  <c r="S247" i="19"/>
  <c r="T247" i="19"/>
  <c r="U247" i="19"/>
  <c r="V247" i="19"/>
  <c r="W247" i="19"/>
  <c r="X247" i="19"/>
  <c r="Y247" i="19"/>
  <c r="Z247" i="19"/>
  <c r="AA247" i="19"/>
  <c r="AB247" i="19"/>
  <c r="AC247" i="19"/>
  <c r="AD247" i="19"/>
  <c r="AE247" i="19"/>
  <c r="AF247" i="19"/>
  <c r="AG247" i="19"/>
  <c r="AH247" i="19"/>
  <c r="AI247" i="19"/>
  <c r="C247" i="19"/>
  <c r="D246" i="19"/>
  <c r="E246" i="19"/>
  <c r="E245" i="19" s="1"/>
  <c r="F246" i="19"/>
  <c r="G246" i="19"/>
  <c r="G245" i="19" s="1"/>
  <c r="H246" i="19"/>
  <c r="I246" i="19"/>
  <c r="J246" i="19"/>
  <c r="K246" i="19"/>
  <c r="L246" i="19"/>
  <c r="M246" i="19"/>
  <c r="N246" i="19"/>
  <c r="O246" i="19"/>
  <c r="O245" i="19" s="1"/>
  <c r="P246" i="19"/>
  <c r="P245" i="19" s="1"/>
  <c r="Q246" i="19"/>
  <c r="R246" i="19"/>
  <c r="R245" i="19" s="1"/>
  <c r="S246" i="19"/>
  <c r="T246" i="19"/>
  <c r="T245" i="19" s="1"/>
  <c r="U246" i="19"/>
  <c r="U245" i="19" s="1"/>
  <c r="V246" i="19"/>
  <c r="W246" i="19"/>
  <c r="W245" i="19" s="1"/>
  <c r="X246" i="19"/>
  <c r="X245" i="19" s="1"/>
  <c r="Y246" i="19"/>
  <c r="Z246" i="19"/>
  <c r="AA246" i="19"/>
  <c r="AB246" i="19"/>
  <c r="AB245" i="19" s="1"/>
  <c r="AC246" i="19"/>
  <c r="AC245" i="19" s="1"/>
  <c r="AD246" i="19"/>
  <c r="AE246" i="19"/>
  <c r="AE245" i="19" s="1"/>
  <c r="AF246" i="19"/>
  <c r="AF245" i="19" s="1"/>
  <c r="AG246" i="19"/>
  <c r="AH246" i="19"/>
  <c r="AI246" i="19"/>
  <c r="C246" i="19"/>
  <c r="A1" i="24"/>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B9"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B5" i="11"/>
  <c r="AH9" i="10"/>
  <c r="C8" i="10"/>
  <c r="D8" i="10"/>
  <c r="E8" i="10"/>
  <c r="F8" i="10"/>
  <c r="G8" i="10"/>
  <c r="H8" i="10"/>
  <c r="I8" i="10"/>
  <c r="J8" i="10"/>
  <c r="K8" i="10"/>
  <c r="K16" i="10" s="1"/>
  <c r="L8" i="10"/>
  <c r="M8" i="10"/>
  <c r="N8" i="10"/>
  <c r="O8" i="10"/>
  <c r="P8" i="10"/>
  <c r="Q8" i="10"/>
  <c r="R8" i="10"/>
  <c r="S8" i="10"/>
  <c r="T8" i="10"/>
  <c r="U8" i="10"/>
  <c r="V8" i="10"/>
  <c r="W8" i="10"/>
  <c r="X8" i="10"/>
  <c r="Y8" i="10"/>
  <c r="Z8" i="10"/>
  <c r="AA8" i="10"/>
  <c r="AA16" i="10" s="1"/>
  <c r="AB8" i="10"/>
  <c r="AC8" i="10"/>
  <c r="AD8" i="10"/>
  <c r="AE8" i="10"/>
  <c r="AF8" i="10"/>
  <c r="AG8" i="10"/>
  <c r="AH8" i="10"/>
  <c r="B8" i="10"/>
  <c r="H16" i="10" s="1"/>
  <c r="AH5" i="10"/>
  <c r="AH6" i="10"/>
  <c r="AH7" i="10"/>
  <c r="C7" i="10"/>
  <c r="D7" i="10"/>
  <c r="E7" i="10"/>
  <c r="F7" i="10"/>
  <c r="G7" i="10"/>
  <c r="G15" i="10" s="1"/>
  <c r="H7" i="10"/>
  <c r="H15" i="10" s="1"/>
  <c r="I7" i="10"/>
  <c r="J7" i="10"/>
  <c r="K7" i="10"/>
  <c r="L7" i="10"/>
  <c r="M7" i="10"/>
  <c r="M15" i="10" s="1"/>
  <c r="N7" i="10"/>
  <c r="O7" i="10"/>
  <c r="O15" i="10" s="1"/>
  <c r="P7" i="10"/>
  <c r="P15" i="10" s="1"/>
  <c r="Q7" i="10"/>
  <c r="R7" i="10"/>
  <c r="S7" i="10"/>
  <c r="T7" i="10"/>
  <c r="U7" i="10"/>
  <c r="U15" i="10" s="1"/>
  <c r="V7" i="10"/>
  <c r="W7" i="10"/>
  <c r="W15" i="10" s="1"/>
  <c r="X7" i="10"/>
  <c r="X15" i="10" s="1"/>
  <c r="Y7" i="10"/>
  <c r="Z7" i="10"/>
  <c r="AA7" i="10"/>
  <c r="AB7" i="10"/>
  <c r="AC7" i="10"/>
  <c r="AC15" i="10" s="1"/>
  <c r="AD7" i="10"/>
  <c r="AD15" i="10" s="1"/>
  <c r="AE7" i="10"/>
  <c r="AE15" i="10" s="1"/>
  <c r="AF7" i="10"/>
  <c r="AG7" i="10"/>
  <c r="B7" i="10"/>
  <c r="C6" i="10"/>
  <c r="D6" i="10"/>
  <c r="E6" i="10"/>
  <c r="F6" i="10"/>
  <c r="G6" i="10"/>
  <c r="H6" i="10"/>
  <c r="I6" i="10"/>
  <c r="J6" i="10"/>
  <c r="K6" i="10"/>
  <c r="L6" i="10"/>
  <c r="M6" i="10"/>
  <c r="N6" i="10"/>
  <c r="O6" i="10"/>
  <c r="P6" i="10"/>
  <c r="Q6" i="10"/>
  <c r="R6" i="10"/>
  <c r="S6" i="10"/>
  <c r="T6" i="10"/>
  <c r="U6" i="10"/>
  <c r="U14" i="10" s="1"/>
  <c r="V6" i="10"/>
  <c r="V14" i="10" s="1"/>
  <c r="W6" i="10"/>
  <c r="X6" i="10"/>
  <c r="X14" i="10" s="1"/>
  <c r="Y6" i="10"/>
  <c r="Z6" i="10"/>
  <c r="AA6" i="10"/>
  <c r="AB6" i="10"/>
  <c r="AC6" i="10"/>
  <c r="AC14" i="10" s="1"/>
  <c r="AD6" i="10"/>
  <c r="AD14" i="10" s="1"/>
  <c r="AE6" i="10"/>
  <c r="AE14" i="10" s="1"/>
  <c r="AF6" i="10"/>
  <c r="AG6" i="10"/>
  <c r="B6" i="10"/>
  <c r="C5" i="10"/>
  <c r="D5" i="10"/>
  <c r="E5" i="10"/>
  <c r="F5" i="10"/>
  <c r="G5" i="10"/>
  <c r="H5" i="10"/>
  <c r="I5" i="10"/>
  <c r="J5" i="10"/>
  <c r="K5" i="10"/>
  <c r="L5" i="10"/>
  <c r="M5" i="10"/>
  <c r="M6" i="11" s="1"/>
  <c r="N5" i="10"/>
  <c r="N6" i="11" s="1"/>
  <c r="O5" i="10"/>
  <c r="P5" i="10"/>
  <c r="Q5" i="10"/>
  <c r="R5" i="10"/>
  <c r="S5" i="10"/>
  <c r="T5" i="10"/>
  <c r="U5" i="10"/>
  <c r="V5" i="10"/>
  <c r="W5" i="10"/>
  <c r="X5" i="10"/>
  <c r="Y5" i="10"/>
  <c r="Z5" i="10"/>
  <c r="AA5" i="10"/>
  <c r="AB5" i="10"/>
  <c r="AC5" i="10"/>
  <c r="AC13" i="10" s="1"/>
  <c r="AD5" i="10"/>
  <c r="AE5" i="10"/>
  <c r="AE13" i="10" s="1"/>
  <c r="AF5" i="10"/>
  <c r="AG5" i="10"/>
  <c r="AG13" i="10" s="1"/>
  <c r="B5" i="10"/>
  <c r="C9" i="10"/>
  <c r="D9" i="10"/>
  <c r="E9" i="10"/>
  <c r="E17" i="10" s="1"/>
  <c r="F9" i="10"/>
  <c r="G9" i="10"/>
  <c r="G17" i="10" s="1"/>
  <c r="H9" i="10"/>
  <c r="H17" i="10" s="1"/>
  <c r="I9" i="10"/>
  <c r="J9" i="10"/>
  <c r="K9" i="10"/>
  <c r="L9" i="10"/>
  <c r="M9" i="10"/>
  <c r="M17" i="10" s="1"/>
  <c r="N9" i="10"/>
  <c r="O9" i="10"/>
  <c r="O17" i="10" s="1"/>
  <c r="P9" i="10"/>
  <c r="P17" i="10" s="1"/>
  <c r="Q9" i="10"/>
  <c r="R9" i="10"/>
  <c r="S9" i="10"/>
  <c r="S17" i="10" s="1"/>
  <c r="T9" i="10"/>
  <c r="U9" i="10"/>
  <c r="U17" i="10" s="1"/>
  <c r="V9" i="10"/>
  <c r="V17" i="10" s="1"/>
  <c r="W9" i="10"/>
  <c r="W17" i="10" s="1"/>
  <c r="X9" i="10"/>
  <c r="X17" i="10" s="1"/>
  <c r="Y9" i="10"/>
  <c r="Y17" i="10" s="1"/>
  <c r="Z9" i="10"/>
  <c r="AA9" i="10"/>
  <c r="AA17" i="10" s="1"/>
  <c r="AB9" i="10"/>
  <c r="AC9" i="10"/>
  <c r="AC17" i="10" s="1"/>
  <c r="AD9" i="10"/>
  <c r="AD17" i="10" s="1"/>
  <c r="AE9" i="10"/>
  <c r="AE17" i="10" s="1"/>
  <c r="AF9" i="10"/>
  <c r="AG9" i="10"/>
  <c r="AG17" i="10" s="1"/>
  <c r="B9" i="10"/>
  <c r="C24" i="17"/>
  <c r="E29" i="17"/>
  <c r="E26" i="17"/>
  <c r="E25" i="17"/>
  <c r="E24" i="17"/>
  <c r="E23" i="17"/>
  <c r="E22" i="17"/>
  <c r="E21" i="17"/>
  <c r="E20" i="17"/>
  <c r="D29" i="17"/>
  <c r="D26" i="17"/>
  <c r="D25" i="17"/>
  <c r="D24" i="17"/>
  <c r="D23" i="17"/>
  <c r="D22" i="17"/>
  <c r="D21" i="17"/>
  <c r="D20" i="17"/>
  <c r="C29" i="17"/>
  <c r="C26" i="17"/>
  <c r="C25" i="17"/>
  <c r="C23" i="17"/>
  <c r="C22" i="17"/>
  <c r="C21" i="17"/>
  <c r="C20" i="17"/>
  <c r="E9" i="17"/>
  <c r="F9" i="17"/>
  <c r="G9" i="17"/>
  <c r="H9" i="17"/>
  <c r="I9" i="17"/>
  <c r="J9" i="17"/>
  <c r="K9" i="17"/>
  <c r="L9" i="17"/>
  <c r="M9" i="17"/>
  <c r="N9" i="17"/>
  <c r="O9" i="17"/>
  <c r="P9" i="17"/>
  <c r="Q9" i="17"/>
  <c r="R9" i="17"/>
  <c r="D9" i="17"/>
  <c r="C9" i="17"/>
  <c r="E8" i="17"/>
  <c r="F8" i="17"/>
  <c r="G8" i="17"/>
  <c r="H8" i="17"/>
  <c r="I8" i="17"/>
  <c r="J8" i="17"/>
  <c r="K8" i="17"/>
  <c r="L8" i="17"/>
  <c r="M8" i="17"/>
  <c r="N8" i="17"/>
  <c r="O8" i="17"/>
  <c r="P8" i="17"/>
  <c r="Q8" i="17"/>
  <c r="R8" i="17"/>
  <c r="D8" i="17"/>
  <c r="C8" i="17"/>
  <c r="E7" i="17"/>
  <c r="F7" i="17"/>
  <c r="F10" i="17" s="1"/>
  <c r="G7" i="17"/>
  <c r="G10" i="17" s="1"/>
  <c r="H7" i="17"/>
  <c r="H10" i="17" s="1"/>
  <c r="I7" i="17"/>
  <c r="J7" i="17"/>
  <c r="J10" i="17" s="1"/>
  <c r="K7" i="17"/>
  <c r="L7" i="17"/>
  <c r="M7" i="17"/>
  <c r="N7" i="17"/>
  <c r="O7" i="17"/>
  <c r="P7" i="17"/>
  <c r="Q7" i="17"/>
  <c r="R7" i="17"/>
  <c r="D7" i="17"/>
  <c r="C7" i="17"/>
  <c r="B7" i="17"/>
  <c r="B10" i="17" s="1"/>
  <c r="AH17" i="10"/>
  <c r="B6" i="11"/>
  <c r="AF16" i="10"/>
  <c r="Z17" i="10"/>
  <c r="Z15" i="10"/>
  <c r="AA15" i="10"/>
  <c r="AB15" i="10"/>
  <c r="Y14" i="10"/>
  <c r="Z14" i="10"/>
  <c r="AA14" i="10"/>
  <c r="AB14" i="10"/>
  <c r="V13" i="10"/>
  <c r="Y13" i="10"/>
  <c r="Z13" i="10"/>
  <c r="AB13" i="10"/>
  <c r="D17" i="10"/>
  <c r="F17" i="10"/>
  <c r="I17" i="10"/>
  <c r="J17" i="10"/>
  <c r="K17" i="10"/>
  <c r="L17" i="10"/>
  <c r="N17" i="10"/>
  <c r="Q17" i="10"/>
  <c r="R17" i="10"/>
  <c r="T17" i="10"/>
  <c r="F16" i="10"/>
  <c r="P16" i="10"/>
  <c r="D15" i="10"/>
  <c r="E15" i="10"/>
  <c r="J15" i="10"/>
  <c r="K15" i="10"/>
  <c r="L15" i="10"/>
  <c r="R15" i="10"/>
  <c r="S15" i="10"/>
  <c r="T15" i="10"/>
  <c r="D14" i="10"/>
  <c r="E14" i="10"/>
  <c r="F14" i="10"/>
  <c r="I14" i="10"/>
  <c r="J14" i="10"/>
  <c r="K14" i="10"/>
  <c r="L14" i="10"/>
  <c r="M14" i="10"/>
  <c r="Q14" i="10"/>
  <c r="R14" i="10"/>
  <c r="S14" i="10"/>
  <c r="T14" i="10"/>
  <c r="C15" i="10"/>
  <c r="C17" i="10"/>
  <c r="C14" i="10"/>
  <c r="I13" i="10"/>
  <c r="J13" i="10"/>
  <c r="K13" i="10"/>
  <c r="L13" i="10"/>
  <c r="M13" i="10"/>
  <c r="N13" i="10"/>
  <c r="Q13" i="10"/>
  <c r="R13" i="10"/>
  <c r="S13" i="10"/>
  <c r="T13" i="10"/>
  <c r="D13" i="10"/>
  <c r="C13" i="10"/>
  <c r="A15" i="11"/>
  <c r="A14" i="11"/>
  <c r="A13" i="11"/>
  <c r="C12" i="11"/>
  <c r="D12" i="11" s="1"/>
  <c r="E12" i="11" s="1"/>
  <c r="F12" i="11" s="1"/>
  <c r="G12" i="11" s="1"/>
  <c r="H12" i="11" s="1"/>
  <c r="I12" i="11" s="1"/>
  <c r="J12" i="11" s="1"/>
  <c r="K12" i="11" s="1"/>
  <c r="L12" i="11" s="1"/>
  <c r="M12" i="11" s="1"/>
  <c r="N12" i="11" s="1"/>
  <c r="O12" i="11" s="1"/>
  <c r="P12" i="11" s="1"/>
  <c r="Q12" i="11" s="1"/>
  <c r="R12" i="11" s="1"/>
  <c r="S12" i="11" s="1"/>
  <c r="T12" i="11" s="1"/>
  <c r="U12" i="11" s="1"/>
  <c r="V12" i="11" s="1"/>
  <c r="W12" i="11" s="1"/>
  <c r="X12" i="11" s="1"/>
  <c r="Y12" i="11" s="1"/>
  <c r="Z12" i="11" s="1"/>
  <c r="AA12" i="11" s="1"/>
  <c r="AB12" i="11" s="1"/>
  <c r="AC12" i="11" s="1"/>
  <c r="C12" i="10"/>
  <c r="D12" i="10"/>
  <c r="E12" i="10"/>
  <c r="F12" i="10"/>
  <c r="G12" i="10"/>
  <c r="H12" i="10" s="1"/>
  <c r="I12" i="10" s="1"/>
  <c r="J12" i="10" s="1"/>
  <c r="K12" i="10" s="1"/>
  <c r="L12" i="10" s="1"/>
  <c r="M12" i="10" s="1"/>
  <c r="N12" i="10" s="1"/>
  <c r="O12" i="10" s="1"/>
  <c r="P12" i="10" s="1"/>
  <c r="Q12" i="10" s="1"/>
  <c r="R12" i="10" s="1"/>
  <c r="S12" i="10" s="1"/>
  <c r="T12" i="10" s="1"/>
  <c r="U12" i="10" s="1"/>
  <c r="C4" i="10"/>
  <c r="D4" i="10"/>
  <c r="E4" i="10" s="1"/>
  <c r="F4" i="10" s="1"/>
  <c r="G4" i="10" s="1"/>
  <c r="H4" i="10" s="1"/>
  <c r="I4" i="10" s="1"/>
  <c r="J4" i="10" s="1"/>
  <c r="K4" i="10" s="1"/>
  <c r="L4" i="10" s="1"/>
  <c r="M4" i="10" s="1"/>
  <c r="N4" i="10" s="1"/>
  <c r="O4" i="10" s="1"/>
  <c r="P4" i="10" s="1"/>
  <c r="Q4" i="10" s="1"/>
  <c r="R4" i="10" s="1"/>
  <c r="S4" i="10" s="1"/>
  <c r="T4" i="10" s="1"/>
  <c r="U4" i="10" s="1"/>
  <c r="J245" i="19" l="1"/>
  <c r="L245" i="19"/>
  <c r="D245" i="19"/>
  <c r="H245" i="19"/>
  <c r="AH245" i="19"/>
  <c r="AA245" i="19"/>
  <c r="K245" i="19"/>
  <c r="O16" i="10"/>
  <c r="E16" i="10"/>
  <c r="F13" i="10"/>
  <c r="N14" i="10"/>
  <c r="V15" i="10"/>
  <c r="N16" i="10"/>
  <c r="AG245" i="19"/>
  <c r="Y245" i="19"/>
  <c r="Q245" i="19"/>
  <c r="I245" i="19"/>
  <c r="M16" i="10"/>
  <c r="AE16" i="10"/>
  <c r="AA6" i="11"/>
  <c r="AA7" i="11" s="1"/>
  <c r="J16" i="10"/>
  <c r="AD245" i="19"/>
  <c r="V245" i="19"/>
  <c r="N245" i="19"/>
  <c r="F245" i="19"/>
  <c r="Q10" i="17"/>
  <c r="AD16" i="10"/>
  <c r="V16" i="10"/>
  <c r="I16" i="10"/>
  <c r="X16" i="10"/>
  <c r="U16" i="10"/>
  <c r="AB6" i="11"/>
  <c r="AB8" i="11" s="1"/>
  <c r="T18" i="10"/>
  <c r="D16" i="10"/>
  <c r="C245" i="19"/>
  <c r="W13" i="10"/>
  <c r="N15" i="10"/>
  <c r="AB17" i="10"/>
  <c r="AA13" i="10"/>
  <c r="F15" i="10"/>
  <c r="I10" i="17"/>
  <c r="H18" i="10"/>
  <c r="E13" i="10"/>
  <c r="AC18" i="10"/>
  <c r="E58" i="17"/>
  <c r="C10" i="17"/>
  <c r="G13" i="10"/>
  <c r="D10" i="17"/>
  <c r="B21" i="17"/>
  <c r="B22" i="17"/>
  <c r="AG14" i="10"/>
  <c r="T6" i="11"/>
  <c r="T8" i="11" s="1"/>
  <c r="AA18" i="10"/>
  <c r="R10" i="17"/>
  <c r="S16" i="10"/>
  <c r="C6" i="11"/>
  <c r="AH16" i="10"/>
  <c r="Z16" i="10"/>
  <c r="R16" i="10"/>
  <c r="T16" i="10"/>
  <c r="O10" i="17"/>
  <c r="AG16" i="10"/>
  <c r="Y16" i="10"/>
  <c r="W16" i="10"/>
  <c r="E10" i="17"/>
  <c r="C60" i="17"/>
  <c r="K10" i="17"/>
  <c r="V6" i="11"/>
  <c r="V7" i="11" s="1"/>
  <c r="V18" i="10"/>
  <c r="U6" i="11"/>
  <c r="U13" i="11" s="1"/>
  <c r="U18" i="10"/>
  <c r="E55" i="17"/>
  <c r="D56" i="17"/>
  <c r="N8" i="11"/>
  <c r="U13" i="10"/>
  <c r="C16" i="10"/>
  <c r="P10" i="17"/>
  <c r="C56" i="17"/>
  <c r="D57" i="17"/>
  <c r="E57" i="17"/>
  <c r="D18" i="10"/>
  <c r="Q16" i="10"/>
  <c r="AE6" i="11"/>
  <c r="AE7" i="11" s="1"/>
  <c r="C57" i="17"/>
  <c r="D58" i="17"/>
  <c r="S18" i="10"/>
  <c r="K18" i="10"/>
  <c r="W18" i="10"/>
  <c r="C59" i="17"/>
  <c r="N10" i="17"/>
  <c r="C58" i="17"/>
  <c r="D27" i="17"/>
  <c r="D62" i="17" s="1"/>
  <c r="R6" i="11"/>
  <c r="J18" i="10"/>
  <c r="AH15" i="10"/>
  <c r="G6" i="11"/>
  <c r="G13" i="11" s="1"/>
  <c r="B20" i="17"/>
  <c r="M10" i="17"/>
  <c r="E60" i="17"/>
  <c r="Y18" i="10"/>
  <c r="AG15" i="10"/>
  <c r="Y15" i="10"/>
  <c r="Q18" i="10"/>
  <c r="I15" i="10"/>
  <c r="AH14" i="10"/>
  <c r="AC16" i="10"/>
  <c r="G16" i="10"/>
  <c r="AD13" i="10"/>
  <c r="E56" i="17"/>
  <c r="B25" i="17"/>
  <c r="N18" i="10"/>
  <c r="L10" i="17"/>
  <c r="D61" i="17"/>
  <c r="E61" i="17"/>
  <c r="AF17" i="10"/>
  <c r="AF13" i="10"/>
  <c r="P13" i="10"/>
  <c r="AF14" i="10"/>
  <c r="P14" i="10"/>
  <c r="H14" i="10"/>
  <c r="AF15" i="10"/>
  <c r="AH13" i="10"/>
  <c r="AB16" i="10"/>
  <c r="W14" i="10"/>
  <c r="O14" i="10"/>
  <c r="G14" i="10"/>
  <c r="L6" i="11"/>
  <c r="N13" i="11"/>
  <c r="X6" i="11"/>
  <c r="X18" i="10"/>
  <c r="O6" i="11"/>
  <c r="O8" i="11" s="1"/>
  <c r="O18" i="10"/>
  <c r="B7" i="11"/>
  <c r="B8" i="11"/>
  <c r="M8" i="11"/>
  <c r="M7" i="11"/>
  <c r="M13" i="11"/>
  <c r="AD6" i="11"/>
  <c r="AD8" i="11" s="1"/>
  <c r="AD18" i="10"/>
  <c r="I18" i="10"/>
  <c r="I6" i="11"/>
  <c r="I8" i="11" s="1"/>
  <c r="H13" i="10"/>
  <c r="B24" i="17"/>
  <c r="B29" i="17"/>
  <c r="E27" i="17"/>
  <c r="E62" i="17" s="1"/>
  <c r="C55" i="17"/>
  <c r="D60" i="17"/>
  <c r="Q15" i="10"/>
  <c r="X13" i="10"/>
  <c r="B23" i="17"/>
  <c r="C27" i="17"/>
  <c r="AG6" i="11"/>
  <c r="E59" i="17"/>
  <c r="L16" i="10"/>
  <c r="M18" i="10"/>
  <c r="B26" i="17"/>
  <c r="D59" i="17"/>
  <c r="D55" i="17"/>
  <c r="C61" i="17"/>
  <c r="AB18" i="10"/>
  <c r="O13" i="10"/>
  <c r="N7" i="11"/>
  <c r="AB7" i="11" l="1"/>
  <c r="AB13" i="11"/>
  <c r="H6" i="11"/>
  <c r="T7" i="11"/>
  <c r="T14" i="11" s="1"/>
  <c r="Y6" i="11"/>
  <c r="Y8" i="11" s="1"/>
  <c r="Y15" i="11" s="1"/>
  <c r="R18" i="10"/>
  <c r="AA8" i="11"/>
  <c r="AA13" i="11"/>
  <c r="T13" i="11"/>
  <c r="J6" i="11"/>
  <c r="J13" i="11" s="1"/>
  <c r="S6" i="11"/>
  <c r="S8" i="11" s="1"/>
  <c r="V14" i="11"/>
  <c r="K6" i="11"/>
  <c r="K8" i="11" s="1"/>
  <c r="K15" i="11" s="1"/>
  <c r="U7" i="11"/>
  <c r="U14" i="11" s="1"/>
  <c r="U8" i="11"/>
  <c r="U15" i="11" s="1"/>
  <c r="AE13" i="11"/>
  <c r="V13" i="11"/>
  <c r="AC6" i="11"/>
  <c r="AC8" i="11" s="1"/>
  <c r="AC15" i="11" s="1"/>
  <c r="W6" i="11"/>
  <c r="W13" i="11" s="1"/>
  <c r="S15" i="11"/>
  <c r="G7" i="11"/>
  <c r="G14" i="11" s="1"/>
  <c r="D28" i="17"/>
  <c r="D63" i="17" s="1"/>
  <c r="D64" i="17" s="1"/>
  <c r="C7" i="11"/>
  <c r="C14" i="11" s="1"/>
  <c r="C8" i="11"/>
  <c r="C15" i="11" s="1"/>
  <c r="C13" i="11"/>
  <c r="V8" i="11"/>
  <c r="V15" i="11" s="1"/>
  <c r="B60" i="17"/>
  <c r="C18" i="10"/>
  <c r="G8" i="11"/>
  <c r="G15" i="11" s="1"/>
  <c r="E6" i="11"/>
  <c r="E18" i="10"/>
  <c r="AE18" i="10"/>
  <c r="B55" i="17"/>
  <c r="F6" i="11"/>
  <c r="F18" i="10"/>
  <c r="D6" i="11"/>
  <c r="D8" i="11" s="1"/>
  <c r="D15" i="11" s="1"/>
  <c r="L18" i="10"/>
  <c r="Q6" i="11"/>
  <c r="Q8" i="11" s="1"/>
  <c r="Q15" i="11" s="1"/>
  <c r="AE8" i="11"/>
  <c r="AE15" i="11" s="1"/>
  <c r="G18" i="10"/>
  <c r="Z6" i="11"/>
  <c r="Z18" i="10"/>
  <c r="AD15" i="11"/>
  <c r="I15" i="11"/>
  <c r="O15" i="11"/>
  <c r="H13" i="11"/>
  <c r="H8" i="11"/>
  <c r="H15" i="11" s="1"/>
  <c r="H7" i="11"/>
  <c r="H14" i="11" s="1"/>
  <c r="N15" i="11"/>
  <c r="AH6" i="11"/>
  <c r="AH18" i="10"/>
  <c r="B57" i="17"/>
  <c r="M14" i="11"/>
  <c r="B56" i="17"/>
  <c r="X7" i="11"/>
  <c r="X14" i="11" s="1"/>
  <c r="X13" i="11"/>
  <c r="X8" i="11"/>
  <c r="X15" i="11" s="1"/>
  <c r="T15" i="11"/>
  <c r="AF18" i="10"/>
  <c r="AF6" i="11"/>
  <c r="L8" i="11"/>
  <c r="L15" i="11" s="1"/>
  <c r="L13" i="11"/>
  <c r="L7" i="11"/>
  <c r="L14" i="11" s="1"/>
  <c r="J7" i="11"/>
  <c r="J14" i="11" s="1"/>
  <c r="AG13" i="11"/>
  <c r="AG7" i="11"/>
  <c r="I7" i="11"/>
  <c r="I14" i="11" s="1"/>
  <c r="I13" i="11"/>
  <c r="B59" i="17"/>
  <c r="B58" i="17"/>
  <c r="E28" i="17"/>
  <c r="E63" i="17" s="1"/>
  <c r="E64" i="17" s="1"/>
  <c r="M15" i="11"/>
  <c r="AB14" i="11"/>
  <c r="AD13" i="11"/>
  <c r="AD7" i="11"/>
  <c r="AD14" i="11" s="1"/>
  <c r="P18" i="10"/>
  <c r="P6" i="11"/>
  <c r="O7" i="11"/>
  <c r="O14" i="11" s="1"/>
  <c r="O13" i="11"/>
  <c r="R13" i="11"/>
  <c r="R7" i="11"/>
  <c r="R14" i="11" s="1"/>
  <c r="B27" i="17"/>
  <c r="B62" i="17" s="1"/>
  <c r="C62" i="17"/>
  <c r="AA14" i="11"/>
  <c r="N14" i="11"/>
  <c r="B61" i="17"/>
  <c r="R8" i="11"/>
  <c r="R15" i="11" s="1"/>
  <c r="Y7" i="11"/>
  <c r="Y14" i="11" s="1"/>
  <c r="Y13" i="11"/>
  <c r="AA15" i="11"/>
  <c r="AE14" i="11"/>
  <c r="AB15" i="11"/>
  <c r="AG8" i="11"/>
  <c r="C28" i="17"/>
  <c r="J8" i="11" l="1"/>
  <c r="J15" i="11" s="1"/>
  <c r="S13" i="11"/>
  <c r="K7" i="11"/>
  <c r="K14" i="11" s="1"/>
  <c r="K13" i="11"/>
  <c r="S7" i="11"/>
  <c r="S14" i="11" s="1"/>
  <c r="W8" i="11"/>
  <c r="W15" i="11" s="1"/>
  <c r="AC7" i="11"/>
  <c r="AC14" i="11" s="1"/>
  <c r="W7" i="11"/>
  <c r="W14" i="11" s="1"/>
  <c r="AC13" i="11"/>
  <c r="Q7" i="11"/>
  <c r="Q14" i="11" s="1"/>
  <c r="Q13" i="11"/>
  <c r="D13" i="11"/>
  <c r="D7" i="11"/>
  <c r="D14" i="11" s="1"/>
  <c r="Z7" i="11"/>
  <c r="Z14" i="11" s="1"/>
  <c r="Z8" i="11"/>
  <c r="Z15" i="11" s="1"/>
  <c r="Z13" i="11"/>
  <c r="F7" i="11"/>
  <c r="F14" i="11" s="1"/>
  <c r="F8" i="11"/>
  <c r="F15" i="11" s="1"/>
  <c r="F13" i="11"/>
  <c r="E8" i="11"/>
  <c r="E15" i="11" s="1"/>
  <c r="E13" i="11"/>
  <c r="E7" i="11"/>
  <c r="E14" i="11" s="1"/>
  <c r="AG15" i="11"/>
  <c r="AH7" i="11"/>
  <c r="AH14" i="11" s="1"/>
  <c r="AH13" i="11"/>
  <c r="AF7" i="11"/>
  <c r="AF8" i="11"/>
  <c r="AF15" i="11" s="1"/>
  <c r="AF13" i="11"/>
  <c r="B28" i="17"/>
  <c r="B63" i="17" s="1"/>
  <c r="B64" i="17" s="1"/>
  <c r="C63" i="17"/>
  <c r="C64" i="17" s="1"/>
  <c r="AG14" i="11"/>
  <c r="P7" i="11"/>
  <c r="P14" i="11" s="1"/>
  <c r="P13" i="11"/>
  <c r="P8" i="11"/>
  <c r="P15" i="11" s="1"/>
  <c r="AF14"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MyOECD</author>
  </authors>
  <commentList>
    <comment ref="J10" authorId="0" shapeId="0" xr:uid="{00000000-0006-0000-0400-000001000000}">
      <text>
        <r>
          <rPr>
            <sz val="9"/>
            <color indexed="81"/>
            <rFont val="Tahoma"/>
            <family val="2"/>
          </rPr>
          <t xml:space="preserve">B: Rupture </t>
        </r>
      </text>
    </comment>
    <comment ref="Z10" authorId="0" shapeId="0" xr:uid="{00000000-0006-0000-0400-000002000000}">
      <text>
        <r>
          <rPr>
            <sz val="9"/>
            <color indexed="81"/>
            <rFont val="Tahoma"/>
            <family val="2"/>
          </rPr>
          <t xml:space="preserve">E: Valeur estimée </t>
        </r>
      </text>
    </comment>
    <comment ref="Z11" authorId="0" shapeId="0" xr:uid="{00000000-0006-0000-0400-000003000000}">
      <text>
        <r>
          <rPr>
            <sz val="9"/>
            <color indexed="81"/>
            <rFont val="Tahoma"/>
            <family val="2"/>
          </rPr>
          <t xml:space="preserve">E: Valeur estimée </t>
        </r>
      </text>
    </comment>
    <comment ref="J19" authorId="0" shapeId="0" xr:uid="{00000000-0006-0000-0400-000004000000}">
      <text>
        <r>
          <rPr>
            <sz val="9"/>
            <color indexed="81"/>
            <rFont val="Tahoma"/>
            <family val="2"/>
          </rPr>
          <t xml:space="preserve">E: Valeur estimée </t>
        </r>
      </text>
    </comment>
    <comment ref="L19" authorId="0" shapeId="0" xr:uid="{00000000-0006-0000-0400-000005000000}">
      <text>
        <r>
          <rPr>
            <sz val="9"/>
            <color indexed="81"/>
            <rFont val="Tahoma"/>
            <family val="2"/>
          </rPr>
          <t xml:space="preserve">E: Valeur estimée </t>
        </r>
      </text>
    </comment>
    <comment ref="N19" authorId="0" shapeId="0" xr:uid="{00000000-0006-0000-0400-000006000000}">
      <text>
        <r>
          <rPr>
            <sz val="9"/>
            <color indexed="81"/>
            <rFont val="Tahoma"/>
            <family val="2"/>
          </rPr>
          <t xml:space="preserve">E: Valeur estimée </t>
        </r>
      </text>
    </comment>
    <comment ref="Z20" authorId="0" shapeId="0" xr:uid="{00000000-0006-0000-0400-000007000000}">
      <text>
        <r>
          <rPr>
            <sz val="9"/>
            <color indexed="81"/>
            <rFont val="Tahoma"/>
            <family val="2"/>
          </rPr>
          <t xml:space="preserve">E: Valeur estimée </t>
        </r>
      </text>
    </comment>
    <comment ref="Z21" authorId="0" shapeId="0" xr:uid="{00000000-0006-0000-0400-000008000000}">
      <text>
        <r>
          <rPr>
            <sz val="9"/>
            <color indexed="81"/>
            <rFont val="Tahoma"/>
            <family val="2"/>
          </rPr>
          <t xml:space="preserve">E: Valeur estimée </t>
        </r>
      </text>
    </comment>
    <comment ref="J22" authorId="0" shapeId="0" xr:uid="{00000000-0006-0000-0400-000009000000}">
      <text>
        <r>
          <rPr>
            <sz val="9"/>
            <color indexed="81"/>
            <rFont val="Tahoma"/>
            <family val="2"/>
          </rPr>
          <t xml:space="preserve">E: Valeur estimée </t>
        </r>
      </text>
    </comment>
    <comment ref="L22" authorId="0" shapeId="0" xr:uid="{00000000-0006-0000-0400-00000A000000}">
      <text>
        <r>
          <rPr>
            <sz val="9"/>
            <color indexed="81"/>
            <rFont val="Tahoma"/>
            <family val="2"/>
          </rPr>
          <t xml:space="preserve">E: Valeur estimée </t>
        </r>
      </text>
    </comment>
    <comment ref="Z22" authorId="0" shapeId="0" xr:uid="{00000000-0006-0000-0400-00000B000000}">
      <text>
        <r>
          <rPr>
            <sz val="9"/>
            <color indexed="81"/>
            <rFont val="Tahoma"/>
            <family val="2"/>
          </rPr>
          <t xml:space="preserve">E: Valeur estimée </t>
        </r>
      </text>
    </comment>
    <comment ref="Z23" authorId="0" shapeId="0" xr:uid="{00000000-0006-0000-0400-00000C000000}">
      <text>
        <r>
          <rPr>
            <sz val="9"/>
            <color indexed="81"/>
            <rFont val="Tahoma"/>
            <family val="2"/>
          </rPr>
          <t xml:space="preserve">E: Valeur estimée </t>
        </r>
      </text>
    </comment>
    <comment ref="Z27" authorId="0" shapeId="0" xr:uid="{00000000-0006-0000-0400-00000D000000}">
      <text>
        <r>
          <rPr>
            <sz val="9"/>
            <color indexed="81"/>
            <rFont val="Tahoma"/>
            <family val="2"/>
          </rPr>
          <t xml:space="preserve">E: Valeur estimée </t>
        </r>
      </text>
    </comment>
    <comment ref="X34" authorId="0" shapeId="0" xr:uid="{00000000-0006-0000-0400-00000E000000}">
      <text>
        <r>
          <rPr>
            <sz val="9"/>
            <color indexed="81"/>
            <rFont val="Tahoma"/>
            <family val="2"/>
          </rPr>
          <t xml:space="preserve">E: Valeur estimée </t>
        </r>
      </text>
    </comment>
    <comment ref="Z34" authorId="0" shapeId="0" xr:uid="{00000000-0006-0000-0400-00000F000000}">
      <text>
        <r>
          <rPr>
            <sz val="9"/>
            <color indexed="81"/>
            <rFont val="Tahoma"/>
            <family val="2"/>
          </rPr>
          <t xml:space="preserve">E: Valeur estimée </t>
        </r>
      </text>
    </comment>
    <comment ref="Z41" authorId="0" shapeId="0" xr:uid="{00000000-0006-0000-0400-000010000000}">
      <text>
        <r>
          <rPr>
            <sz val="9"/>
            <color indexed="81"/>
            <rFont val="Tahoma"/>
            <family val="2"/>
          </rPr>
          <t xml:space="preserve">E: Valeur estimée </t>
        </r>
      </text>
    </comment>
    <comment ref="Z43" authorId="0" shapeId="0" xr:uid="{00000000-0006-0000-0400-000011000000}">
      <text>
        <r>
          <rPr>
            <sz val="9"/>
            <color indexed="81"/>
            <rFont val="Tahoma"/>
            <family val="2"/>
          </rPr>
          <t xml:space="preserve">E: Valeur estimée </t>
        </r>
      </text>
    </comment>
    <comment ref="J92" authorId="0" shapeId="0" xr:uid="{00000000-0006-0000-0400-000012000000}">
      <text>
        <r>
          <rPr>
            <sz val="9"/>
            <color indexed="81"/>
            <rFont val="Tahoma"/>
            <family val="2"/>
          </rPr>
          <t xml:space="preserve">E: Valeur estimée </t>
        </r>
      </text>
    </comment>
    <comment ref="J94" authorId="0" shapeId="0" xr:uid="{00000000-0006-0000-0400-000013000000}">
      <text>
        <r>
          <rPr>
            <sz val="9"/>
            <color indexed="81"/>
            <rFont val="Tahoma"/>
            <family val="2"/>
          </rPr>
          <t xml:space="preserve">E: Valeur estimée </t>
        </r>
      </text>
    </comment>
    <comment ref="L94" authorId="0" shapeId="0" xr:uid="{00000000-0006-0000-0400-000014000000}">
      <text>
        <r>
          <rPr>
            <sz val="9"/>
            <color indexed="81"/>
            <rFont val="Tahoma"/>
            <family val="2"/>
          </rPr>
          <t xml:space="preserve">E: Valeur estimée </t>
        </r>
      </text>
    </comment>
    <comment ref="Z94" authorId="0" shapeId="0" xr:uid="{00000000-0006-0000-0400-000015000000}">
      <text>
        <r>
          <rPr>
            <sz val="9"/>
            <color indexed="81"/>
            <rFont val="Tahoma"/>
            <family val="2"/>
          </rPr>
          <t xml:space="preserve">E: Valeur estimée </t>
        </r>
      </text>
    </comment>
    <comment ref="Z163" authorId="0" shapeId="0" xr:uid="{00000000-0006-0000-0400-000016000000}">
      <text>
        <r>
          <rPr>
            <sz val="9"/>
            <color indexed="81"/>
            <rFont val="Tahoma"/>
            <family val="2"/>
          </rPr>
          <t xml:space="preserve">E: Valeur estimée </t>
        </r>
      </text>
    </comment>
    <comment ref="Z175" authorId="0" shapeId="0" xr:uid="{00000000-0006-0000-0400-000017000000}">
      <text>
        <r>
          <rPr>
            <sz val="9"/>
            <color indexed="81"/>
            <rFont val="Tahoma"/>
            <family val="2"/>
          </rPr>
          <t xml:space="preserve">E: Valeur estimée </t>
        </r>
      </text>
    </comment>
  </commentList>
</comments>
</file>

<file path=xl/sharedStrings.xml><?xml version="1.0" encoding="utf-8"?>
<sst xmlns="http://schemas.openxmlformats.org/spreadsheetml/2006/main" count="4517" uniqueCount="566">
  <si>
    <t>Consommation intérieure apparente de matière (Direct Material Consumption)</t>
  </si>
  <si>
    <t>En millions de tonnes</t>
  </si>
  <si>
    <t>Bois et produits dérivés</t>
  </si>
  <si>
    <t>Minerais métalliques et produits à base dominante de métal</t>
  </si>
  <si>
    <t>Charbons et produits dérivés</t>
  </si>
  <si>
    <t>Pétrole (dont pétrole raffiné)</t>
  </si>
  <si>
    <t>Gaz naturels et produits dérivés</t>
  </si>
  <si>
    <t>Produits à base dominante de combustibles fossiles</t>
  </si>
  <si>
    <t>Autres produits</t>
  </si>
  <si>
    <t xml:space="preserve">Extraction intérieure </t>
  </si>
  <si>
    <t>Importation apparente (matériaux et produits)</t>
  </si>
  <si>
    <t>Exportation apparente (matériaux et produits)</t>
  </si>
  <si>
    <t>Total (consommation intérieure de matières, DMC)</t>
  </si>
  <si>
    <t>Biomasse</t>
  </si>
  <si>
    <t xml:space="preserve">Minerais métalliques et produits principalement métalliques </t>
  </si>
  <si>
    <t>Minéraux non métalliques</t>
  </si>
  <si>
    <t>Combustibles fossiles (charbon, pétrole, gaz naturel)</t>
  </si>
  <si>
    <t>PIB</t>
  </si>
  <si>
    <t>Consommation intérieure Totale (DMC), (Mt)</t>
  </si>
  <si>
    <t>Population</t>
  </si>
  <si>
    <t xml:space="preserve">DMC </t>
  </si>
  <si>
    <t>Définition</t>
  </si>
  <si>
    <t xml:space="preserve">DMC (consommation intérieure apparente de matières au sens de la comptabilité de flux de matières – règlement 691/2011 CE) : évalue en terme physiques la quantité de matières consommées par la population d’un territoire. 
</t>
  </si>
  <si>
    <t>En indice base 100 en 1990</t>
  </si>
  <si>
    <t>Pays</t>
  </si>
  <si>
    <t>DMC/hab</t>
  </si>
  <si>
    <t>Russie</t>
  </si>
  <si>
    <t>Espagne</t>
  </si>
  <si>
    <t>France</t>
  </si>
  <si>
    <t>Allemagne</t>
  </si>
  <si>
    <t>Finlande</t>
  </si>
  <si>
    <t>PIB (milliards d'euros, prix chaînés, base 2014)</t>
  </si>
  <si>
    <t>1990 //</t>
  </si>
  <si>
    <t>// 2000 //</t>
  </si>
  <si>
    <t>// 2007</t>
  </si>
  <si>
    <t>Note : PIB en volume, prix chaînés, base 2014.</t>
  </si>
  <si>
    <t xml:space="preserve"> de l'économie est donné par la somme des valeurs positives (extraction intérieure + importations).</t>
  </si>
  <si>
    <t xml:space="preserve">Note : les exportations sont indiquées en valeurs négatives, de telle sorte que le besoin apparent en matières </t>
  </si>
  <si>
    <t>* PIB/DMC en volume (prix constants) base 2014</t>
  </si>
  <si>
    <t>Biomasse : produits issus de l'agriculture et de la pêche</t>
  </si>
  <si>
    <t>Minéraux non métalliques et produits à dominante non métallique</t>
  </si>
  <si>
    <t>Total</t>
  </si>
  <si>
    <t>PECO*</t>
  </si>
  <si>
    <t>Graphique 1 : extraction intérieure, importations et exportations de matières de la France par type de matériaux</t>
  </si>
  <si>
    <t>En %</t>
  </si>
  <si>
    <t xml:space="preserve">Graphique 2 : PIB et Consommation intérieure apparente de matières (DMC) </t>
  </si>
  <si>
    <t>Consommation intérieure de matières (DMC, Mt)*</t>
  </si>
  <si>
    <t>Productivité matières (PIB/DMC, en €/kg)**</t>
  </si>
  <si>
    <t>Consommation intérieure de matières par personne (DMC/population, t/habitant)*</t>
  </si>
  <si>
    <t xml:space="preserve">En tonne par habitant </t>
  </si>
  <si>
    <t>Royaume-Uni</t>
  </si>
  <si>
    <t xml:space="preserve">Chili </t>
  </si>
  <si>
    <t xml:space="preserve">Chine </t>
  </si>
  <si>
    <t xml:space="preserve">Japon </t>
  </si>
  <si>
    <t>Inde</t>
  </si>
  <si>
    <t xml:space="preserve">États-Unis </t>
  </si>
  <si>
    <t xml:space="preserve">Australie </t>
  </si>
  <si>
    <t>UE à 19</t>
  </si>
  <si>
    <t>UE à 27</t>
  </si>
  <si>
    <t>*PECO : Pays d’Europe centrale et orientale.</t>
  </si>
  <si>
    <t>Source : Agreste, Douanes françaises, Insee, SDES . Traitements : SDES 2023</t>
  </si>
  <si>
    <t>Productivité matières = PIB/DMC (en €/kg)</t>
  </si>
  <si>
    <r>
      <t xml:space="preserve">Note </t>
    </r>
    <r>
      <rPr>
        <i/>
        <sz val="9"/>
        <color indexed="8"/>
        <rFont val="Arial"/>
        <family val="2"/>
      </rPr>
      <t>: La consommation intérieure apparente de matières (DMC, Domestic Material Consumption) agrège, en tonnes, les combustibles fossiles, les produits minéraux et agricoles, extraits du territoire national (métropole et Dom) ou importés sous forme de matières premières ou de produits finis, moins les exportations. 
N.B. Elle ne prend pas en compte les flux dits « cachés » : ces derniers correspondent d’une part à des quantités de matières extraites qui ne sont pas utilisées (excavation de terres dans les activités extractives ou de construction, érosion des sols liée à l’agriculture). D’autre part, dans le cas des importations/exportations, les flux cachés incluent également des flux indirects associés (utilisation de combustibles ou d’autres produits qui ne franchissent pas la frontière avec les matériaux/produits concernés). L’estimation des flux cachés est réalisée sur la base de coefficients internationaux.</t>
    </r>
  </si>
  <si>
    <r>
      <rPr>
        <b/>
        <i/>
        <sz val="9"/>
        <rFont val="Arial"/>
        <family val="2"/>
      </rPr>
      <t>Sources</t>
    </r>
    <r>
      <rPr>
        <i/>
        <sz val="9"/>
        <rFont val="Arial"/>
        <family val="2"/>
      </rPr>
      <t xml:space="preserve"> : Agreste/SSP ; Douanes françaises ; Insee. Traitements : SDES 2023</t>
    </r>
  </si>
  <si>
    <r>
      <t>Graphique 2 : PIB et consommation intérieure apparente de matières (DMC)</t>
    </r>
    <r>
      <rPr>
        <sz val="14"/>
        <color indexed="9"/>
        <rFont val="Arial"/>
        <family val="2"/>
      </rPr>
      <t xml:space="preserve"> </t>
    </r>
  </si>
  <si>
    <t>Sources : Agreste/SSP ; Douanes françaises ; Insee. Traitements : SDES, 2023</t>
  </si>
  <si>
    <t>Graphique 1 : extraction intérieure, importations et exportations de matières de la France</t>
  </si>
  <si>
    <r>
      <rPr>
        <b/>
        <i/>
        <sz val="10"/>
        <color indexed="56"/>
        <rFont val="Arial"/>
        <family val="2"/>
      </rPr>
      <t>Source</t>
    </r>
    <r>
      <rPr>
        <i/>
        <sz val="10"/>
        <color indexed="56"/>
        <rFont val="Arial"/>
        <family val="2"/>
      </rPr>
      <t xml:space="preserve"> : Agreste - Douanes françaises - Insee. Traitements : SDES, 2023</t>
    </r>
  </si>
  <si>
    <r>
      <t>Sources</t>
    </r>
    <r>
      <rPr>
        <i/>
        <sz val="10"/>
        <color indexed="56"/>
        <rFont val="Calibri"/>
        <family val="2"/>
      </rPr>
      <t> : Agreste ; Douanes françaises ; Insee. Traitements : SDES, 2023</t>
    </r>
  </si>
  <si>
    <t xml:space="preserve">Fiche 18: Consommation de matières et empreinte matières </t>
  </si>
  <si>
    <t>Bilan environnemental</t>
  </si>
  <si>
    <t>Sommaire</t>
  </si>
  <si>
    <t>Donnees</t>
  </si>
  <si>
    <t>Graph 1</t>
  </si>
  <si>
    <t>Graph 2</t>
  </si>
  <si>
    <t>Graph 3</t>
  </si>
  <si>
    <t>Graph 4</t>
  </si>
  <si>
    <t>Graphique 1: extraction, importation et exportation de matière en France.</t>
  </si>
  <si>
    <t>Graphique 2: PIB et consommation de matières.</t>
  </si>
  <si>
    <t xml:space="preserve">Graphique 3: Evolution de la consommation de matière et de la productivité de matière de l'économie française. </t>
  </si>
  <si>
    <t>https://ec.europa.eu/eurostat/databrowser/view/ENV_AC_MFA__custom_7190444/default/table?lang=fr</t>
  </si>
  <si>
    <t>TIME</t>
  </si>
  <si>
    <t>1990</t>
  </si>
  <si>
    <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</si>
  <si>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</si>
  <si>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</si>
  <si>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</si>
  <si>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</si>
  <si>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</si>
  <si>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</si>
  <si>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</si>
  <si>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</si>
  <si>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</si>
  <si>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</si>
  <si>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</si>
  <si>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</si>
  <si>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</si>
  <si>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</si>
  <si>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</si>
  <si>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</si>
  <si>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</si>
  <si>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</si>
  <si>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</si>
  <si>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</si>
  <si>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</si>
  <si>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</si>
  <si>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</si>
  <si>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</si>
  <si>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</si>
  <si>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</si>
  <si>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</si>
  <si>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</si>
  <si>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</si>
  <si>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</si>
  <si>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</si>
  <si>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</si>
  <si>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INDIC_ENV (Libellés)</t>
  </si>
  <si>
    <t>MATERIAL (Libellés)</t>
  </si>
  <si>
    <t>Extraction intérieure</t>
  </si>
  <si>
    <t>s</t>
  </si>
  <si>
    <t>Cultures (à l'exclusion des cultures fourragères)</t>
  </si>
  <si>
    <t>:</t>
  </si>
  <si>
    <t>Céréales</t>
  </si>
  <si>
    <t>p</t>
  </si>
  <si>
    <t>Racines, tubercules</t>
  </si>
  <si>
    <t>Cultures sucrières</t>
  </si>
  <si>
    <t>Légumineuses</t>
  </si>
  <si>
    <t>Noix</t>
  </si>
  <si>
    <t>Cultures oléagineuses</t>
  </si>
  <si>
    <t>Légumes</t>
  </si>
  <si>
    <t>Fruits</t>
  </si>
  <si>
    <t>Fibres</t>
  </si>
  <si>
    <t>Autres cultures (à l'exclusion des cultures fourragères) n.c.a.</t>
  </si>
  <si>
    <t>b</t>
  </si>
  <si>
    <t>Résidus de cultures (utilisés), cultures fourragères et biomasse pâturée</t>
  </si>
  <si>
    <t>Résidus de cultures (utilisés)</t>
  </si>
  <si>
    <t>Paille</t>
  </si>
  <si>
    <t>Autres résidus de cultures (feuilles de betterave à sucre et de betterave fourragère, etc.)</t>
  </si>
  <si>
    <t>Cultures fourragères et biomasse pâturée</t>
  </si>
  <si>
    <t>Cultures fourragères (y compris récolte de biomasse à partir d'herbages)</t>
  </si>
  <si>
    <t>Biomasse pâturée</t>
  </si>
  <si>
    <t>Bois</t>
  </si>
  <si>
    <t>Bois (ronds industriels)</t>
  </si>
  <si>
    <t>Bois de chauffage et autre extraction</t>
  </si>
  <si>
    <t>Captures de poisson sauvage, animaux/plantes aquatiques, chasse et cueillette</t>
  </si>
  <si>
    <t>Captures de poisson sauvage</t>
  </si>
  <si>
    <t>Autres animaux/plantes aquatiques</t>
  </si>
  <si>
    <t>Chasse et cueillette</t>
  </si>
  <si>
    <t>e</t>
  </si>
  <si>
    <t>ep</t>
  </si>
  <si>
    <t>Animaux vivants et produits animaux (autres que poisson sauvage, animaux/plantes aquatiques, chasse et cueillette)</t>
  </si>
  <si>
    <t>z</t>
  </si>
  <si>
    <t>Animaux vivants (autres que poisson sauvage, animaux/plantes aquatiques, chasse et cueillette)</t>
  </si>
  <si>
    <t>Viandes et préparations de viande</t>
  </si>
  <si>
    <t>Produits laitiers, oeufs d'oiseaux et miel</t>
  </si>
  <si>
    <t>Autres produits d'animaux (fibres animales, peaux, fourrures, cuir, etc.)</t>
  </si>
  <si>
    <t>Produits essentiellement à base de biomasse</t>
  </si>
  <si>
    <t>Minerais métalliques (minerais bruts)</t>
  </si>
  <si>
    <t>Fer</t>
  </si>
  <si>
    <t>Métaux non ferreux</t>
  </si>
  <si>
    <t>Cuivre</t>
  </si>
  <si>
    <t>Nickel</t>
  </si>
  <si>
    <t>Plomb</t>
  </si>
  <si>
    <t>Zinc</t>
  </si>
  <si>
    <t>Étain</t>
  </si>
  <si>
    <t>Or, argent, platine et autres métaux précieux</t>
  </si>
  <si>
    <t>c</t>
  </si>
  <si>
    <t>Bauxite et autre aluminium</t>
  </si>
  <si>
    <t>Uranium et thorium</t>
  </si>
  <si>
    <t>Autres métaux non ferreux</t>
  </si>
  <si>
    <t>Produits principalement à base de métaux</t>
  </si>
  <si>
    <t>Minerais non métalliques</t>
  </si>
  <si>
    <t>Marbre, granit, grès, porphyre, basalte, autres pierres ornementales ou de construction (sauf ardoise)</t>
  </si>
  <si>
    <t>Craie et dolomie</t>
  </si>
  <si>
    <t>Ardoise</t>
  </si>
  <si>
    <t>Minéraux pour l'industrie chimique et engrais naturels</t>
  </si>
  <si>
    <t>Sel</t>
  </si>
  <si>
    <t>Pierre calcaire et gypse</t>
  </si>
  <si>
    <t>Argiles et kaolin</t>
  </si>
  <si>
    <t>Sable et gravier</t>
  </si>
  <si>
    <t>Autres minerais non métalliques n.c.a.</t>
  </si>
  <si>
    <t>Produits principalement à base de minerais non métalliques</t>
  </si>
  <si>
    <t>Matières/vecteurs énergétiques fossiles</t>
  </si>
  <si>
    <t>Charbon et autres matières énergétiques solides et produits dérivés</t>
  </si>
  <si>
    <t>Lignite</t>
  </si>
  <si>
    <t>Houille</t>
  </si>
  <si>
    <t>Schistes et sables bitumineux</t>
  </si>
  <si>
    <t>Tourbe</t>
  </si>
  <si>
    <t>Matières/vecteurs énergétiques liquides et gazeux</t>
  </si>
  <si>
    <t>Pétrole brut, condensat et liquides de gaz naturel (LGN)</t>
  </si>
  <si>
    <t>Gaz naturel</t>
  </si>
  <si>
    <t>Carburant importé par des unités résidentes en déplacement à l'étranger ou exporté par des unités non résidentes présentes sur le territoire économique</t>
  </si>
  <si>
    <t>Carburant pour transport terrestre</t>
  </si>
  <si>
    <t>Carburant pour transport par eau</t>
  </si>
  <si>
    <t>Carburant pour transport aérien</t>
  </si>
  <si>
    <t>Produits essentiellement à base de produits énergétiques fossiles</t>
  </si>
  <si>
    <t>Déchets pour traitement et élimination définitifs</t>
  </si>
  <si>
    <t>Degré de finition - Produits finis</t>
  </si>
  <si>
    <t>Degré de finition - Produits semi-finis</t>
  </si>
  <si>
    <t>Degré de finition - Matières premières</t>
  </si>
  <si>
    <t>Importations</t>
  </si>
  <si>
    <t>Exportations</t>
  </si>
  <si>
    <t>Valeur spéciale</t>
  </si>
  <si>
    <t>Non disponible</t>
  </si>
  <si>
    <t>Flags disponibles:</t>
  </si>
  <si>
    <t>estimé, provisoire</t>
  </si>
  <si>
    <t>rupture de série</t>
  </si>
  <si>
    <t>confidentiel</t>
  </si>
  <si>
    <t>estimé</t>
  </si>
  <si>
    <t>provisoire</t>
  </si>
  <si>
    <t>estimation Eurostat</t>
  </si>
  <si>
    <t>non applicable</t>
  </si>
  <si>
    <t>Données extraites le18/08/2023 10:26:03 depuis [ESTAT]</t>
  </si>
  <si>
    <t xml:space="preserve">Dataset: </t>
  </si>
  <si>
    <t>Comptes de flux de matières [ENV_AC_MFA__custom_7190444]</t>
  </si>
  <si>
    <t>Dernière mise à jour:</t>
  </si>
  <si>
    <t>17/07/2023 11:00</t>
  </si>
  <si>
    <t>Fréquence (relative au temps)</t>
  </si>
  <si>
    <t>Annuel</t>
  </si>
  <si>
    <t>Unité de mesure</t>
  </si>
  <si>
    <t>Mille tonnes</t>
  </si>
  <si>
    <t>Entité géopolitique (déclarante)</t>
  </si>
  <si>
    <t>Année</t>
  </si>
  <si>
    <t>France1</t>
  </si>
  <si>
    <t>France métropolitaine</t>
  </si>
  <si>
    <t>65 834 837</t>
  </si>
  <si>
    <t>65 646 837</t>
  </si>
  <si>
    <t>65 450 219</t>
  </si>
  <si>
    <t>65 269 154</t>
  </si>
  <si>
    <t>65 096 768</t>
  </si>
  <si>
    <t>64 844 037</t>
  </si>
  <si>
    <t>64 639 133</t>
  </si>
  <si>
    <t>64 468 792</t>
  </si>
  <si>
    <t>64 300 821</t>
  </si>
  <si>
    <t>64 027 958</t>
  </si>
  <si>
    <t>63 697 865</t>
  </si>
  <si>
    <t>63 375 971</t>
  </si>
  <si>
    <t>63 070 344</t>
  </si>
  <si>
    <t>62 765 235</t>
  </si>
  <si>
    <t>62 465 709</t>
  </si>
  <si>
    <t>62 134 866</t>
  </si>
  <si>
    <t>61 795 238</t>
  </si>
  <si>
    <t>61 399 733</t>
  </si>
  <si>
    <t>60 963 264</t>
  </si>
  <si>
    <t>60 505 421</t>
  </si>
  <si>
    <t>60 101 841</t>
  </si>
  <si>
    <t>59 685 899</t>
  </si>
  <si>
    <t>59 266 572</t>
  </si>
  <si>
    <t>58 858 198</t>
  </si>
  <si>
    <t>58 496 613</t>
  </si>
  <si>
    <t>58 298 962</t>
  </si>
  <si>
    <t>58 116 018</t>
  </si>
  <si>
    <t>57 935 959</t>
  </si>
  <si>
    <t>57 752 535</t>
  </si>
  <si>
    <t>57 565 008</t>
  </si>
  <si>
    <t>57 369 161</t>
  </si>
  <si>
    <t>57 110 533</t>
  </si>
  <si>
    <t>56 840 661</t>
  </si>
  <si>
    <t>p : données provisoires arrêtées à fin novembre 2022.</t>
  </si>
  <si>
    <t>1. France hors Mayotte jusqu'en 2013 et y compris Mayotte à partir de 2014.</t>
  </si>
  <si>
    <t>Lecture : au 1er janvier 2023, la France compte 68 042 591 habitants.</t>
  </si>
  <si>
    <t>Champ : France.</t>
  </si>
  <si>
    <t>Source : Insee, estimations de population.</t>
  </si>
  <si>
    <t>https://www.insee.fr/fr/statistiques/5225246#tableau-figure1</t>
  </si>
  <si>
    <t>(p)</t>
  </si>
  <si>
    <t>Ensemble des données EUROSTAT à compléter et mettre à jour</t>
  </si>
  <si>
    <t>Ensemble des données INSEE à compléter et mettre à jour</t>
  </si>
  <si>
    <t>Données extraites le 18/08/2023 10:26:03 depuis le site de l'INSEE</t>
  </si>
  <si>
    <t>Population au 1er janvier</t>
  </si>
  <si>
    <t>nombre d'habitants</t>
  </si>
  <si>
    <t>https://www.insee.fr/fr/statistiques/serie/010548499#Telechargement</t>
  </si>
  <si>
    <t>Valeur absolue</t>
  </si>
  <si>
    <t>idBank</t>
  </si>
  <si>
    <t>Dernière mise à jour</t>
  </si>
  <si>
    <t>Zone géographique</t>
  </si>
  <si>
    <t>Nature</t>
  </si>
  <si>
    <t>Prix de référence</t>
  </si>
  <si>
    <t>Produit</t>
  </si>
  <si>
    <t>Correction</t>
  </si>
  <si>
    <t>Opérations dans la comptabilité nationale</t>
  </si>
  <si>
    <t>Unité</t>
  </si>
  <si>
    <t>Puissance</t>
  </si>
  <si>
    <t>Indicateur</t>
  </si>
  <si>
    <t>Secteurs institutionnels</t>
  </si>
  <si>
    <t>Périodicité</t>
  </si>
  <si>
    <t>010548499</t>
  </si>
  <si>
    <t>31/05/2023 08:57</t>
  </si>
  <si>
    <t>Prix chaîné année de base (non équilibré)</t>
  </si>
  <si>
    <t>Ensemble des produits</t>
  </si>
  <si>
    <t>Non corrigé</t>
  </si>
  <si>
    <t>PIB - Produit intérieur brut</t>
  </si>
  <si>
    <t>euros de 2014</t>
  </si>
  <si>
    <t>6</t>
  </si>
  <si>
    <t>S0 - Ensemble des secteurs institutionnels</t>
  </si>
  <si>
    <t>Annuelle</t>
  </si>
  <si>
    <t xml:space="preserve">Année </t>
  </si>
  <si>
    <t>Q</t>
  </si>
  <si>
    <t>Couvert par le secret statistique</t>
  </si>
  <si>
    <t>E</t>
  </si>
  <si>
    <t>Estimation</t>
  </si>
  <si>
    <t>F</t>
  </si>
  <si>
    <t>Prévision</t>
  </si>
  <si>
    <t>P</t>
  </si>
  <si>
    <t>Provisoire</t>
  </si>
  <si>
    <t>SD</t>
  </si>
  <si>
    <t>Valeur semi-définitive</t>
  </si>
  <si>
    <t>R</t>
  </si>
  <si>
    <t>Révision</t>
  </si>
  <si>
    <t>A</t>
  </si>
  <si>
    <t>Valeur normale</t>
  </si>
  <si>
    <t>N</t>
  </si>
  <si>
    <t>Valeur non significative</t>
  </si>
  <si>
    <t>O</t>
  </si>
  <si>
    <t>Valeur manquante</t>
  </si>
  <si>
    <t>U</t>
  </si>
  <si>
    <t>Valeur atypique</t>
  </si>
  <si>
    <t>tableau automatisé</t>
  </si>
  <si>
    <t>Estimation Eurostat</t>
  </si>
  <si>
    <r>
      <t>Sources</t>
    </r>
    <r>
      <rPr>
        <i/>
        <sz val="8"/>
        <color indexed="56"/>
        <rFont val="Arial"/>
        <family val="2"/>
      </rPr>
      <t xml:space="preserve"> : Agreste ; douanes françaises ; Insee ; SDES ; SSP ; Unicem. Traitements : SDES, 2023</t>
    </r>
  </si>
  <si>
    <r>
      <t xml:space="preserve">Note </t>
    </r>
    <r>
      <rPr>
        <i/>
        <sz val="8"/>
        <color indexed="56"/>
        <rFont val="Arial"/>
        <family val="2"/>
      </rPr>
      <t>: La consommation intérieure apparente de matières agrège, en tonnes, les combustibles fossiles, les produits minéraux et agricoles, extraits du territoire national (métropole et Dom) ou importés sous forme de matières premières ou de produits finis, moins les exportations. 
N.B. Elle ne prend pas en compte les flux dits « cachés » : ces derniers correspondent d’une part à des quantités de matières extraites qui ne sont pas utilisées (excavation de terres dans les activités extractives ou de construction, érosion des sols liée à l’agriculture). D’autre part, dans le cas des importations/exportations, les flux cachés incluent également des flux indirects associés (utilisation de combustibles ou d’autres produits qui ne franchissent pas la frontière avec les matériaux/produits concernés). L’estimation des flux cachés est réalisée sur la base de coefficients internationaux ; le SDES a engagé des travaux pour affiner ces coefficients et les adapter au cas de la France.</t>
    </r>
  </si>
  <si>
    <r>
      <t>Sources</t>
    </r>
    <r>
      <rPr>
        <i/>
        <sz val="8"/>
        <color indexed="56"/>
        <rFont val="Arial"/>
        <family val="2"/>
      </rPr>
      <t xml:space="preserve"> : Agreste/SSP ; douanes françaises ; Insee. Traitements : SDES, 2023</t>
    </r>
  </si>
  <si>
    <t>* la consommation intérieure apparente de matières agrège, en tonnes, les combustibles fossiles, les produits minéraux et agricoles extraits du territoire national (métropole et DOM) ou importés sous forme de matières premières ou de produits finis, moins les exportations ; ** en volume, prix chaînés base 2014.</t>
  </si>
  <si>
    <r>
      <t>Sources</t>
    </r>
    <r>
      <rPr>
        <sz val="9"/>
        <color indexed="56"/>
        <rFont val="Arial"/>
        <family val="2"/>
      </rPr>
      <t xml:space="preserve"> : Agreste/SSP ; douanes françaises ; Insee. Traitements : SDES, 2023</t>
    </r>
  </si>
  <si>
    <t>Graphique 3 : Evolution de la consommation et de la productivité matières de l’économie française</t>
  </si>
  <si>
    <t>Sources : OCDE ; SDES, 2023</t>
  </si>
  <si>
    <t>Graphique 4 :  comparaison internationale de la consommation de matières par habitant en 2020</t>
  </si>
  <si>
    <r>
      <t>Sources :</t>
    </r>
    <r>
      <rPr>
        <i/>
        <sz val="9"/>
        <color indexed="56"/>
        <rFont val="Arial"/>
        <family val="2"/>
      </rPr>
      <t xml:space="preserve"> OCDE ; SDES, 2023</t>
    </r>
  </si>
  <si>
    <t xml:space="preserve">Ensemble des données à compléter et mettre à jour. Le reste des feuilles excel seont automatisées. </t>
  </si>
  <si>
    <t xml:space="preserve">Graphique 4: Comparaison internationale de la consommation de matières. Pas de mis-à-jour ou automatisation pour l'instant. </t>
  </si>
  <si>
    <t>Italie</t>
  </si>
  <si>
    <t>Pays-Bas</t>
  </si>
  <si>
    <t>Australie</t>
  </si>
  <si>
    <t>Japon</t>
  </si>
  <si>
    <t>Données extraites le16/08/2023 17:50:25 depuis [ESTAT]</t>
  </si>
  <si>
    <t>Empreinte matières - indicateurs principaux [ENV_AC_RME__custom_7176053]</t>
  </si>
  <si>
    <t>UNIT (Libellés)</t>
  </si>
  <si>
    <t>Tonnes par personne</t>
  </si>
  <si>
    <t>Importations en équivalent matières premières</t>
  </si>
  <si>
    <t>Exportations en équivalent matières premières</t>
  </si>
  <si>
    <t>Consommation de matières premières</t>
  </si>
  <si>
    <t xml:space="preserve">Empreinte matières de la France </t>
  </si>
  <si>
    <t>https://ec.europa.eu/eurostat/databrowser/view/ENV_AC_RME/default/table?lang=en</t>
  </si>
  <si>
    <t>Désolé, la requête est trop grande pour la cellule Excel. Vous ne pourrez pas mettre à jour votre table avec .Stat Populator.</t>
  </si>
  <si>
    <t>Ensemble de données : Ressources matérielles</t>
  </si>
  <si>
    <t>Variable</t>
  </si>
  <si>
    <t>Consommation intérieure de matières</t>
  </si>
  <si>
    <t>Groupe</t>
  </si>
  <si>
    <t>1970</t>
  </si>
  <si>
    <t>1980</t>
  </si>
  <si>
    <t>..</t>
  </si>
  <si>
    <t>Autriche</t>
  </si>
  <si>
    <t>(B)</t>
  </si>
  <si>
    <t>(E)</t>
  </si>
  <si>
    <t>Belgique</t>
  </si>
  <si>
    <t>Canada</t>
  </si>
  <si>
    <t>Chili</t>
  </si>
  <si>
    <t>Colombie</t>
  </si>
  <si>
    <t>Costa Rica</t>
  </si>
  <si>
    <t>République tchèque</t>
  </si>
  <si>
    <t>Danemark</t>
  </si>
  <si>
    <t>Estonie</t>
  </si>
  <si>
    <t>Grèce</t>
  </si>
  <si>
    <t>Hongrie</t>
  </si>
  <si>
    <t>Islande</t>
  </si>
  <si>
    <t>Irlande</t>
  </si>
  <si>
    <t>Israël</t>
  </si>
  <si>
    <t>Corée</t>
  </si>
  <si>
    <t>Lettonie</t>
  </si>
  <si>
    <t>Lituanie</t>
  </si>
  <si>
    <t>Luxembourg</t>
  </si>
  <si>
    <t>Mexique</t>
  </si>
  <si>
    <t>Nouvelle-Zélande</t>
  </si>
  <si>
    <t>Norvège</t>
  </si>
  <si>
    <t>Pologne</t>
  </si>
  <si>
    <t>Portugal</t>
  </si>
  <si>
    <t>République slovaque</t>
  </si>
  <si>
    <t>Slovénie</t>
  </si>
  <si>
    <t>Suède</t>
  </si>
  <si>
    <t>Suisse</t>
  </si>
  <si>
    <t>Türkiye</t>
  </si>
  <si>
    <t>États-Unis</t>
  </si>
  <si>
    <t>Zone euro (19 pays)</t>
  </si>
  <si>
    <t>Union européenne – 27 pays (à partir du 01/02/2020)</t>
  </si>
  <si>
    <t>OCDE - Europe</t>
  </si>
  <si>
    <t>OCDE - Total</t>
  </si>
  <si>
    <t>Afghanistan</t>
  </si>
  <si>
    <t>Albanie</t>
  </si>
  <si>
    <t>Algérie</t>
  </si>
  <si>
    <t>Andorre</t>
  </si>
  <si>
    <t>Angola</t>
  </si>
  <si>
    <t>Anguilla</t>
  </si>
  <si>
    <t>Antigua-et-Barbuda</t>
  </si>
  <si>
    <t>Argentine</t>
  </si>
  <si>
    <t>Arménie</t>
  </si>
  <si>
    <t>Aruba</t>
  </si>
  <si>
    <t>Azerbaïdjan</t>
  </si>
  <si>
    <t>Bahamas</t>
  </si>
  <si>
    <t>Bahreïn</t>
  </si>
  <si>
    <t>Bangladesh</t>
  </si>
  <si>
    <t>Barbade</t>
  </si>
  <si>
    <t>Bélarus</t>
  </si>
  <si>
    <t>Belize</t>
  </si>
  <si>
    <t>Bénin</t>
  </si>
  <si>
    <t>Bermudes</t>
  </si>
  <si>
    <t>Bhoutan</t>
  </si>
  <si>
    <t>Bolivie</t>
  </si>
  <si>
    <t>Bosnie-Herzégovine</t>
  </si>
  <si>
    <t>Botswana</t>
  </si>
  <si>
    <t>Brésil</t>
  </si>
  <si>
    <t>Îles Vierges britanniques</t>
  </si>
  <si>
    <t>Brunéi Darussalam</t>
  </si>
  <si>
    <t>Bulgarie</t>
  </si>
  <si>
    <t>Burkina Faso</t>
  </si>
  <si>
    <t>Burundi</t>
  </si>
  <si>
    <t>Cambodge</t>
  </si>
  <si>
    <t>Cameroun</t>
  </si>
  <si>
    <t>Cabo Verde</t>
  </si>
  <si>
    <t>Îles Caïmanes</t>
  </si>
  <si>
    <t>République centrafricaine</t>
  </si>
  <si>
    <t>Tchad</t>
  </si>
  <si>
    <t>Chine (République populaire de)</t>
  </si>
  <si>
    <t>Comores</t>
  </si>
  <si>
    <t>Congo</t>
  </si>
  <si>
    <t>République démocratique du Congo</t>
  </si>
  <si>
    <t>Îles Cook</t>
  </si>
  <si>
    <t>Côte d'Ivoire</t>
  </si>
  <si>
    <t>Croatie</t>
  </si>
  <si>
    <t>Cuba</t>
  </si>
  <si>
    <t>Chypre</t>
  </si>
  <si>
    <t>Curaçao</t>
  </si>
  <si>
    <t>Djibouti</t>
  </si>
  <si>
    <t>Dominique</t>
  </si>
  <si>
    <t>République dominicaine</t>
  </si>
  <si>
    <t>Équateur</t>
  </si>
  <si>
    <t>Égypte</t>
  </si>
  <si>
    <t>El Salvador</t>
  </si>
  <si>
    <t>Guinée équatoriale</t>
  </si>
  <si>
    <t>Érythrée</t>
  </si>
  <si>
    <t>Éthiopie</t>
  </si>
  <si>
    <t>Fidji</t>
  </si>
  <si>
    <t>Polynésie française</t>
  </si>
  <si>
    <t>Gabon</t>
  </si>
  <si>
    <t>Gambie</t>
  </si>
  <si>
    <t>Géorgie</t>
  </si>
  <si>
    <t>Ghana</t>
  </si>
  <si>
    <t>Groenland</t>
  </si>
  <si>
    <t>Grenade</t>
  </si>
  <si>
    <t>Guatemala</t>
  </si>
  <si>
    <t>Guinée</t>
  </si>
  <si>
    <t>Guinée-Bissau</t>
  </si>
  <si>
    <t>Guyana</t>
  </si>
  <si>
    <t>Haïti</t>
  </si>
  <si>
    <t>Honduras</t>
  </si>
  <si>
    <t>Hong Kong, Chine</t>
  </si>
  <si>
    <t>Indonésie</t>
  </si>
  <si>
    <t>Iran</t>
  </si>
  <si>
    <t>Iraq</t>
  </si>
  <si>
    <t>Jamaïque</t>
  </si>
  <si>
    <t>Jordanie</t>
  </si>
  <si>
    <t>Kazakhstan</t>
  </si>
  <si>
    <t>Kenya</t>
  </si>
  <si>
    <t>République populaire démocratique de Corée</t>
  </si>
  <si>
    <t>Kiribati</t>
  </si>
  <si>
    <t>Koweït</t>
  </si>
  <si>
    <t>Kirghizistan</t>
  </si>
  <si>
    <t>République démocratique populaire lao</t>
  </si>
  <si>
    <t>Liban</t>
  </si>
  <si>
    <t>Lesotho</t>
  </si>
  <si>
    <t>Libéria</t>
  </si>
  <si>
    <t>Libye</t>
  </si>
  <si>
    <t>Liechtenstein</t>
  </si>
  <si>
    <t>Macao, Chine</t>
  </si>
  <si>
    <t>Madagascar</t>
  </si>
  <si>
    <t>Malawi</t>
  </si>
  <si>
    <t>Malaisie</t>
  </si>
  <si>
    <t>Maldives</t>
  </si>
  <si>
    <t>Mali</t>
  </si>
  <si>
    <t>Malte</t>
  </si>
  <si>
    <t>Îles Marshall</t>
  </si>
  <si>
    <t>Mauritanie</t>
  </si>
  <si>
    <t>Maurice</t>
  </si>
  <si>
    <t>MicronTsie</t>
  </si>
  <si>
    <t>Moldova</t>
  </si>
  <si>
    <t>Monaco</t>
  </si>
  <si>
    <t>Mongolie</t>
  </si>
  <si>
    <t>Montserrat</t>
  </si>
  <si>
    <t>Maroc</t>
  </si>
  <si>
    <t>Mozambique</t>
  </si>
  <si>
    <t>Myanmar</t>
  </si>
  <si>
    <t>Namibie</t>
  </si>
  <si>
    <t>Nauru</t>
  </si>
  <si>
    <t>Népal</t>
  </si>
  <si>
    <t>Antilles néerlandaises</t>
  </si>
  <si>
    <t>Nouvelle-Calédonie</t>
  </si>
  <si>
    <t>Nicaragua</t>
  </si>
  <si>
    <t>Niger</t>
  </si>
  <si>
    <t>Macédoine du Nord</t>
  </si>
  <si>
    <t>Nigéria</t>
  </si>
  <si>
    <t>Oman</t>
  </si>
  <si>
    <t>Pakistan</t>
  </si>
  <si>
    <t>Palaos</t>
  </si>
  <si>
    <t>Panama</t>
  </si>
  <si>
    <t>Papouasie-Nouvelle-Guinée</t>
  </si>
  <si>
    <t>Paraguay</t>
  </si>
  <si>
    <t>Pérou</t>
  </si>
  <si>
    <t>Philippines</t>
  </si>
  <si>
    <t>Porto Rico</t>
  </si>
  <si>
    <t>Qatar</t>
  </si>
  <si>
    <t>Roumanie</t>
  </si>
  <si>
    <t>Rwanda</t>
  </si>
  <si>
    <t>Saint-Kitts-et-Nevis</t>
  </si>
  <si>
    <t>Sainte-Lucie</t>
  </si>
  <si>
    <t>Saint-Vincent-et-les Grenadines</t>
  </si>
  <si>
    <t>Samoa</t>
  </si>
  <si>
    <t>Saint-Marin</t>
  </si>
  <si>
    <t>Sao Tomé-et-Principe</t>
  </si>
  <si>
    <t>Arabie saoudite</t>
  </si>
  <si>
    <t>Sénégal</t>
  </si>
  <si>
    <t>Serbie</t>
  </si>
  <si>
    <t>Seychelles</t>
  </si>
  <si>
    <t>Sierra Leone</t>
  </si>
  <si>
    <t>Singapour</t>
  </si>
  <si>
    <t>Îles Salomon</t>
  </si>
  <si>
    <t>Somalie</t>
  </si>
  <si>
    <t>Afrique du Sud</t>
  </si>
  <si>
    <t>Sri Lanka</t>
  </si>
  <si>
    <t>Soudan</t>
  </si>
  <si>
    <t>Suriname</t>
  </si>
  <si>
    <t>Soudan du Sud</t>
  </si>
  <si>
    <t>Eswatini</t>
  </si>
  <si>
    <t>République arabe syrienne</t>
  </si>
  <si>
    <t>Taipei chinois</t>
  </si>
  <si>
    <t>Tadjikistan</t>
  </si>
  <si>
    <t>Tanzanie</t>
  </si>
  <si>
    <t>Thaïlande</t>
  </si>
  <si>
    <t>Timor-Leste</t>
  </si>
  <si>
    <t>Togo</t>
  </si>
  <si>
    <t>Tonga</t>
  </si>
  <si>
    <t>Trinité-et-Tobago</t>
  </si>
  <si>
    <t>Tunisie</t>
  </si>
  <si>
    <t>Turkménistan</t>
  </si>
  <si>
    <t>Îles Turques et Caïques</t>
  </si>
  <si>
    <t>Tuvalu</t>
  </si>
  <si>
    <t>Ouganda</t>
  </si>
  <si>
    <t>Ukraine</t>
  </si>
  <si>
    <t>Émirats arabes unis</t>
  </si>
  <si>
    <t>Uruguay</t>
  </si>
  <si>
    <t>Ouzbékistan</t>
  </si>
  <si>
    <t>Vanuatu</t>
  </si>
  <si>
    <t>Venezuela</t>
  </si>
  <si>
    <t>Viet Nam</t>
  </si>
  <si>
    <t>Yémen</t>
  </si>
  <si>
    <t>Zambie</t>
  </si>
  <si>
    <t>Zimbabwe</t>
  </si>
  <si>
    <t>OCDE Amériques</t>
  </si>
  <si>
    <t>OCDE Asie Océanie</t>
  </si>
  <si>
    <t>Données extraites le 21 Aug 2023 15:38 UTC (GMT), de OECD.Stat</t>
  </si>
  <si>
    <t>Légende:</t>
  </si>
  <si>
    <t>B:</t>
  </si>
  <si>
    <t>Rupture</t>
  </si>
  <si>
    <t>E:</t>
  </si>
  <si>
    <t>Valeur estimée</t>
  </si>
  <si>
    <t>https://stats.oecd.org/</t>
  </si>
  <si>
    <t xml:space="preserve">Consommation intérieure de matières </t>
  </si>
  <si>
    <t>Autres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</si>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</sst>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43" formatCode="_-* #,##0.00_-;\-* #,##0.00_-;_-* &quot;-&quot;??_-;_-@_-"/>
    <numFmt numFmtId="164" formatCode="_-* #,##0.00\ _€_-;\-* #,##0.00\ _€_-;_-* &quot;-&quot;??\ _€_-;_-@_-"/>
    <numFmt numFmtId="165" formatCode="0.0"/>
    <numFmt numFmtId="166" formatCode="_-* #,##0_-;\-* #,##0_-;_-* &quot;-&quot;??_-;_-@_-"/>
    <numFmt numFmtId="167" formatCode="#,##0.##########"/>
    <numFmt numFmtId="168" formatCode="0000000\ &quot;(A)&quot;"/>
    <numFmt numFmtId="169" formatCode="0000000\ &quot;(SD)&quot;"/>
    <numFmt numFmtId="170" formatCode="0000000\ &quot;(P)&quot;"/>
    <numFmt numFmtId="171" formatCode="0.00000"/>
    <numFmt numFmtId="172" formatCode="_-* #,##0.0_-;\-* #,##0.0_-;_-* &quot;-&quot;??_-;_-@_-"/>
  </numFmts>
  <fonts count="93" x14ac:knownFonts="1">
    <font>
      <sz val="11"/>
      <color theme="1"/>
      <name val="Calibri"/>
      <family val="2"/>
      <scheme val="minor"/>
    </font>
    <font>
      <sz val="10"/>
      <name val="Arial"/>
      <family val="2"/>
    </font>
    <font>
      <b/>
      <sz val="12"/>
      <name val="Arial"/>
      <family val="2"/>
    </font>
    <font>
      <b/>
      <sz val="10"/>
      <name val="Arial"/>
      <family val="2"/>
    </font>
    <font>
      <sz val="8"/>
      <name val="Arial"/>
      <family val="2"/>
    </font>
    <font>
      <sz val="12"/>
      <name val="Arial"/>
      <family val="2"/>
    </font>
    <font>
      <sz val="11"/>
      <name val="Arial"/>
      <family val="2"/>
    </font>
    <font>
      <b/>
      <sz val="18"/>
      <color indexed="56"/>
      <name val="Cambria"/>
      <family val="2"/>
    </font>
    <font>
      <sz val="10"/>
      <name val="MS Sans Serif"/>
      <family val="2"/>
    </font>
    <font>
      <sz val="10"/>
      <color indexed="8"/>
      <name val="Arial"/>
      <family val="2"/>
    </font>
    <font>
      <sz val="9"/>
      <name val="Arial"/>
      <family val="2"/>
    </font>
    <font>
      <b/>
      <sz val="9"/>
      <name val="Arial"/>
      <family val="2"/>
    </font>
    <font>
      <i/>
      <sz val="9"/>
      <name val="Arial"/>
      <family val="2"/>
    </font>
    <font>
      <sz val="11"/>
      <name val="Arial"/>
      <family val="2"/>
    </font>
    <font>
      <u/>
      <sz val="10"/>
      <color indexed="12"/>
      <name val="Arial"/>
      <family val="2"/>
    </font>
    <font>
      <sz val="10"/>
      <name val="Arial"/>
      <family val="2"/>
    </font>
    <font>
      <i/>
      <sz val="9"/>
      <color indexed="8"/>
      <name val="Arial"/>
      <family val="2"/>
    </font>
    <font>
      <b/>
      <i/>
      <sz val="9"/>
      <name val="Arial"/>
      <family val="2"/>
    </font>
    <font>
      <sz val="14"/>
      <color indexed="9"/>
      <name val="Arial"/>
      <family val="2"/>
    </font>
    <font>
      <i/>
      <sz val="9"/>
      <color indexed="56"/>
      <name val="Arial"/>
      <family val="2"/>
    </font>
    <font>
      <i/>
      <sz val="10"/>
      <color indexed="56"/>
      <name val="Arial"/>
      <family val="2"/>
    </font>
    <font>
      <b/>
      <i/>
      <sz val="10"/>
      <color indexed="56"/>
      <name val="Arial"/>
      <family val="2"/>
    </font>
    <font>
      <i/>
      <sz val="10"/>
      <color indexed="56"/>
      <name val="Calibri"/>
      <family val="2"/>
    </font>
    <font>
      <b/>
      <sz val="9"/>
      <color indexed="9"/>
      <name val="Arial"/>
      <family val="2"/>
    </font>
    <font>
      <i/>
      <sz val="8"/>
      <name val="Arial"/>
      <family val="2"/>
    </font>
    <font>
      <i/>
      <sz val="8"/>
      <color indexed="56"/>
      <name val="Arial"/>
      <family val="2"/>
    </font>
    <font>
      <sz val="9"/>
      <color indexed="56"/>
      <name val="Arial"/>
      <family val="2"/>
    </font>
    <font>
      <sz val="9"/>
      <name val="Arial"/>
      <family val="2"/>
    </font>
    <font>
      <b/>
      <sz val="9"/>
      <name val="Arial"/>
      <family val="2"/>
    </font>
    <font>
      <b/>
      <sz val="9"/>
      <color indexed="9"/>
      <name val="Arial"/>
      <family val="2"/>
    </font>
    <font>
      <b/>
      <u/>
      <sz val="9"/>
      <color indexed="18"/>
      <name val="Verdana"/>
      <family val="2"/>
    </font>
    <font>
      <b/>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vertAlign val="superscript"/>
      <sz val="10"/>
      <name val="Verdana"/>
      <family val="2"/>
    </font>
    <font>
      <u/>
      <sz val="8"/>
      <name val="Verdana"/>
      <family val="2"/>
    </font>
    <font>
      <sz val="9"/>
      <color indexed="81"/>
      <name val="Tahoma"/>
      <family val="2"/>
    </font>
    <font>
      <b/>
      <vertAlign val="superscript"/>
      <sz val="10"/>
      <name val="Verdana"/>
      <family val="2"/>
    </font>
    <font>
      <b/>
      <sz val="8"/>
      <name val="Arial"/>
      <family val="2"/>
    </font>
    <font>
      <b/>
      <u/>
      <sz val="8"/>
      <name val="Verdana"/>
      <family val="2"/>
    </font>
    <font>
      <sz val="11"/>
      <color theme="1"/>
      <name val="Calibri"/>
      <family val="2"/>
      <scheme val="minor"/>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indexed="8"/>
      <name val="Calibri"/>
      <family val="2"/>
      <scheme val="minor"/>
    </font>
    <font>
      <u/>
      <sz val="11"/>
      <color theme="10"/>
      <name val="Calibri"/>
      <family val="2"/>
      <scheme val="minor"/>
    </font>
    <font>
      <sz val="10"/>
      <color theme="1"/>
      <name val="Arial"/>
      <family val="2"/>
    </font>
    <font>
      <b/>
      <sz val="10"/>
      <color theme="0"/>
      <name val="Arial"/>
      <family val="2"/>
    </font>
    <font>
      <b/>
      <sz val="12"/>
      <color theme="0"/>
      <name val="Arial"/>
      <family val="2"/>
    </font>
    <font>
      <sz val="12"/>
      <color theme="3"/>
      <name val="Arial"/>
      <family val="2"/>
    </font>
    <font>
      <i/>
      <sz val="9"/>
      <color theme="3"/>
      <name val="Arial"/>
      <family val="2"/>
    </font>
    <font>
      <sz val="8"/>
      <color theme="3"/>
      <name val="Arial"/>
      <family val="2"/>
    </font>
    <font>
      <i/>
      <sz val="10"/>
      <color theme="3"/>
      <name val="Arial"/>
      <family val="2"/>
    </font>
    <font>
      <i/>
      <sz val="10"/>
      <color theme="9"/>
      <name val="Arial"/>
      <family val="2"/>
    </font>
    <font>
      <sz val="10"/>
      <color theme="3"/>
      <name val="Arial"/>
      <family val="2"/>
    </font>
    <font>
      <b/>
      <i/>
      <sz val="10"/>
      <color theme="3"/>
      <name val="Calibri"/>
      <family val="2"/>
      <scheme val="minor"/>
    </font>
    <font>
      <u/>
      <sz val="11"/>
      <color theme="3"/>
      <name val="Calibri"/>
      <family val="2"/>
      <scheme val="minor"/>
    </font>
    <font>
      <b/>
      <sz val="9"/>
      <color theme="0"/>
      <name val="Arial"/>
      <family val="2"/>
    </font>
    <font>
      <sz val="10"/>
      <color theme="0"/>
      <name val="Agency FB"/>
      <family val="2"/>
    </font>
    <font>
      <i/>
      <sz val="8"/>
      <color theme="0"/>
      <name val="Arial"/>
      <family val="2"/>
    </font>
    <font>
      <sz val="10"/>
      <color rgb="FFFF0000"/>
      <name val="Arial"/>
      <family val="2"/>
    </font>
    <font>
      <i/>
      <sz val="8"/>
      <color theme="3"/>
      <name val="Arial"/>
      <family val="2"/>
    </font>
    <font>
      <b/>
      <i/>
      <sz val="8"/>
      <color theme="0"/>
      <name val="Arial"/>
      <family val="2"/>
    </font>
    <font>
      <b/>
      <sz val="10"/>
      <color theme="1"/>
      <name val="Arial"/>
      <family val="2"/>
    </font>
    <font>
      <sz val="10"/>
      <color theme="0"/>
      <name val="Arial"/>
      <family val="2"/>
    </font>
    <font>
      <b/>
      <i/>
      <sz val="10"/>
      <color theme="0"/>
      <name val="Arial"/>
      <family val="2"/>
    </font>
    <font>
      <b/>
      <i/>
      <sz val="9"/>
      <color theme="3"/>
      <name val="Arial"/>
      <family val="2"/>
    </font>
    <font>
      <b/>
      <sz val="16"/>
      <color theme="0"/>
      <name val="Calibri"/>
      <family val="2"/>
      <scheme val="minor"/>
    </font>
    <font>
      <b/>
      <sz val="12"/>
      <color theme="0"/>
      <name val="Calibri"/>
      <family val="2"/>
      <scheme val="minor"/>
    </font>
    <font>
      <i/>
      <sz val="9"/>
      <color theme="1"/>
      <name val="Calibri"/>
      <family val="2"/>
      <scheme val="minor"/>
    </font>
    <font>
      <b/>
      <sz val="14"/>
      <color theme="0"/>
      <name val="Calibri"/>
      <family val="2"/>
      <scheme val="minor"/>
    </font>
    <font>
      <b/>
      <sz val="9"/>
      <color theme="3"/>
      <name val="Arial"/>
      <family val="2"/>
    </font>
    <font>
      <sz val="9"/>
      <color theme="3"/>
      <name val="Arial"/>
      <family val="2"/>
    </font>
    <font>
      <b/>
      <i/>
      <sz val="8"/>
      <color theme="3"/>
      <name val="Arial"/>
      <family val="2"/>
    </font>
    <font>
      <sz val="11"/>
      <color theme="1"/>
      <name val="Arial"/>
      <family val="2"/>
    </font>
    <font>
      <sz val="11"/>
      <color theme="1"/>
      <name val="Calibri"/>
      <family val="2"/>
      <charset val="238"/>
      <scheme val="minor"/>
    </font>
    <font>
      <u/>
      <sz val="11"/>
      <color theme="10"/>
      <name val="Arial"/>
      <family val="2"/>
    </font>
  </fonts>
  <fills count="51">
    <fill>
      <patternFill patternType="none"/>
    </fill>
    <fill>
      <patternFill patternType="gray125"/>
    </fill>
    <fill>
      <patternFill patternType="solid">
        <fgColor indexed="26"/>
      </patternFill>
    </fill>
    <fill>
      <patternFill patternType="solid">
        <fgColor indexed="9"/>
        <bgColor indexed="64"/>
      </patternFill>
    </fill>
    <fill>
      <patternFill patternType="mediumGray">
        <bgColor indexed="2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patternFill>
    </fill>
    <fill>
      <patternFill patternType="solid">
        <fgColor theme="0"/>
        <bgColor indexed="64"/>
      </patternFill>
    </fill>
    <fill>
      <patternFill patternType="solid">
        <fgColor theme="3"/>
        <bgColor indexed="64"/>
      </patternFill>
    </fill>
    <fill>
      <patternFill patternType="solid">
        <fgColor rgb="FF0096DC"/>
      </patternFill>
    </fill>
    <fill>
      <patternFill patternType="solid">
        <fgColor rgb="FFDCE6F1"/>
      </patternFill>
    </fill>
    <fill>
      <patternFill patternType="solid">
        <fgColor rgb="FFF6F6F6"/>
      </patternFill>
    </fill>
    <fill>
      <patternFill patternType="solid">
        <fgColor rgb="FF4669AF"/>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bgColor indexed="64"/>
      </patternFill>
    </fill>
    <fill>
      <patternFill patternType="solid">
        <fgColor theme="3" tint="0.59999389629810485"/>
        <bgColor indexed="64"/>
      </patternFill>
    </fill>
    <fill>
      <patternFill patternType="solid">
        <fgColor rgb="FFC4D8ED"/>
        <bgColor indexed="64"/>
      </patternFill>
    </fill>
    <fill>
      <patternFill patternType="mediumGray">
        <fgColor rgb="FFC0C0C0"/>
        <bgColor rgb="FFFFFFFF"/>
      </patternFill>
    </fill>
    <fill>
      <patternFill patternType="solid">
        <fgColor theme="3" tint="-0.499984740745262"/>
        <bgColor indexed="64"/>
      </patternFill>
    </fill>
    <fill>
      <patternFill patternType="solid">
        <fgColor rgb="FF00A1E3"/>
        <bgColor indexed="64"/>
      </patternFill>
    </fill>
    <fill>
      <patternFill patternType="solid">
        <fgColor rgb="FF2973BD"/>
        <bgColor indexed="64"/>
      </patternFill>
    </fill>
  </fills>
  <borders count="38">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B0B0B0"/>
      </left>
      <right style="thin">
        <color rgb="FFB0B0B0"/>
      </right>
      <top style="thin">
        <color rgb="FFB0B0B0"/>
      </top>
      <bottom style="thin">
        <color rgb="FFB0B0B0"/>
      </bottom>
      <diagonal/>
    </border>
    <border>
      <left style="thin">
        <color rgb="FFC0C0C0"/>
      </left>
      <right style="thin">
        <color rgb="FFC0C0C0"/>
      </right>
      <top style="thin">
        <color rgb="FFC0C0C0"/>
      </top>
      <bottom style="thin">
        <color rgb="FFC0C0C0"/>
      </bottom>
      <diagonal/>
    </border>
    <border>
      <left style="thin">
        <color rgb="FFC0C0C0"/>
      </left>
      <right style="hair">
        <color rgb="FFFFFFCC"/>
      </right>
      <top style="thin">
        <color rgb="FFC0C0C0"/>
      </top>
      <bottom style="thin">
        <color rgb="FFC0C0C0"/>
      </bottom>
      <diagonal/>
    </border>
    <border>
      <left style="hair">
        <color rgb="FFFFFFCC"/>
      </left>
      <right style="thin">
        <color rgb="FFC0C0C0"/>
      </right>
      <top style="thin">
        <color rgb="FFC0C0C0"/>
      </top>
      <bottom style="thin">
        <color rgb="FFC0C0C0"/>
      </bottom>
      <diagonal/>
    </border>
    <border>
      <left style="thin">
        <color rgb="FFB0B0B0"/>
      </left>
      <right style="thin">
        <color rgb="FFB0B0B0"/>
      </right>
      <top style="thin">
        <color rgb="FFB0B0B0"/>
      </top>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right/>
      <top style="thin">
        <color rgb="FFB0B0B0"/>
      </top>
      <bottom/>
      <diagonal/>
    </border>
  </borders>
  <cellStyleXfs count="80">
    <xf numFmtId="0" fontId="0" fillId="0" borderId="0"/>
    <xf numFmtId="0" fontId="42" fillId="12" borderId="0" applyNumberFormat="0" applyBorder="0" applyAlignment="0" applyProtection="0"/>
    <xf numFmtId="0" fontId="42" fillId="16"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13" borderId="0" applyNumberFormat="0" applyBorder="0" applyAlignment="0" applyProtection="0"/>
    <xf numFmtId="0" fontId="42" fillId="17"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33" borderId="0" applyNumberFormat="0" applyBorder="0" applyAlignment="0" applyProtection="0"/>
    <xf numFmtId="0" fontId="58" fillId="14" borderId="0" applyNumberFormat="0" applyBorder="0" applyAlignment="0" applyProtection="0"/>
    <xf numFmtId="0" fontId="58" fillId="18" borderId="0" applyNumberFormat="0" applyBorder="0" applyAlignment="0" applyProtection="0"/>
    <xf numFmtId="0" fontId="58" fillId="22" borderId="0" applyNumberFormat="0" applyBorder="0" applyAlignment="0" applyProtection="0"/>
    <xf numFmtId="0" fontId="58" fillId="26" borderId="0" applyNumberFormat="0" applyBorder="0" applyAlignment="0" applyProtection="0"/>
    <xf numFmtId="0" fontId="58" fillId="30" borderId="0" applyNumberFormat="0" applyBorder="0" applyAlignment="0" applyProtection="0"/>
    <xf numFmtId="0" fontId="58" fillId="34" borderId="0" applyNumberFormat="0" applyBorder="0" applyAlignment="0" applyProtection="0"/>
    <xf numFmtId="0" fontId="58" fillId="11" borderId="0" applyNumberFormat="0" applyBorder="0" applyAlignment="0" applyProtection="0"/>
    <xf numFmtId="0" fontId="58" fillId="15" borderId="0" applyNumberFormat="0" applyBorder="0" applyAlignment="0" applyProtection="0"/>
    <xf numFmtId="0" fontId="58" fillId="19" borderId="0" applyNumberFormat="0" applyBorder="0" applyAlignment="0" applyProtection="0"/>
    <xf numFmtId="0" fontId="58" fillId="23" borderId="0" applyNumberFormat="0" applyBorder="0" applyAlignment="0" applyProtection="0"/>
    <xf numFmtId="0" fontId="58" fillId="27" borderId="0" applyNumberFormat="0" applyBorder="0" applyAlignment="0" applyProtection="0"/>
    <xf numFmtId="0" fontId="58" fillId="31" borderId="0" applyNumberFormat="0" applyBorder="0" applyAlignment="0" applyProtection="0"/>
    <xf numFmtId="0" fontId="55" fillId="0" borderId="0" applyNumberFormat="0" applyFill="0" applyBorder="0" applyAlignment="0" applyProtection="0"/>
    <xf numFmtId="0" fontId="52" fillId="9" borderId="21" applyNumberFormat="0" applyAlignment="0" applyProtection="0"/>
    <xf numFmtId="0" fontId="53" fillId="0" borderId="23" applyNumberFormat="0" applyFill="0" applyAlignment="0" applyProtection="0"/>
    <xf numFmtId="0" fontId="1" fillId="2" borderId="1" applyNumberFormat="0" applyFont="0" applyAlignment="0" applyProtection="0"/>
    <xf numFmtId="0" fontId="42" fillId="35" borderId="26" applyNumberFormat="0" applyFont="0" applyAlignment="0" applyProtection="0"/>
    <xf numFmtId="0" fontId="50" fillId="8" borderId="21" applyNumberFormat="0" applyAlignment="0" applyProtection="0"/>
    <xf numFmtId="44" fontId="1" fillId="0" borderId="0" applyFont="0" applyFill="0" applyBorder="0" applyAlignment="0" applyProtection="0"/>
    <xf numFmtId="0" fontId="14" fillId="0" borderId="0" applyNumberFormat="0" applyFill="0" applyBorder="0" applyAlignment="0" applyProtection="0">
      <alignment vertical="top"/>
      <protection locked="0"/>
    </xf>
    <xf numFmtId="0" fontId="48" fillId="6" borderId="0" applyNumberFormat="0" applyBorder="0" applyAlignment="0" applyProtection="0"/>
    <xf numFmtId="0" fontId="61" fillId="0" borderId="0" applyNumberFormat="0" applyFill="0" applyBorder="0" applyAlignment="0" applyProtection="0"/>
    <xf numFmtId="43" fontId="42" fillId="0" borderId="0" applyFont="0" applyFill="0" applyBorder="0" applyAlignment="0" applyProtection="0"/>
    <xf numFmtId="164" fontId="43" fillId="0" borderId="0" applyFont="0" applyFill="0" applyBorder="0" applyAlignment="0" applyProtection="0"/>
    <xf numFmtId="43" fontId="1" fillId="0" borderId="0" applyFont="0" applyFill="0" applyBorder="0" applyAlignment="0" applyProtection="0"/>
    <xf numFmtId="0" fontId="49" fillId="7" borderId="0" applyNumberFormat="0" applyBorder="0" applyAlignment="0" applyProtection="0"/>
    <xf numFmtId="0" fontId="1" fillId="0" borderId="0"/>
    <xf numFmtId="0" fontId="42" fillId="0" borderId="0"/>
    <xf numFmtId="0" fontId="1" fillId="0" borderId="0"/>
    <xf numFmtId="0" fontId="1" fillId="0" borderId="0"/>
    <xf numFmtId="0" fontId="6" fillId="0" borderId="0"/>
    <xf numFmtId="0" fontId="1" fillId="0" borderId="0"/>
    <xf numFmtId="0" fontId="13" fillId="0" borderId="0"/>
    <xf numFmtId="0" fontId="15" fillId="0" borderId="0"/>
    <xf numFmtId="0" fontId="1" fillId="0" borderId="0"/>
    <xf numFmtId="0" fontId="42" fillId="0" borderId="0"/>
    <xf numFmtId="0" fontId="43" fillId="0" borderId="0"/>
    <xf numFmtId="0" fontId="60" fillId="0" borderId="0"/>
    <xf numFmtId="0" fontId="1" fillId="0" borderId="0"/>
    <xf numFmtId="0" fontId="8" fillId="0" borderId="0"/>
    <xf numFmtId="9" fontId="1" fillId="0" borderId="0" applyFill="0" applyBorder="0" applyAlignment="0" applyProtection="0"/>
    <xf numFmtId="9" fontId="43" fillId="0" borderId="0" applyFont="0" applyFill="0" applyBorder="0" applyAlignment="0" applyProtection="0"/>
    <xf numFmtId="0" fontId="47" fillId="5" borderId="0" applyNumberFormat="0" applyBorder="0" applyAlignment="0" applyProtection="0"/>
    <xf numFmtId="0" fontId="51" fillId="9" borderId="22" applyNumberFormat="0" applyAlignment="0" applyProtection="0"/>
    <xf numFmtId="0" fontId="56"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Alignment="0" applyProtection="0"/>
    <xf numFmtId="0" fontId="44" fillId="0" borderId="18" applyNumberFormat="0" applyFill="0" applyAlignment="0" applyProtection="0"/>
    <xf numFmtId="0" fontId="45" fillId="0" borderId="19" applyNumberFormat="0" applyFill="0" applyAlignment="0" applyProtection="0"/>
    <xf numFmtId="0" fontId="46" fillId="0" borderId="20" applyNumberFormat="0" applyFill="0" applyAlignment="0" applyProtection="0"/>
    <xf numFmtId="0" fontId="46" fillId="0" borderId="0" applyNumberFormat="0" applyFill="0" applyBorder="0" applyAlignment="0" applyProtection="0"/>
    <xf numFmtId="0" fontId="57" fillId="0" borderId="25" applyNumberFormat="0" applyFill="0" applyAlignment="0" applyProtection="0"/>
    <xf numFmtId="0" fontId="54" fillId="10" borderId="24" applyNumberFormat="0" applyAlignment="0" applyProtection="0"/>
    <xf numFmtId="0" fontId="1" fillId="0" borderId="0" applyNumberFormat="0" applyFont="0" applyFill="0" applyBorder="0" applyAlignment="0" applyProtection="0"/>
    <xf numFmtId="0" fontId="90" fillId="0" borderId="0"/>
    <xf numFmtId="0" fontId="1" fillId="0" borderId="0"/>
    <xf numFmtId="0" fontId="6" fillId="0" borderId="0"/>
    <xf numFmtId="0" fontId="1" fillId="0" borderId="0" applyNumberFormat="0" applyFont="0" applyFill="0" applyBorder="0" applyAlignment="0" applyProtection="0"/>
    <xf numFmtId="0" fontId="91" fillId="0" borderId="0"/>
    <xf numFmtId="0" fontId="1" fillId="0" borderId="0"/>
    <xf numFmtId="0" fontId="6" fillId="0" borderId="0"/>
    <xf numFmtId="0" fontId="6" fillId="0" borderId="0"/>
    <xf numFmtId="0" fontId="90" fillId="0" borderId="0"/>
    <xf numFmtId="0" fontId="6" fillId="0" borderId="0"/>
    <xf numFmtId="0" fontId="43" fillId="0" borderId="0"/>
    <xf numFmtId="0" fontId="90" fillId="0" borderId="0"/>
    <xf numFmtId="0" fontId="92" fillId="0" borderId="0" applyNumberFormat="0" applyFill="0" applyBorder="0" applyAlignment="0" applyProtection="0"/>
  </cellStyleXfs>
  <cellXfs count="251">
    <xf numFmtId="0" fontId="0" fillId="0" borderId="0" xfId="0"/>
    <xf numFmtId="0" fontId="1" fillId="0" borderId="0" xfId="39"/>
    <xf numFmtId="0" fontId="3" fillId="0" borderId="0" xfId="39" applyFont="1"/>
    <xf numFmtId="0" fontId="4" fillId="0" borderId="0" xfId="39" applyFont="1"/>
    <xf numFmtId="0" fontId="5" fillId="0" borderId="0" xfId="39" applyFont="1" applyBorder="1"/>
    <xf numFmtId="0" fontId="1" fillId="0" borderId="0" xfId="39" applyFont="1"/>
    <xf numFmtId="0" fontId="5" fillId="0" borderId="0" xfId="39" applyFont="1"/>
    <xf numFmtId="0" fontId="2" fillId="0" borderId="0" xfId="39" applyFont="1"/>
    <xf numFmtId="0" fontId="1" fillId="36" borderId="0" xfId="39" applyFont="1" applyFill="1"/>
    <xf numFmtId="0" fontId="1" fillId="36" borderId="2" xfId="39" applyFont="1" applyFill="1" applyBorder="1"/>
    <xf numFmtId="0" fontId="1" fillId="0" borderId="0" xfId="43" applyFont="1" applyBorder="1"/>
    <xf numFmtId="165" fontId="9" fillId="3" borderId="0" xfId="43" applyNumberFormat="1" applyFont="1" applyFill="1" applyBorder="1" applyAlignment="1">
      <alignment horizontal="right"/>
    </xf>
    <xf numFmtId="0" fontId="1" fillId="0" borderId="0" xfId="43" applyFont="1"/>
    <xf numFmtId="165" fontId="1" fillId="0" borderId="0" xfId="43" applyNumberFormat="1" applyFont="1" applyBorder="1"/>
    <xf numFmtId="2" fontId="1" fillId="0" borderId="0" xfId="39" applyNumberFormat="1" applyFont="1"/>
    <xf numFmtId="0" fontId="10" fillId="0" borderId="0" xfId="39" applyFont="1"/>
    <xf numFmtId="0" fontId="3" fillId="0" borderId="0" xfId="43" applyFont="1" applyBorder="1"/>
    <xf numFmtId="0" fontId="3" fillId="0" borderId="0" xfId="43" applyFont="1"/>
    <xf numFmtId="0" fontId="1" fillId="0" borderId="0" xfId="39" applyBorder="1"/>
    <xf numFmtId="0" fontId="5" fillId="0" borderId="0" xfId="39" applyFont="1" applyFill="1"/>
    <xf numFmtId="0" fontId="3" fillId="0" borderId="0" xfId="43" applyFont="1" applyFill="1" applyBorder="1"/>
    <xf numFmtId="0" fontId="62" fillId="0" borderId="0" xfId="0" applyFont="1" applyFill="1" applyBorder="1" applyAlignment="1">
      <alignment vertical="center"/>
    </xf>
    <xf numFmtId="0" fontId="1" fillId="0" borderId="0" xfId="0" applyFont="1" applyFill="1" applyBorder="1" applyAlignment="1">
      <alignment vertical="center"/>
    </xf>
    <xf numFmtId="0" fontId="1" fillId="0" borderId="0" xfId="43" applyFont="1" applyFill="1" applyBorder="1"/>
    <xf numFmtId="0" fontId="1" fillId="0" borderId="0" xfId="39" applyFont="1" applyFill="1" applyAlignment="1"/>
    <xf numFmtId="0" fontId="1" fillId="0" borderId="0" xfId="39" applyFont="1" applyAlignment="1">
      <alignment vertical="top"/>
    </xf>
    <xf numFmtId="0" fontId="63" fillId="37" borderId="3" xfId="39" applyFont="1" applyFill="1" applyBorder="1"/>
    <xf numFmtId="0" fontId="64" fillId="37" borderId="3" xfId="39" applyFont="1" applyFill="1" applyBorder="1"/>
    <xf numFmtId="0" fontId="12" fillId="0" borderId="0" xfId="39" applyFont="1" applyAlignment="1">
      <alignment wrapText="1"/>
    </xf>
    <xf numFmtId="0" fontId="65" fillId="0" borderId="0" xfId="39" applyFont="1"/>
    <xf numFmtId="0" fontId="63" fillId="37" borderId="3" xfId="39" applyFont="1" applyFill="1" applyBorder="1" applyAlignment="1">
      <alignment wrapText="1"/>
    </xf>
    <xf numFmtId="0" fontId="64" fillId="37" borderId="4" xfId="39" applyFont="1" applyFill="1" applyBorder="1"/>
    <xf numFmtId="0" fontId="64" fillId="0" borderId="0" xfId="39" applyFont="1" applyFill="1" applyAlignment="1">
      <alignment horizontal="center" vertical="center"/>
    </xf>
    <xf numFmtId="166" fontId="1" fillId="36" borderId="3" xfId="35" applyNumberFormat="1" applyFont="1" applyFill="1" applyBorder="1"/>
    <xf numFmtId="166" fontId="1" fillId="36" borderId="4" xfId="35" applyNumberFormat="1" applyFont="1" applyFill="1" applyBorder="1"/>
    <xf numFmtId="0" fontId="66" fillId="0" borderId="0" xfId="39" applyFont="1"/>
    <xf numFmtId="0" fontId="67" fillId="0" borderId="0" xfId="39" applyFont="1"/>
    <xf numFmtId="0" fontId="68" fillId="0" borderId="0" xfId="39" applyFont="1" applyFill="1" applyBorder="1"/>
    <xf numFmtId="0" fontId="69" fillId="0" borderId="0" xfId="39" applyFont="1"/>
    <xf numFmtId="0" fontId="70" fillId="0" borderId="0" xfId="39" applyFont="1"/>
    <xf numFmtId="0" fontId="63" fillId="37" borderId="5" xfId="0" applyFont="1" applyFill="1" applyBorder="1" applyAlignment="1">
      <alignment horizontal="left" vertical="center"/>
    </xf>
    <xf numFmtId="0" fontId="71" fillId="0" borderId="0" xfId="0" applyFont="1" applyAlignment="1">
      <alignment horizontal="left" vertical="top"/>
    </xf>
    <xf numFmtId="166" fontId="1" fillId="0" borderId="3" xfId="35" applyNumberFormat="1" applyFont="1" applyFill="1" applyBorder="1"/>
    <xf numFmtId="0" fontId="11" fillId="38" borderId="27" xfId="50" applyFont="1" applyFill="1" applyBorder="1" applyAlignment="1">
      <alignment horizontal="left" vertical="center"/>
    </xf>
    <xf numFmtId="0" fontId="11" fillId="39" borderId="27" xfId="50" applyFont="1" applyFill="1" applyBorder="1" applyAlignment="1">
      <alignment horizontal="left" vertical="center"/>
    </xf>
    <xf numFmtId="0" fontId="60" fillId="4" borderId="0" xfId="50" applyFill="1"/>
    <xf numFmtId="3" fontId="10" fillId="0" borderId="0" xfId="50" applyNumberFormat="1" applyFont="1" applyAlignment="1">
      <alignment horizontal="right" vertical="center" shrinkToFit="1"/>
    </xf>
    <xf numFmtId="3" fontId="10" fillId="40" borderId="0" xfId="50" applyNumberFormat="1" applyFont="1" applyFill="1" applyAlignment="1">
      <alignment horizontal="right" vertical="center" shrinkToFit="1"/>
    </xf>
    <xf numFmtId="167" fontId="10" fillId="0" borderId="0" xfId="50" applyNumberFormat="1" applyFont="1" applyAlignment="1">
      <alignment horizontal="right" vertical="center" shrinkToFit="1"/>
    </xf>
    <xf numFmtId="167" fontId="10" fillId="40" borderId="0" xfId="50" applyNumberFormat="1" applyFont="1" applyFill="1" applyAlignment="1">
      <alignment horizontal="right" vertical="center" shrinkToFit="1"/>
    </xf>
    <xf numFmtId="0" fontId="10" fillId="39" borderId="27" xfId="50" applyFont="1" applyFill="1" applyBorder="1" applyAlignment="1">
      <alignment horizontal="left" vertical="center"/>
    </xf>
    <xf numFmtId="0" fontId="60" fillId="0" borderId="0" xfId="50"/>
    <xf numFmtId="0" fontId="11" fillId="0" borderId="0" xfId="50" applyFont="1" applyAlignment="1">
      <alignment horizontal="left" vertical="center"/>
    </xf>
    <xf numFmtId="0" fontId="10" fillId="0" borderId="0" xfId="50" applyFont="1" applyAlignment="1">
      <alignment horizontal="left" vertical="center"/>
    </xf>
    <xf numFmtId="0" fontId="23" fillId="41" borderId="27" xfId="50" applyFont="1" applyFill="1" applyBorder="1" applyAlignment="1">
      <alignment horizontal="left" vertical="center"/>
    </xf>
    <xf numFmtId="0" fontId="10" fillId="42" borderId="6" xfId="50" applyFont="1" applyFill="1" applyBorder="1" applyAlignment="1">
      <alignment horizontal="left" vertical="center"/>
    </xf>
    <xf numFmtId="0" fontId="60" fillId="42" borderId="7" xfId="50" applyFill="1" applyBorder="1"/>
    <xf numFmtId="0" fontId="60" fillId="42" borderId="8" xfId="50" applyFill="1" applyBorder="1"/>
    <xf numFmtId="0" fontId="10" fillId="42" borderId="9" xfId="50" applyFont="1" applyFill="1" applyBorder="1" applyAlignment="1">
      <alignment horizontal="left" vertical="center"/>
    </xf>
    <xf numFmtId="0" fontId="11" fillId="42" borderId="0" xfId="50" applyFont="1" applyFill="1" applyBorder="1" applyAlignment="1">
      <alignment horizontal="left" vertical="center"/>
    </xf>
    <xf numFmtId="0" fontId="60" fillId="42" borderId="10" xfId="50" applyFill="1" applyBorder="1"/>
    <xf numFmtId="0" fontId="10" fillId="42" borderId="0" xfId="50" applyFont="1" applyFill="1" applyBorder="1" applyAlignment="1">
      <alignment horizontal="left" vertical="center"/>
    </xf>
    <xf numFmtId="0" fontId="0" fillId="42" borderId="9" xfId="0" applyFill="1" applyBorder="1"/>
    <xf numFmtId="0" fontId="0" fillId="42" borderId="0" xfId="0" applyFill="1" applyBorder="1"/>
    <xf numFmtId="0" fontId="0" fillId="42" borderId="10" xfId="0" applyFill="1" applyBorder="1"/>
    <xf numFmtId="0" fontId="11" fillId="42" borderId="9" xfId="50" applyFont="1" applyFill="1" applyBorder="1" applyAlignment="1">
      <alignment horizontal="left" vertical="center"/>
    </xf>
    <xf numFmtId="0" fontId="60" fillId="42" borderId="0" xfId="50" applyFill="1" applyBorder="1"/>
    <xf numFmtId="0" fontId="10" fillId="42" borderId="10" xfId="50" applyFont="1" applyFill="1" applyBorder="1" applyAlignment="1">
      <alignment horizontal="left" vertical="center"/>
    </xf>
    <xf numFmtId="0" fontId="11" fillId="42" borderId="11" xfId="50" applyFont="1" applyFill="1" applyBorder="1" applyAlignment="1">
      <alignment horizontal="left" vertical="center"/>
    </xf>
    <xf numFmtId="0" fontId="60" fillId="42" borderId="12" xfId="50" applyFill="1" applyBorder="1"/>
    <xf numFmtId="0" fontId="10" fillId="42" borderId="13" xfId="50" applyFont="1" applyFill="1" applyBorder="1" applyAlignment="1">
      <alignment horizontal="left" vertical="center"/>
    </xf>
    <xf numFmtId="0" fontId="72" fillId="0" borderId="0" xfId="0" applyFont="1"/>
    <xf numFmtId="14" fontId="10" fillId="42" borderId="0" xfId="50" applyNumberFormat="1" applyFont="1" applyFill="1" applyBorder="1" applyAlignment="1">
      <alignment horizontal="left" vertical="center"/>
    </xf>
    <xf numFmtId="0" fontId="54" fillId="37" borderId="3" xfId="0" applyFont="1" applyFill="1" applyBorder="1"/>
    <xf numFmtId="0" fontId="54" fillId="37" borderId="14" xfId="0" applyFont="1" applyFill="1" applyBorder="1"/>
    <xf numFmtId="0" fontId="54" fillId="0" borderId="0" xfId="0" applyFont="1" applyFill="1" applyBorder="1"/>
    <xf numFmtId="0" fontId="0" fillId="0" borderId="0" xfId="0" applyFill="1" applyBorder="1"/>
    <xf numFmtId="0" fontId="10" fillId="0" borderId="0" xfId="50" applyFont="1" applyFill="1" applyBorder="1" applyAlignment="1">
      <alignment horizontal="left" vertical="center"/>
    </xf>
    <xf numFmtId="14" fontId="10" fillId="0" borderId="0" xfId="50" applyNumberFormat="1" applyFont="1" applyFill="1" applyBorder="1" applyAlignment="1">
      <alignment horizontal="left" vertical="center"/>
    </xf>
    <xf numFmtId="0" fontId="60" fillId="0" borderId="0" xfId="50" applyFill="1" applyBorder="1"/>
    <xf numFmtId="0" fontId="11" fillId="0" borderId="0" xfId="50" applyFont="1" applyFill="1" applyBorder="1" applyAlignment="1">
      <alignment horizontal="left" vertical="center"/>
    </xf>
    <xf numFmtId="0" fontId="0" fillId="0" borderId="0" xfId="0" applyAlignment="1">
      <alignment wrapText="1"/>
    </xf>
    <xf numFmtId="0" fontId="11" fillId="43" borderId="3" xfId="0" applyFont="1" applyFill="1" applyBorder="1" applyAlignment="1">
      <alignment horizontal="center" vertical="center"/>
    </xf>
    <xf numFmtId="0" fontId="10" fillId="43" borderId="3" xfId="0" applyFont="1" applyFill="1" applyBorder="1" applyAlignment="1">
      <alignment wrapText="1"/>
    </xf>
    <xf numFmtId="0" fontId="73" fillId="37" borderId="3" xfId="0" applyFont="1" applyFill="1" applyBorder="1" applyAlignment="1">
      <alignment horizontal="center" vertical="center"/>
    </xf>
    <xf numFmtId="0" fontId="73" fillId="37" borderId="3" xfId="50" applyFont="1" applyFill="1" applyBorder="1" applyAlignment="1">
      <alignment horizontal="left" vertical="center"/>
    </xf>
    <xf numFmtId="168" fontId="10" fillId="0" borderId="3" xfId="0" applyNumberFormat="1" applyFont="1" applyBorder="1"/>
    <xf numFmtId="169" fontId="10" fillId="0" borderId="3" xfId="0" applyNumberFormat="1" applyFont="1" applyBorder="1"/>
    <xf numFmtId="170" fontId="10" fillId="0" borderId="3" xfId="0" applyNumberFormat="1" applyFont="1" applyBorder="1"/>
    <xf numFmtId="0" fontId="24" fillId="0" borderId="6" xfId="0" applyFont="1" applyBorder="1" applyAlignment="1">
      <alignment wrapText="1"/>
    </xf>
    <xf numFmtId="0" fontId="24" fillId="0" borderId="8" xfId="0" applyFont="1" applyBorder="1" applyAlignment="1">
      <alignment wrapText="1"/>
    </xf>
    <xf numFmtId="0" fontId="24" fillId="0" borderId="9" xfId="0" applyFont="1" applyBorder="1" applyAlignment="1">
      <alignment wrapText="1"/>
    </xf>
    <xf numFmtId="0" fontId="24" fillId="0" borderId="10" xfId="0" applyFont="1" applyBorder="1" applyAlignment="1">
      <alignment wrapText="1"/>
    </xf>
    <xf numFmtId="0" fontId="24" fillId="0" borderId="11" xfId="0" applyFont="1" applyBorder="1" applyAlignment="1">
      <alignment wrapText="1"/>
    </xf>
    <xf numFmtId="0" fontId="24" fillId="0" borderId="13" xfId="0" applyFont="1" applyBorder="1" applyAlignment="1">
      <alignment wrapText="1"/>
    </xf>
    <xf numFmtId="0" fontId="70" fillId="0" borderId="15" xfId="0" applyFont="1" applyFill="1" applyBorder="1" applyAlignment="1">
      <alignment horizontal="left" vertical="center"/>
    </xf>
    <xf numFmtId="1" fontId="1" fillId="0" borderId="3" xfId="39" applyNumberFormat="1" applyFont="1" applyFill="1" applyBorder="1"/>
    <xf numFmtId="1" fontId="1" fillId="0" borderId="3" xfId="39" applyNumberFormat="1" applyFill="1" applyBorder="1"/>
    <xf numFmtId="43" fontId="1" fillId="0" borderId="0" xfId="39" applyNumberFormat="1"/>
    <xf numFmtId="171" fontId="1" fillId="0" borderId="16" xfId="39" applyNumberFormat="1" applyBorder="1" applyAlignment="1"/>
    <xf numFmtId="43" fontId="1" fillId="0" borderId="3" xfId="35" applyFont="1" applyFill="1" applyBorder="1" applyAlignment="1"/>
    <xf numFmtId="43" fontId="3" fillId="0" borderId="3" xfId="35" applyFont="1" applyFill="1" applyBorder="1" applyAlignment="1"/>
    <xf numFmtId="0" fontId="63" fillId="0" borderId="0" xfId="39" applyFont="1" applyFill="1" applyBorder="1" applyAlignment="1">
      <alignment wrapText="1"/>
    </xf>
    <xf numFmtId="171" fontId="1" fillId="0" borderId="0" xfId="39" applyNumberFormat="1" applyBorder="1" applyAlignment="1"/>
    <xf numFmtId="0" fontId="1" fillId="0" borderId="0" xfId="39" applyFill="1" applyBorder="1"/>
    <xf numFmtId="43" fontId="1" fillId="0" borderId="0" xfId="35" applyFont="1" applyFill="1" applyBorder="1" applyAlignment="1"/>
    <xf numFmtId="43" fontId="3" fillId="0" borderId="0" xfId="35" applyFont="1" applyFill="1" applyBorder="1" applyAlignment="1"/>
    <xf numFmtId="166" fontId="1" fillId="0" borderId="3" xfId="35" applyNumberFormat="1" applyFont="1" applyFill="1" applyBorder="1" applyAlignment="1"/>
    <xf numFmtId="166" fontId="1" fillId="0" borderId="3" xfId="35" applyNumberFormat="1" applyFont="1" applyFill="1" applyBorder="1" applyAlignment="1">
      <alignment horizontal="right"/>
    </xf>
    <xf numFmtId="0" fontId="74" fillId="44" borderId="0" xfId="39" applyFont="1" applyFill="1" applyAlignment="1">
      <alignment horizontal="center" vertical="center"/>
    </xf>
    <xf numFmtId="0" fontId="75" fillId="37" borderId="3" xfId="39" applyFont="1" applyFill="1" applyBorder="1"/>
    <xf numFmtId="166" fontId="24" fillId="0" borderId="3" xfId="35" applyNumberFormat="1" applyFont="1" applyFill="1" applyBorder="1" applyAlignment="1"/>
    <xf numFmtId="166" fontId="24" fillId="0" borderId="3" xfId="35" applyNumberFormat="1" applyFont="1" applyFill="1" applyBorder="1" applyAlignment="1">
      <alignment horizontal="right"/>
    </xf>
    <xf numFmtId="166" fontId="4" fillId="36" borderId="3" xfId="35" applyNumberFormat="1" applyFont="1" applyFill="1" applyBorder="1"/>
    <xf numFmtId="0" fontId="1" fillId="0" borderId="0" xfId="39" applyFont="1" applyFill="1"/>
    <xf numFmtId="0" fontId="63" fillId="0" borderId="0" xfId="39" applyFont="1" applyFill="1" applyAlignment="1">
      <alignment horizontal="center"/>
    </xf>
    <xf numFmtId="0" fontId="1" fillId="0" borderId="0" xfId="39" applyFont="1" applyAlignment="1"/>
    <xf numFmtId="0" fontId="3" fillId="0" borderId="0" xfId="39" applyFont="1" applyAlignment="1"/>
    <xf numFmtId="0" fontId="63" fillId="37" borderId="3" xfId="39" applyFont="1" applyFill="1" applyBorder="1" applyAlignment="1">
      <alignment horizontal="center" vertical="center"/>
    </xf>
    <xf numFmtId="0" fontId="63" fillId="37" borderId="4" xfId="39" applyFont="1" applyFill="1" applyBorder="1" applyAlignment="1">
      <alignment horizontal="left" vertical="center" wrapText="1"/>
    </xf>
    <xf numFmtId="0" fontId="63" fillId="0" borderId="0" xfId="39" applyFont="1" applyFill="1" applyAlignment="1">
      <alignment horizontal="center" wrapText="1"/>
    </xf>
    <xf numFmtId="0" fontId="1" fillId="0" borderId="0" xfId="39" applyFont="1" applyAlignment="1">
      <alignment wrapText="1"/>
    </xf>
    <xf numFmtId="0" fontId="63" fillId="37" borderId="4" xfId="39" applyFont="1" applyFill="1" applyBorder="1" applyAlignment="1">
      <alignment wrapText="1"/>
    </xf>
    <xf numFmtId="2" fontId="63" fillId="37" borderId="4" xfId="39" applyNumberFormat="1" applyFont="1" applyFill="1" applyBorder="1" applyAlignment="1">
      <alignment wrapText="1"/>
    </xf>
    <xf numFmtId="0" fontId="63" fillId="37" borderId="0" xfId="39" applyFont="1" applyFill="1" applyAlignment="1">
      <alignment horizontal="left" wrapText="1"/>
    </xf>
    <xf numFmtId="0" fontId="76" fillId="0" borderId="0" xfId="39" applyFont="1" applyAlignment="1">
      <alignment wrapText="1"/>
    </xf>
    <xf numFmtId="0" fontId="1" fillId="0" borderId="0" xfId="39" applyFont="1" applyFill="1" applyAlignment="1">
      <alignment wrapText="1"/>
    </xf>
    <xf numFmtId="0" fontId="77" fillId="0" borderId="0" xfId="39" applyFont="1" applyAlignment="1">
      <alignment wrapText="1"/>
    </xf>
    <xf numFmtId="0" fontId="77" fillId="0" borderId="0" xfId="39" applyFont="1"/>
    <xf numFmtId="0" fontId="63" fillId="37" borderId="17" xfId="39" applyFont="1" applyFill="1" applyBorder="1"/>
    <xf numFmtId="0" fontId="75" fillId="37" borderId="0" xfId="39" applyFont="1" applyFill="1"/>
    <xf numFmtId="0" fontId="78" fillId="37" borderId="3" xfId="39" applyFont="1" applyFill="1" applyBorder="1" applyAlignment="1">
      <alignment horizontal="center" vertical="center"/>
    </xf>
    <xf numFmtId="0" fontId="3" fillId="0" borderId="0" xfId="39" applyFont="1" applyFill="1" applyBorder="1" applyAlignment="1">
      <alignment horizontal="center" wrapText="1"/>
    </xf>
    <xf numFmtId="2" fontId="0" fillId="0" borderId="3" xfId="0" applyNumberFormat="1" applyBorder="1"/>
    <xf numFmtId="166" fontId="1" fillId="0" borderId="3" xfId="35" applyNumberFormat="1" applyFont="1" applyFill="1" applyBorder="1" applyAlignment="1">
      <alignment vertical="center"/>
    </xf>
    <xf numFmtId="172" fontId="1" fillId="0" borderId="3" xfId="35" applyNumberFormat="1" applyFont="1" applyFill="1" applyBorder="1"/>
    <xf numFmtId="3" fontId="1" fillId="0" borderId="3" xfId="39" applyNumberFormat="1" applyFont="1" applyFill="1" applyBorder="1"/>
    <xf numFmtId="166" fontId="42" fillId="0" borderId="3" xfId="35" applyNumberFormat="1" applyFont="1" applyBorder="1"/>
    <xf numFmtId="172" fontId="1" fillId="0" borderId="3" xfId="35" applyNumberFormat="1" applyFont="1" applyFill="1" applyBorder="1" applyAlignment="1">
      <alignment vertical="center"/>
    </xf>
    <xf numFmtId="0" fontId="1" fillId="0" borderId="0" xfId="43" applyFont="1" applyFill="1"/>
    <xf numFmtId="0" fontId="3" fillId="0" borderId="0" xfId="43" applyFont="1" applyFill="1" applyBorder="1" applyAlignment="1">
      <alignment wrapText="1"/>
    </xf>
    <xf numFmtId="0" fontId="79" fillId="0" borderId="0" xfId="0" applyFont="1" applyFill="1" applyBorder="1"/>
    <xf numFmtId="0" fontId="63" fillId="37" borderId="3" xfId="43" applyNumberFormat="1" applyFont="1" applyFill="1" applyBorder="1" applyAlignment="1"/>
    <xf numFmtId="0" fontId="80" fillId="37" borderId="3" xfId="43" applyFont="1" applyFill="1" applyBorder="1"/>
    <xf numFmtId="0" fontId="81" fillId="37" borderId="3" xfId="43" applyFont="1" applyFill="1" applyBorder="1"/>
    <xf numFmtId="0" fontId="63" fillId="37" borderId="3" xfId="43" applyFont="1" applyFill="1" applyBorder="1"/>
    <xf numFmtId="0" fontId="66" fillId="0" borderId="0" xfId="43" applyFont="1"/>
    <xf numFmtId="0" fontId="64" fillId="0" borderId="0" xfId="43" applyFont="1" applyFill="1" applyAlignment="1">
      <alignment horizontal="center" vertical="center"/>
    </xf>
    <xf numFmtId="0" fontId="3" fillId="0" borderId="0" xfId="43" applyFont="1" applyFill="1"/>
    <xf numFmtId="0" fontId="66" fillId="0" borderId="0" xfId="0" applyFont="1" applyAlignment="1">
      <alignment horizontal="left" vertical="top"/>
    </xf>
    <xf numFmtId="0" fontId="82" fillId="0" borderId="0" xfId="43" applyFont="1"/>
    <xf numFmtId="0" fontId="66" fillId="0" borderId="0" xfId="43" applyFont="1" applyBorder="1"/>
    <xf numFmtId="0" fontId="27" fillId="0" borderId="0" xfId="0" applyFont="1" applyAlignment="1">
      <alignment horizontal="left" vertical="center"/>
    </xf>
    <xf numFmtId="0" fontId="28" fillId="0" borderId="0" xfId="0" applyFont="1" applyAlignment="1">
      <alignment horizontal="left" vertical="center"/>
    </xf>
    <xf numFmtId="0" fontId="29" fillId="41" borderId="27" xfId="0" applyFont="1" applyFill="1" applyBorder="1" applyAlignment="1">
      <alignment horizontal="left" vertical="center"/>
    </xf>
    <xf numFmtId="0" fontId="28" fillId="38" borderId="27" xfId="0" applyFont="1" applyFill="1" applyBorder="1" applyAlignment="1">
      <alignment horizontal="left" vertical="center"/>
    </xf>
    <xf numFmtId="0" fontId="0" fillId="4" borderId="0" xfId="0" applyFill="1"/>
    <xf numFmtId="0" fontId="28" fillId="39" borderId="27" xfId="0" applyFont="1" applyFill="1" applyBorder="1" applyAlignment="1">
      <alignment horizontal="left" vertical="center"/>
    </xf>
    <xf numFmtId="167" fontId="27" fillId="0" borderId="0" xfId="0" applyNumberFormat="1" applyFont="1" applyAlignment="1">
      <alignment horizontal="right" vertical="center" shrinkToFit="1"/>
    </xf>
    <xf numFmtId="167" fontId="27" fillId="40" borderId="0" xfId="0" applyNumberFormat="1" applyFont="1" applyFill="1" applyAlignment="1">
      <alignment horizontal="right" vertical="center" shrinkToFit="1"/>
    </xf>
    <xf numFmtId="0" fontId="27" fillId="45" borderId="6" xfId="0" applyFont="1" applyFill="1" applyBorder="1" applyAlignment="1">
      <alignment horizontal="left" vertical="center"/>
    </xf>
    <xf numFmtId="0" fontId="0" fillId="45" borderId="7" xfId="0" applyFill="1" applyBorder="1"/>
    <xf numFmtId="0" fontId="0" fillId="45" borderId="8" xfId="0" applyFill="1" applyBorder="1"/>
    <xf numFmtId="0" fontId="27" fillId="45" borderId="9" xfId="0" applyFont="1" applyFill="1" applyBorder="1" applyAlignment="1">
      <alignment horizontal="left" vertical="center"/>
    </xf>
    <xf numFmtId="0" fontId="28" fillId="45" borderId="0" xfId="0" applyFont="1" applyFill="1" applyBorder="1" applyAlignment="1">
      <alignment horizontal="left" vertical="center"/>
    </xf>
    <xf numFmtId="0" fontId="0" fillId="45" borderId="0" xfId="0" applyFill="1" applyBorder="1"/>
    <xf numFmtId="0" fontId="0" fillId="45" borderId="10" xfId="0" applyFill="1" applyBorder="1"/>
    <xf numFmtId="0" fontId="27" fillId="45" borderId="0" xfId="0" applyFont="1" applyFill="1" applyBorder="1" applyAlignment="1">
      <alignment horizontal="left" vertical="center"/>
    </xf>
    <xf numFmtId="0" fontId="0" fillId="45" borderId="9" xfId="0" applyFill="1" applyBorder="1"/>
    <xf numFmtId="0" fontId="28" fillId="45" borderId="9" xfId="0" applyFont="1" applyFill="1" applyBorder="1" applyAlignment="1">
      <alignment horizontal="left" vertical="center"/>
    </xf>
    <xf numFmtId="0" fontId="28" fillId="45" borderId="11" xfId="0" applyFont="1" applyFill="1" applyBorder="1" applyAlignment="1">
      <alignment horizontal="left" vertical="center"/>
    </xf>
    <xf numFmtId="0" fontId="27" fillId="45" borderId="12" xfId="0" applyFont="1" applyFill="1" applyBorder="1" applyAlignment="1">
      <alignment horizontal="left" vertical="center"/>
    </xf>
    <xf numFmtId="0" fontId="0" fillId="45" borderId="12" xfId="0" applyFill="1" applyBorder="1"/>
    <xf numFmtId="0" fontId="0" fillId="45" borderId="13" xfId="0" applyFill="1" applyBorder="1"/>
    <xf numFmtId="167" fontId="11" fillId="0" borderId="0" xfId="0" applyNumberFormat="1" applyFont="1" applyAlignment="1">
      <alignment horizontal="right" vertical="center" shrinkToFit="1"/>
    </xf>
    <xf numFmtId="0" fontId="4" fillId="0" borderId="28" xfId="0" applyFont="1" applyBorder="1"/>
    <xf numFmtId="0" fontId="30" fillId="0" borderId="28" xfId="0" applyFont="1" applyBorder="1" applyAlignment="1">
      <alignment horizontal="left" wrapText="1"/>
    </xf>
    <xf numFmtId="0" fontId="33" fillId="46" borderId="28" xfId="0" applyFont="1" applyFill="1" applyBorder="1" applyAlignment="1">
      <alignment wrapText="1"/>
    </xf>
    <xf numFmtId="0" fontId="34" fillId="47" borderId="28" xfId="0" applyFont="1" applyFill="1" applyBorder="1" applyAlignment="1">
      <alignment horizontal="center"/>
    </xf>
    <xf numFmtId="0" fontId="35" fillId="46" borderId="28" xfId="0" applyFont="1" applyFill="1" applyBorder="1" applyAlignment="1">
      <alignment vertical="top" wrapText="1"/>
    </xf>
    <xf numFmtId="0" fontId="36" fillId="0" borderId="29" xfId="0" applyFont="1" applyBorder="1" applyAlignment="1">
      <alignment horizontal="left" wrapText="1"/>
    </xf>
    <xf numFmtId="0" fontId="4" fillId="0" borderId="30" xfId="0" applyFont="1" applyBorder="1" applyAlignment="1">
      <alignment horizontal="right"/>
    </xf>
    <xf numFmtId="0" fontId="37" fillId="46" borderId="28" xfId="0" applyFont="1" applyFill="1" applyBorder="1" applyAlignment="1">
      <alignment vertical="top" wrapText="1"/>
    </xf>
    <xf numFmtId="0" fontId="37" fillId="0" borderId="0" xfId="0" applyFont="1" applyAlignment="1">
      <alignment horizontal="left"/>
    </xf>
    <xf numFmtId="0" fontId="35" fillId="0" borderId="0" xfId="0" applyFont="1" applyAlignment="1">
      <alignment horizontal="left"/>
    </xf>
    <xf numFmtId="0" fontId="33" fillId="0" borderId="0" xfId="0" applyFont="1" applyAlignment="1">
      <alignment horizontal="left"/>
    </xf>
    <xf numFmtId="0" fontId="4" fillId="0" borderId="0" xfId="0" applyFont="1" applyBorder="1"/>
    <xf numFmtId="0" fontId="33" fillId="46" borderId="28" xfId="0" applyFont="1" applyFill="1" applyBorder="1" applyAlignment="1">
      <alignment vertical="top" wrapText="1"/>
    </xf>
    <xf numFmtId="0" fontId="39" fillId="0" borderId="29" xfId="0" applyFont="1" applyBorder="1" applyAlignment="1">
      <alignment horizontal="left" wrapText="1"/>
    </xf>
    <xf numFmtId="0" fontId="40" fillId="0" borderId="30" xfId="0" applyFont="1" applyBorder="1" applyAlignment="1">
      <alignment horizontal="right"/>
    </xf>
    <xf numFmtId="0" fontId="57" fillId="0" borderId="0" xfId="0" applyFont="1"/>
    <xf numFmtId="0" fontId="41" fillId="46" borderId="28" xfId="0" applyFont="1" applyFill="1" applyBorder="1" applyAlignment="1">
      <alignment vertical="top" wrapText="1"/>
    </xf>
    <xf numFmtId="0" fontId="61" fillId="0" borderId="0" xfId="34"/>
    <xf numFmtId="0" fontId="61" fillId="0" borderId="28" xfId="34" applyBorder="1"/>
    <xf numFmtId="0" fontId="11" fillId="39" borderId="0" xfId="50" applyFont="1" applyFill="1" applyBorder="1" applyAlignment="1">
      <alignment horizontal="left" vertical="center"/>
    </xf>
    <xf numFmtId="172" fontId="1" fillId="0" borderId="3" xfId="35" applyNumberFormat="1" applyFont="1" applyFill="1" applyBorder="1" applyAlignment="1">
      <alignment horizontal="center"/>
    </xf>
    <xf numFmtId="166" fontId="10" fillId="40" borderId="0" xfId="35" applyNumberFormat="1" applyFont="1" applyFill="1" applyAlignment="1">
      <alignment horizontal="right" vertical="center" shrinkToFit="1"/>
    </xf>
    <xf numFmtId="165" fontId="9" fillId="0" borderId="3" xfId="43" applyNumberFormat="1" applyFont="1" applyFill="1" applyBorder="1" applyAlignment="1">
      <alignment horizontal="right"/>
    </xf>
    <xf numFmtId="165" fontId="1" fillId="0" borderId="3" xfId="43" applyNumberFormat="1" applyFont="1" applyFill="1" applyBorder="1"/>
    <xf numFmtId="0" fontId="1" fillId="0" borderId="3" xfId="43" applyFont="1" applyFill="1" applyBorder="1"/>
    <xf numFmtId="0" fontId="83" fillId="37" borderId="0" xfId="0" applyFont="1" applyFill="1" applyAlignment="1">
      <alignment horizontal="center" vertical="center"/>
    </xf>
    <xf numFmtId="0" fontId="54" fillId="37" borderId="0" xfId="0" applyFont="1" applyFill="1" applyAlignment="1">
      <alignment horizontal="center" vertical="top"/>
    </xf>
    <xf numFmtId="0" fontId="54" fillId="48" borderId="3" xfId="0" applyFont="1" applyFill="1" applyBorder="1" applyAlignment="1">
      <alignment horizontal="center" vertical="center"/>
    </xf>
    <xf numFmtId="0" fontId="0" fillId="0" borderId="0" xfId="0" applyAlignment="1">
      <alignment horizontal="center"/>
    </xf>
    <xf numFmtId="0" fontId="61" fillId="0" borderId="3" xfId="34" applyBorder="1" applyAlignment="1">
      <alignment vertical="center"/>
    </xf>
    <xf numFmtId="0" fontId="54" fillId="48" borderId="0" xfId="0" applyFont="1" applyFill="1" applyAlignment="1">
      <alignment horizontal="center" vertical="center"/>
    </xf>
    <xf numFmtId="0" fontId="11" fillId="39" borderId="37" xfId="50" applyFont="1" applyFill="1" applyBorder="1" applyAlignment="1">
      <alignment horizontal="center" vertical="center" wrapText="1"/>
    </xf>
    <xf numFmtId="0" fontId="11" fillId="39" borderId="0" xfId="50" applyFont="1" applyFill="1" applyBorder="1" applyAlignment="1">
      <alignment horizontal="center" vertical="center" wrapText="1"/>
    </xf>
    <xf numFmtId="0" fontId="11" fillId="39" borderId="31" xfId="50" applyFont="1" applyFill="1" applyBorder="1" applyAlignment="1">
      <alignment horizontal="center" vertical="center"/>
    </xf>
    <xf numFmtId="0" fontId="11" fillId="39" borderId="32" xfId="50" applyFont="1" applyFill="1" applyBorder="1" applyAlignment="1">
      <alignment horizontal="center" vertical="center"/>
    </xf>
    <xf numFmtId="0" fontId="11" fillId="39" borderId="33" xfId="50" applyFont="1" applyFill="1" applyBorder="1" applyAlignment="1">
      <alignment horizontal="center" vertical="center"/>
    </xf>
    <xf numFmtId="0" fontId="23" fillId="41" borderId="27" xfId="50" applyFont="1" applyFill="1" applyBorder="1" applyAlignment="1">
      <alignment horizontal="right" vertical="center"/>
    </xf>
    <xf numFmtId="0" fontId="29" fillId="41" borderId="27" xfId="0" applyFont="1" applyFill="1" applyBorder="1" applyAlignment="1">
      <alignment horizontal="center" vertical="center"/>
    </xf>
    <xf numFmtId="0" fontId="29" fillId="41" borderId="27" xfId="0" applyFont="1" applyFill="1" applyBorder="1" applyAlignment="1">
      <alignment horizontal="right" vertical="center"/>
    </xf>
    <xf numFmtId="0" fontId="28" fillId="39" borderId="31" xfId="0" applyFont="1" applyFill="1" applyBorder="1" applyAlignment="1">
      <alignment horizontal="center" vertical="center"/>
    </xf>
    <xf numFmtId="0" fontId="28" fillId="39" borderId="32" xfId="0" applyFont="1" applyFill="1" applyBorder="1" applyAlignment="1">
      <alignment horizontal="center" vertical="center"/>
    </xf>
    <xf numFmtId="0" fontId="28" fillId="39" borderId="33" xfId="0" applyFont="1" applyFill="1" applyBorder="1" applyAlignment="1">
      <alignment horizontal="center" vertical="center"/>
    </xf>
    <xf numFmtId="0" fontId="28" fillId="39" borderId="31" xfId="0" applyFont="1" applyFill="1" applyBorder="1" applyAlignment="1">
      <alignment horizontal="center" vertical="center" wrapText="1"/>
    </xf>
    <xf numFmtId="0" fontId="28" fillId="39" borderId="32" xfId="0" applyFont="1" applyFill="1" applyBorder="1" applyAlignment="1">
      <alignment horizontal="center" vertical="center" wrapText="1"/>
    </xf>
    <xf numFmtId="0" fontId="28" fillId="39" borderId="33" xfId="0" applyFont="1" applyFill="1" applyBorder="1" applyAlignment="1">
      <alignment horizontal="center" vertical="center" wrapText="1"/>
    </xf>
    <xf numFmtId="0" fontId="84" fillId="37" borderId="0" xfId="0" applyFont="1" applyFill="1" applyAlignment="1">
      <alignment horizontal="center" vertical="center"/>
    </xf>
    <xf numFmtId="0" fontId="85" fillId="0" borderId="11" xfId="0" applyFont="1" applyBorder="1" applyAlignment="1">
      <alignment horizontal="left" wrapText="1"/>
    </xf>
    <xf numFmtId="0" fontId="85" fillId="0" borderId="13" xfId="0" applyFont="1" applyBorder="1" applyAlignment="1">
      <alignment horizontal="left" wrapText="1"/>
    </xf>
    <xf numFmtId="0" fontId="85" fillId="0" borderId="9" xfId="0" applyFont="1" applyBorder="1" applyAlignment="1">
      <alignment horizontal="left" wrapText="1"/>
    </xf>
    <xf numFmtId="0" fontId="85" fillId="0" borderId="10" xfId="0" applyFont="1" applyBorder="1" applyAlignment="1">
      <alignment horizontal="left" wrapText="1"/>
    </xf>
    <xf numFmtId="0" fontId="85" fillId="0" borderId="6" xfId="0" applyFont="1" applyBorder="1" applyAlignment="1">
      <alignment horizontal="left" wrapText="1"/>
    </xf>
    <xf numFmtId="0" fontId="85" fillId="0" borderId="8" xfId="0" applyFont="1" applyBorder="1" applyAlignment="1">
      <alignment horizontal="left" wrapText="1"/>
    </xf>
    <xf numFmtId="0" fontId="31" fillId="50" borderId="34" xfId="0" applyFont="1" applyFill="1" applyBorder="1" applyAlignment="1">
      <alignment horizontal="right" vertical="top" wrapText="1"/>
    </xf>
    <xf numFmtId="0" fontId="31" fillId="50" borderId="35" xfId="0" applyFont="1" applyFill="1" applyBorder="1" applyAlignment="1">
      <alignment horizontal="right" vertical="top" wrapText="1"/>
    </xf>
    <xf numFmtId="0" fontId="32" fillId="50" borderId="34" xfId="0" applyFont="1" applyFill="1" applyBorder="1" applyAlignment="1">
      <alignment vertical="top" wrapText="1"/>
    </xf>
    <xf numFmtId="0" fontId="32" fillId="50" borderId="36" xfId="0" applyFont="1" applyFill="1" applyBorder="1" applyAlignment="1">
      <alignment vertical="top" wrapText="1"/>
    </xf>
    <xf numFmtId="0" fontId="32" fillId="50" borderId="35" xfId="0" applyFont="1" applyFill="1" applyBorder="1" applyAlignment="1">
      <alignment vertical="top" wrapText="1"/>
    </xf>
    <xf numFmtId="0" fontId="31" fillId="49" borderId="34" xfId="0" applyFont="1" applyFill="1" applyBorder="1" applyAlignment="1">
      <alignment horizontal="right" vertical="center" wrapText="1"/>
    </xf>
    <xf numFmtId="0" fontId="31" fillId="49" borderId="35" xfId="0" applyFont="1" applyFill="1" applyBorder="1" applyAlignment="1">
      <alignment horizontal="right" vertical="center" wrapText="1"/>
    </xf>
    <xf numFmtId="0" fontId="32" fillId="49" borderId="34" xfId="0" applyFont="1" applyFill="1" applyBorder="1" applyAlignment="1">
      <alignment horizontal="center" vertical="top" wrapText="1"/>
    </xf>
    <xf numFmtId="0" fontId="32" fillId="49" borderId="35" xfId="0" applyFont="1" applyFill="1" applyBorder="1" applyAlignment="1">
      <alignment horizontal="center" vertical="top" wrapText="1"/>
    </xf>
    <xf numFmtId="0" fontId="34" fillId="47" borderId="34" xfId="0" applyFont="1" applyFill="1" applyBorder="1" applyAlignment="1">
      <alignment horizontal="center"/>
    </xf>
    <xf numFmtId="0" fontId="34" fillId="47" borderId="35" xfId="0" applyFont="1" applyFill="1" applyBorder="1" applyAlignment="1">
      <alignment horizontal="center"/>
    </xf>
    <xf numFmtId="0" fontId="54" fillId="37" borderId="0" xfId="39" applyFont="1" applyFill="1" applyAlignment="1">
      <alignment horizontal="center" vertical="center"/>
    </xf>
    <xf numFmtId="0" fontId="84" fillId="37" borderId="0" xfId="0" applyFont="1" applyFill="1" applyAlignment="1">
      <alignment horizontal="left" vertical="center"/>
    </xf>
    <xf numFmtId="0" fontId="12" fillId="0" borderId="0" xfId="39" applyFont="1" applyAlignment="1">
      <alignment horizontal="left" wrapText="1"/>
    </xf>
    <xf numFmtId="0" fontId="64" fillId="37" borderId="0" xfId="39" applyFont="1" applyFill="1" applyAlignment="1">
      <alignment horizontal="center" vertical="center"/>
    </xf>
    <xf numFmtId="0" fontId="86" fillId="37" borderId="0" xfId="0" applyFont="1" applyFill="1" applyAlignment="1">
      <alignment horizontal="left" vertical="center"/>
    </xf>
    <xf numFmtId="0" fontId="87" fillId="0" borderId="0" xfId="39" applyFont="1" applyFill="1" applyAlignment="1"/>
    <xf numFmtId="0" fontId="88" fillId="0" borderId="0" xfId="39" applyFont="1" applyFill="1" applyAlignment="1"/>
    <xf numFmtId="0" fontId="77" fillId="0" borderId="0" xfId="39" applyFont="1" applyAlignment="1">
      <alignment horizontal="center" vertical="top" wrapText="1"/>
    </xf>
    <xf numFmtId="0" fontId="89" fillId="0" borderId="0" xfId="39" applyFont="1" applyFill="1" applyAlignment="1"/>
    <xf numFmtId="0" fontId="77" fillId="0" borderId="0" xfId="39" applyFont="1" applyFill="1" applyAlignment="1"/>
    <xf numFmtId="0" fontId="89" fillId="3" borderId="0" xfId="39" applyFont="1" applyFill="1" applyBorder="1" applyAlignment="1">
      <alignment vertical="top" wrapText="1"/>
    </xf>
    <xf numFmtId="0" fontId="77" fillId="0" borderId="0" xfId="39" applyFont="1" applyAlignment="1">
      <alignment vertical="top"/>
    </xf>
    <xf numFmtId="0" fontId="64" fillId="37" borderId="0" xfId="43" applyFont="1" applyFill="1" applyAlignment="1">
      <alignment horizontal="center" vertical="center"/>
    </xf>
  </cellXfs>
  <cellStyles count="80">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Commentaire 2" xfId="28" xr:uid="{00000000-0005-0000-0000-00001B000000}"/>
    <cellStyle name="Commentaire 2 2" xfId="29" xr:uid="{00000000-0005-0000-0000-00001C000000}"/>
    <cellStyle name="Entrée" xfId="30" builtinId="20" customBuiltin="1"/>
    <cellStyle name="Euro" xfId="31" xr:uid="{00000000-0005-0000-0000-00001E000000}"/>
    <cellStyle name="Hyperlink 2" xfId="32" xr:uid="{00000000-0005-0000-0000-00001F000000}"/>
    <cellStyle name="Insatisfaisant" xfId="33" builtinId="27" customBuiltin="1"/>
    <cellStyle name="Lien hypertexte" xfId="34" builtinId="8"/>
    <cellStyle name="Link 2" xfId="79" xr:uid="{00000000-0005-0000-0000-000022000000}"/>
    <cellStyle name="Milliers" xfId="35" builtinId="3"/>
    <cellStyle name="Milliers 2" xfId="36" xr:uid="{00000000-0005-0000-0000-000024000000}"/>
    <cellStyle name="Milliers 2 2" xfId="37" xr:uid="{00000000-0005-0000-0000-000025000000}"/>
    <cellStyle name="Neutre" xfId="38" builtinId="28" customBuiltin="1"/>
    <cellStyle name="Normal" xfId="0" builtinId="0"/>
    <cellStyle name="Normal 2" xfId="39" xr:uid="{00000000-0005-0000-0000-000028000000}"/>
    <cellStyle name="Normal 2 2" xfId="40" xr:uid="{00000000-0005-0000-0000-000029000000}"/>
    <cellStyle name="Normal 2 2 2" xfId="41" xr:uid="{00000000-0005-0000-0000-00002A000000}"/>
    <cellStyle name="Normal 2 3" xfId="42" xr:uid="{00000000-0005-0000-0000-00002B000000}"/>
    <cellStyle name="Normal 3" xfId="43" xr:uid="{00000000-0005-0000-0000-00002C000000}"/>
    <cellStyle name="Normal 3 2" xfId="44" xr:uid="{00000000-0005-0000-0000-00002D000000}"/>
    <cellStyle name="Normal 3 3" xfId="45" xr:uid="{00000000-0005-0000-0000-00002E000000}"/>
    <cellStyle name="Normal 3 4" xfId="46" xr:uid="{00000000-0005-0000-0000-00002F000000}"/>
    <cellStyle name="Normal 39" xfId="47" xr:uid="{00000000-0005-0000-0000-000030000000}"/>
    <cellStyle name="Normal 4" xfId="48" xr:uid="{00000000-0005-0000-0000-000031000000}"/>
    <cellStyle name="Normal 4 2" xfId="75" xr:uid="{00000000-0005-0000-0000-000032000000}"/>
    <cellStyle name="Normal 5" xfId="49" xr:uid="{00000000-0005-0000-0000-000033000000}"/>
    <cellStyle name="Normal 6" xfId="50" xr:uid="{00000000-0005-0000-0000-000034000000}"/>
    <cellStyle name="Normal 7" xfId="51" xr:uid="{00000000-0005-0000-0000-000035000000}"/>
    <cellStyle name="Normale_cpa_2002_en" xfId="52" xr:uid="{00000000-0005-0000-0000-000036000000}"/>
    <cellStyle name="Normální 2" xfId="71" xr:uid="{00000000-0005-0000-0000-000037000000}"/>
    <cellStyle name="Pourcentage 2" xfId="53" xr:uid="{00000000-0005-0000-0000-000039000000}"/>
    <cellStyle name="Pourcentage 3" xfId="54" xr:uid="{00000000-0005-0000-0000-00003A000000}"/>
    <cellStyle name="Satisfaisant" xfId="55" builtinId="26" customBuiltin="1"/>
    <cellStyle name="Sortie" xfId="56" builtinId="21" customBuiltin="1"/>
    <cellStyle name="Standard 2" xfId="66" xr:uid="{00000000-0005-0000-0000-00003D000000}"/>
    <cellStyle name="Standard 2 2" xfId="68" xr:uid="{00000000-0005-0000-0000-00003E000000}"/>
    <cellStyle name="Standard 2 4" xfId="72" xr:uid="{00000000-0005-0000-0000-00003F000000}"/>
    <cellStyle name="Standard 3" xfId="67" xr:uid="{00000000-0005-0000-0000-000040000000}"/>
    <cellStyle name="Standard 4" xfId="73" xr:uid="{00000000-0005-0000-0000-000041000000}"/>
    <cellStyle name="Standard 5" xfId="74" xr:uid="{00000000-0005-0000-0000-000042000000}"/>
    <cellStyle name="Standard 6" xfId="77" xr:uid="{00000000-0005-0000-0000-000043000000}"/>
    <cellStyle name="Standard 7" xfId="76" xr:uid="{00000000-0005-0000-0000-000044000000}"/>
    <cellStyle name="Standard 8" xfId="78" xr:uid="{00000000-0005-0000-0000-000045000000}"/>
    <cellStyle name="Standard 9" xfId="69" xr:uid="{00000000-0005-0000-0000-000046000000}"/>
    <cellStyle name="Standard_Auswertung LCA Metalle" xfId="70" xr:uid="{00000000-0005-0000-0000-000047000000}"/>
    <cellStyle name="Texte explicatif" xfId="57" builtinId="53" customBuiltin="1"/>
    <cellStyle name="Titre 1" xfId="58" xr:uid="{00000000-0005-0000-0000-000049000000}"/>
    <cellStyle name="Titre 2" xfId="59" xr:uid="{00000000-0005-0000-0000-00004A000000}"/>
    <cellStyle name="Titre 1" xfId="60" builtinId="16" customBuiltin="1"/>
    <cellStyle name="Titre 2" xfId="61" builtinId="17" customBuiltin="1"/>
    <cellStyle name="Titre 3" xfId="62" builtinId="18" customBuiltin="1"/>
    <cellStyle name="Titre 4" xfId="63" builtinId="19" customBuiltin="1"/>
    <cellStyle name="Total" xfId="64" builtinId="25" customBuiltin="1"/>
    <cellStyle name="Vérification" xfId="65"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tx>
            <c:strRef>
              <c:f>'Graph 1'!$A$20</c:f>
              <c:strCache>
                <c:ptCount val="1"/>
                <c:pt idx="0">
                  <c:v>Biomasse : produits issus de l'agriculture et de la pêche</c:v>
                </c:pt>
              </c:strCache>
            </c:strRef>
          </c:tx>
          <c:spPr>
            <a:solidFill>
              <a:schemeClr val="accent3"/>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1'!$B$20:$E$20</c:f>
              <c:numCache>
                <c:formatCode>_(* #,##0.00_);_(* \(#,##0.00\);_(* "-"??_);_(@_)</c:formatCode>
                <c:ptCount val="4"/>
                <c:pt idx="0">
                  <c:v>208.57750099999998</c:v>
                </c:pt>
                <c:pt idx="1">
                  <c:v>231.63234599999998</c:v>
                </c:pt>
                <c:pt idx="2">
                  <c:v>54.848001000000004</c:v>
                </c:pt>
                <c:pt idx="3">
                  <c:v>77.902845999999997</c:v>
                </c:pt>
              </c:numCache>
            </c:numRef>
          </c:val>
          <c:extLst>
            <c:ext xmlns:c16="http://schemas.microsoft.com/office/drawing/2014/chart" uri="{C3380CC4-5D6E-409C-BE32-E72D297353CC}">
              <c16:uniqueId val="{00000000-E9F6-4EE2-98CB-DE5E73B25B71}"/>
            </c:ext>
          </c:extLst>
        </c:ser>
        <c:ser>
          <c:idx val="1"/>
          <c:order val="1"/>
          <c:tx>
            <c:strRef>
              <c:f>'Graph 1'!$A$21</c:f>
              <c:strCache>
                <c:ptCount val="1"/>
                <c:pt idx="0">
                  <c:v>Bois et produits dérivés</c:v>
                </c:pt>
              </c:strCache>
            </c:strRef>
          </c:tx>
          <c:spPr>
            <a:solidFill>
              <a:schemeClr val="accent2"/>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1'!$B$21:$E$21</c:f>
              <c:numCache>
                <c:formatCode>_(* #,##0.00_);_(* \(#,##0.00\);_(* "-"??_);_(@_)</c:formatCode>
                <c:ptCount val="4"/>
                <c:pt idx="0">
                  <c:v>22.981121999999999</c:v>
                </c:pt>
                <c:pt idx="1">
                  <c:v>22.524999999999999</c:v>
                </c:pt>
                <c:pt idx="2">
                  <c:v>8.8316530000000011</c:v>
                </c:pt>
                <c:pt idx="3">
                  <c:v>8.3755310000000005</c:v>
                </c:pt>
              </c:numCache>
            </c:numRef>
          </c:val>
          <c:extLst>
            <c:ext xmlns:c16="http://schemas.microsoft.com/office/drawing/2014/chart" uri="{C3380CC4-5D6E-409C-BE32-E72D297353CC}">
              <c16:uniqueId val="{00000001-E9F6-4EE2-98CB-DE5E73B25B71}"/>
            </c:ext>
          </c:extLst>
        </c:ser>
        <c:ser>
          <c:idx val="2"/>
          <c:order val="2"/>
          <c:tx>
            <c:strRef>
              <c:f>'Graph 1'!$A$22</c:f>
              <c:strCache>
                <c:ptCount val="1"/>
                <c:pt idx="0">
                  <c:v>Minerais métalliques et produits à base dominante de métal</c:v>
                </c:pt>
              </c:strCache>
            </c:strRef>
          </c:tx>
          <c:spPr>
            <a:solidFill>
              <a:schemeClr val="bg1">
                <a:lumMod val="50000"/>
              </a:schemeClr>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1'!$B$22:$E$22</c:f>
              <c:numCache>
                <c:formatCode>_(* #,##0.00_);_(* \(#,##0.00\);_(* "-"??_);_(@_)</c:formatCode>
                <c:ptCount val="4"/>
                <c:pt idx="0">
                  <c:v>17.667725000000004</c:v>
                </c:pt>
                <c:pt idx="1">
                  <c:v>0.236508</c:v>
                </c:pt>
                <c:pt idx="2">
                  <c:v>61.683613999999999</c:v>
                </c:pt>
                <c:pt idx="3">
                  <c:v>44.252396999999995</c:v>
                </c:pt>
              </c:numCache>
            </c:numRef>
          </c:val>
          <c:extLst>
            <c:ext xmlns:c16="http://schemas.microsoft.com/office/drawing/2014/chart" uri="{C3380CC4-5D6E-409C-BE32-E72D297353CC}">
              <c16:uniqueId val="{00000002-E9F6-4EE2-98CB-DE5E73B25B71}"/>
            </c:ext>
          </c:extLst>
        </c:ser>
        <c:ser>
          <c:idx val="3"/>
          <c:order val="3"/>
          <c:tx>
            <c:strRef>
              <c:f>'Graph 1'!$A$23</c:f>
              <c:strCache>
                <c:ptCount val="1"/>
                <c:pt idx="0">
                  <c:v>Minéraux non métalliques et produits à dominante non métallique</c:v>
                </c:pt>
              </c:strCache>
            </c:strRef>
          </c:tx>
          <c:spPr>
            <a:solidFill>
              <a:srgbClr val="FFC000"/>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1'!$B$23:$E$23</c:f>
              <c:numCache>
                <c:formatCode>_(* #,##0.00_);_(* \(#,##0.00\);_(* "-"??_);_(@_)</c:formatCode>
                <c:ptCount val="4"/>
                <c:pt idx="0">
                  <c:v>420.31639999999999</c:v>
                </c:pt>
                <c:pt idx="1">
                  <c:v>394.53951899999998</c:v>
                </c:pt>
                <c:pt idx="2">
                  <c:v>51.666316999999999</c:v>
                </c:pt>
                <c:pt idx="3">
                  <c:v>25.889436</c:v>
                </c:pt>
              </c:numCache>
            </c:numRef>
          </c:val>
          <c:extLst>
            <c:ext xmlns:c16="http://schemas.microsoft.com/office/drawing/2014/chart" uri="{C3380CC4-5D6E-409C-BE32-E72D297353CC}">
              <c16:uniqueId val="{00000003-E9F6-4EE2-98CB-DE5E73B25B71}"/>
            </c:ext>
          </c:extLst>
        </c:ser>
        <c:ser>
          <c:idx val="4"/>
          <c:order val="4"/>
          <c:tx>
            <c:strRef>
              <c:f>'Graph 1'!$A$24</c:f>
              <c:strCache>
                <c:ptCount val="1"/>
                <c:pt idx="0">
                  <c:v>Charbons et produits dérivés</c:v>
                </c:pt>
              </c:strCache>
            </c:strRef>
          </c:tx>
          <c:spPr>
            <a:solidFill>
              <a:schemeClr val="tx1">
                <a:lumMod val="95000"/>
                <a:lumOff val="5000"/>
              </a:schemeClr>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1'!$B$24:$E$24</c:f>
              <c:numCache>
                <c:formatCode>_(* #,##0.00_);_(* \(#,##0.00\);_(* "-"??_);_(@_)</c:formatCode>
                <c:ptCount val="4"/>
                <c:pt idx="0">
                  <c:v>8.1698410000000017</c:v>
                </c:pt>
                <c:pt idx="1">
                  <c:v>0</c:v>
                </c:pt>
                <c:pt idx="2">
                  <c:v>8.7210930000000015</c:v>
                </c:pt>
                <c:pt idx="3">
                  <c:v>0.55125199999999996</c:v>
                </c:pt>
              </c:numCache>
            </c:numRef>
          </c:val>
          <c:extLst>
            <c:ext xmlns:c16="http://schemas.microsoft.com/office/drawing/2014/chart" uri="{C3380CC4-5D6E-409C-BE32-E72D297353CC}">
              <c16:uniqueId val="{00000004-E9F6-4EE2-98CB-DE5E73B25B71}"/>
            </c:ext>
          </c:extLst>
        </c:ser>
        <c:ser>
          <c:idx val="5"/>
          <c:order val="5"/>
          <c:tx>
            <c:strRef>
              <c:f>'Graph 1'!$A$25</c:f>
              <c:strCache>
                <c:ptCount val="1"/>
                <c:pt idx="0">
                  <c:v>Pétrole (dont pétrole raffiné)</c:v>
                </c:pt>
              </c:strCache>
            </c:strRef>
          </c:tx>
          <c:spPr>
            <a:solidFill>
              <a:schemeClr val="accent4"/>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1'!$B$25:$E$25</c:f>
              <c:numCache>
                <c:formatCode>_(* #,##0.00_);_(* \(#,##0.00\);_(* "-"??_);_(@_)</c:formatCode>
                <c:ptCount val="4"/>
                <c:pt idx="0">
                  <c:v>79.491234999999989</c:v>
                </c:pt>
                <c:pt idx="1">
                  <c:v>0.67246600000000001</c:v>
                </c:pt>
                <c:pt idx="2">
                  <c:v>92.758415999999997</c:v>
                </c:pt>
                <c:pt idx="3">
                  <c:v>13.939647000000001</c:v>
                </c:pt>
              </c:numCache>
            </c:numRef>
          </c:val>
          <c:extLst>
            <c:ext xmlns:c16="http://schemas.microsoft.com/office/drawing/2014/chart" uri="{C3380CC4-5D6E-409C-BE32-E72D297353CC}">
              <c16:uniqueId val="{00000005-E9F6-4EE2-98CB-DE5E73B25B71}"/>
            </c:ext>
          </c:extLst>
        </c:ser>
        <c:ser>
          <c:idx val="6"/>
          <c:order val="6"/>
          <c:tx>
            <c:strRef>
              <c:f>'Graph 1'!$A$26</c:f>
              <c:strCache>
                <c:ptCount val="1"/>
                <c:pt idx="0">
                  <c:v>Gaz naturels et produits dérivés</c:v>
                </c:pt>
              </c:strCache>
            </c:strRef>
          </c:tx>
          <c:spPr>
            <a:solidFill>
              <a:schemeClr val="accent5"/>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1'!$B$26:$E$26</c:f>
              <c:numCache>
                <c:formatCode>_(* #,##0.00_);_(* \(#,##0.00\);_(* "-"??_);_(@_)</c:formatCode>
                <c:ptCount val="4"/>
                <c:pt idx="0">
                  <c:v>22.879666000000004</c:v>
                </c:pt>
                <c:pt idx="1">
                  <c:v>1.7814E-2</c:v>
                </c:pt>
                <c:pt idx="2">
                  <c:v>26.931561000000002</c:v>
                </c:pt>
                <c:pt idx="3">
                  <c:v>4.0697089999999996</c:v>
                </c:pt>
              </c:numCache>
            </c:numRef>
          </c:val>
          <c:extLst>
            <c:ext xmlns:c16="http://schemas.microsoft.com/office/drawing/2014/chart" uri="{C3380CC4-5D6E-409C-BE32-E72D297353CC}">
              <c16:uniqueId val="{00000006-E9F6-4EE2-98CB-DE5E73B25B71}"/>
            </c:ext>
          </c:extLst>
        </c:ser>
        <c:ser>
          <c:idx val="7"/>
          <c:order val="7"/>
          <c:tx>
            <c:strRef>
              <c:f>'Graph 1'!$A$27</c:f>
              <c:strCache>
                <c:ptCount val="1"/>
                <c:pt idx="0">
                  <c:v>Produits à base dominante de combustibles fossiles</c:v>
                </c:pt>
              </c:strCache>
            </c:strRef>
          </c:tx>
          <c:spPr>
            <a:solidFill>
              <a:srgbClr val="002060"/>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1'!$B$27:$E$27</c:f>
              <c:numCache>
                <c:formatCode>_(* #,##0.00_);_(* \(#,##0.00\);_(* "-"??_);_(@_)</c:formatCode>
                <c:ptCount val="4"/>
                <c:pt idx="0">
                  <c:v>4.4385110000000125</c:v>
                </c:pt>
                <c:pt idx="1">
                  <c:v>0</c:v>
                </c:pt>
                <c:pt idx="2">
                  <c:v>22.84505200000001</c:v>
                </c:pt>
                <c:pt idx="3">
                  <c:v>18.406540999999997</c:v>
                </c:pt>
              </c:numCache>
            </c:numRef>
          </c:val>
          <c:extLst>
            <c:ext xmlns:c16="http://schemas.microsoft.com/office/drawing/2014/chart" uri="{C3380CC4-5D6E-409C-BE32-E72D297353CC}">
              <c16:uniqueId val="{00000007-E9F6-4EE2-98CB-DE5E73B25B71}"/>
            </c:ext>
          </c:extLst>
        </c:ser>
        <c:ser>
          <c:idx val="8"/>
          <c:order val="8"/>
          <c:tx>
            <c:strRef>
              <c:f>'Graph 1'!$A$28</c:f>
              <c:strCache>
                <c:ptCount val="1"/>
                <c:pt idx="0">
                  <c:v>Autres produits</c:v>
                </c:pt>
              </c:strCache>
            </c:strRef>
          </c:tx>
          <c:spPr>
            <a:solidFill>
              <a:schemeClr val="bg2">
                <a:lumMod val="50000"/>
              </a:schemeClr>
            </a:solidFill>
            <a:ln>
              <a:noFill/>
            </a:ln>
            <a:effectLst/>
          </c:spPr>
          <c:invertIfNegative val="0"/>
          <c:cat>
            <c:strRef>
              <c:f>'Graph 1'!$B$19:$E$19</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1'!$B$28:$E$28</c:f>
              <c:numCache>
                <c:formatCode>_(* #,##0.00_);_(* \(#,##0.00\);_(* "-"??_);_(@_)</c:formatCode>
                <c:ptCount val="4"/>
                <c:pt idx="0">
                  <c:v>7.814409999999981</c:v>
                </c:pt>
                <c:pt idx="1">
                  <c:v>0</c:v>
                </c:pt>
                <c:pt idx="2">
                  <c:v>27.094042999999999</c:v>
                </c:pt>
                <c:pt idx="3">
                  <c:v>19.279633000000018</c:v>
                </c:pt>
              </c:numCache>
            </c:numRef>
          </c:val>
          <c:extLst>
            <c:ext xmlns:c16="http://schemas.microsoft.com/office/drawing/2014/chart" uri="{C3380CC4-5D6E-409C-BE32-E72D297353CC}">
              <c16:uniqueId val="{00000008-E9F6-4EE2-98CB-DE5E73B25B71}"/>
            </c:ext>
          </c:extLst>
        </c:ser>
        <c:dLbls>
          <c:showLegendKey val="0"/>
          <c:showVal val="0"/>
          <c:showCatName val="0"/>
          <c:showSerName val="0"/>
          <c:showPercent val="0"/>
          <c:showBubbleSize val="0"/>
        </c:dLbls>
        <c:gapWidth val="150"/>
        <c:overlap val="100"/>
        <c:axId val="1839344912"/>
        <c:axId val="1"/>
      </c:barChart>
      <c:catAx>
        <c:axId val="183934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
        <c:crosses val="autoZero"/>
        <c:auto val="1"/>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39344912"/>
        <c:crosses val="autoZero"/>
        <c:crossBetween val="between"/>
      </c:valAx>
      <c:spPr>
        <a:noFill/>
        <a:ln w="25400">
          <a:noFill/>
        </a:ln>
      </c:spPr>
    </c:plotArea>
    <c:legend>
      <c:legendPos val="r"/>
      <c:layout>
        <c:manualLayout>
          <c:xMode val="edge"/>
          <c:yMode val="edge"/>
          <c:x val="0.12468595519191672"/>
          <c:y val="0.57358638298571873"/>
          <c:w val="0.86177503724481219"/>
          <c:h val="0.411485883446276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'Graph 1'!$A$55</c:f>
              <c:strCache>
                <c:ptCount val="1"/>
                <c:pt idx="0">
                  <c:v>Biomasse : produits issus de l'agriculture et de la pêche</c:v>
                </c:pt>
              </c:strCache>
            </c:strRef>
          </c:tx>
          <c:spPr>
            <a:solidFill>
              <a:schemeClr val="accent3"/>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1'!$B$55:$E$55</c:f>
              <c:numCache>
                <c:formatCode>_-* #\ ##0_-;\-* #\ ##0_-;_-* "-"??_-;_-@_-</c:formatCode>
                <c:ptCount val="4"/>
                <c:pt idx="0">
                  <c:v>26.324361483874796</c:v>
                </c:pt>
                <c:pt idx="1">
                  <c:v>35.656390423949041</c:v>
                </c:pt>
                <c:pt idx="2">
                  <c:v>15.43363148856962</c:v>
                </c:pt>
                <c:pt idx="3">
                  <c:v>36.631376250433824</c:v>
                </c:pt>
              </c:numCache>
            </c:numRef>
          </c:val>
          <c:extLst>
            <c:ext xmlns:c16="http://schemas.microsoft.com/office/drawing/2014/chart" uri="{C3380CC4-5D6E-409C-BE32-E72D297353CC}">
              <c16:uniqueId val="{00000000-E907-45E3-992A-BBC61A674BA5}"/>
            </c:ext>
          </c:extLst>
        </c:ser>
        <c:ser>
          <c:idx val="1"/>
          <c:order val="1"/>
          <c:tx>
            <c:strRef>
              <c:f>'Graph 1'!$A$56</c:f>
              <c:strCache>
                <c:ptCount val="1"/>
                <c:pt idx="0">
                  <c:v>Bois et produits dérivés</c:v>
                </c:pt>
              </c:strCache>
            </c:strRef>
          </c:tx>
          <c:spPr>
            <a:solidFill>
              <a:schemeClr val="accent6">
                <a:lumMod val="50000"/>
              </a:schemeClr>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1'!$B$56:$E$56</c:f>
              <c:numCache>
                <c:formatCode>_-* #\ ##0_-;\-* #\ ##0_-;_-* "-"??_-;_-@_-</c:formatCode>
                <c:ptCount val="4"/>
                <c:pt idx="0">
                  <c:v>2.9004248297759969</c:v>
                </c:pt>
                <c:pt idx="1">
                  <c:v>3.4673922194763431</c:v>
                </c:pt>
                <c:pt idx="2">
                  <c:v>2.4851311871315125</c:v>
                </c:pt>
                <c:pt idx="3">
                  <c:v>3.9383314360321608</c:v>
                </c:pt>
              </c:numCache>
            </c:numRef>
          </c:val>
          <c:extLst>
            <c:ext xmlns:c16="http://schemas.microsoft.com/office/drawing/2014/chart" uri="{C3380CC4-5D6E-409C-BE32-E72D297353CC}">
              <c16:uniqueId val="{00000001-E907-45E3-992A-BBC61A674BA5}"/>
            </c:ext>
          </c:extLst>
        </c:ser>
        <c:ser>
          <c:idx val="2"/>
          <c:order val="2"/>
          <c:tx>
            <c:strRef>
              <c:f>'Graph 1'!$A$57</c:f>
              <c:strCache>
                <c:ptCount val="1"/>
                <c:pt idx="0">
                  <c:v>Minerais métalliques et produits à base dominante de métal</c:v>
                </c:pt>
              </c:strCache>
            </c:strRef>
          </c:tx>
          <c:spPr>
            <a:solidFill>
              <a:schemeClr val="bg1">
                <a:lumMod val="65000"/>
              </a:schemeClr>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1'!$B$57:$E$57</c:f>
              <c:numCache>
                <c:formatCode>_-* #\ ##0_-;\-* #\ ##0_-;_-* "-"??_-;_-@_-</c:formatCode>
                <c:ptCount val="4"/>
                <c:pt idx="0">
                  <c:v>2.2298262145622889</c:v>
                </c:pt>
                <c:pt idx="1">
                  <c:v>3.6406925595734108E-2</c:v>
                </c:pt>
                <c:pt idx="2">
                  <c:v>17.357098709197697</c:v>
                </c:pt>
                <c:pt idx="3">
                  <c:v>20.808305315194374</c:v>
                </c:pt>
              </c:numCache>
            </c:numRef>
          </c:val>
          <c:extLst>
            <c:ext xmlns:c16="http://schemas.microsoft.com/office/drawing/2014/chart" uri="{C3380CC4-5D6E-409C-BE32-E72D297353CC}">
              <c16:uniqueId val="{00000002-E907-45E3-992A-BBC61A674BA5}"/>
            </c:ext>
          </c:extLst>
        </c:ser>
        <c:ser>
          <c:idx val="3"/>
          <c:order val="3"/>
          <c:tx>
            <c:strRef>
              <c:f>'Graph 1'!$A$58</c:f>
              <c:strCache>
                <c:ptCount val="1"/>
                <c:pt idx="0">
                  <c:v>Minéraux non métalliques et produits à dominante non métallique</c:v>
                </c:pt>
              </c:strCache>
            </c:strRef>
          </c:tx>
          <c:spPr>
            <a:solidFill>
              <a:srgbClr val="FFC000"/>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1'!$B$58:$E$58</c:f>
              <c:numCache>
                <c:formatCode>_-* #\ ##0_-;\-* #\ ##0_-;_-* "-"??_-;_-@_-</c:formatCode>
                <c:ptCount val="4"/>
                <c:pt idx="0">
                  <c:v>53.047719903408542</c:v>
                </c:pt>
                <c:pt idx="1">
                  <c:v>60.733551984751998</c:v>
                </c:pt>
                <c:pt idx="2">
                  <c:v>14.538340183986284</c:v>
                </c:pt>
                <c:pt idx="3">
                  <c:v>12.173697364375192</c:v>
                </c:pt>
              </c:numCache>
            </c:numRef>
          </c:val>
          <c:extLst>
            <c:ext xmlns:c16="http://schemas.microsoft.com/office/drawing/2014/chart" uri="{C3380CC4-5D6E-409C-BE32-E72D297353CC}">
              <c16:uniqueId val="{00000003-E907-45E3-992A-BBC61A674BA5}"/>
            </c:ext>
          </c:extLst>
        </c:ser>
        <c:ser>
          <c:idx val="4"/>
          <c:order val="4"/>
          <c:tx>
            <c:strRef>
              <c:f>'Graph 1'!$A$59</c:f>
              <c:strCache>
                <c:ptCount val="1"/>
                <c:pt idx="0">
                  <c:v>Charbons et produits dérivés</c:v>
                </c:pt>
              </c:strCache>
            </c:strRef>
          </c:tx>
          <c:spPr>
            <a:solidFill>
              <a:schemeClr val="tx1"/>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1'!$B$59:$E$59</c:f>
              <c:numCache>
                <c:formatCode>_-* #\ ##0_-;\-* #\ ##0_-;_-* "-"??_-;_-@_-</c:formatCode>
                <c:ptCount val="4"/>
                <c:pt idx="0">
                  <c:v>1.0311076061352429</c:v>
                </c:pt>
                <c:pt idx="1">
                  <c:v>0</c:v>
                </c:pt>
                <c:pt idx="2">
                  <c:v>2.4540208045056033</c:v>
                </c:pt>
                <c:pt idx="3">
                  <c:v>0.25920900785581247</c:v>
                </c:pt>
              </c:numCache>
            </c:numRef>
          </c:val>
          <c:extLst>
            <c:ext xmlns:c16="http://schemas.microsoft.com/office/drawing/2014/chart" uri="{C3380CC4-5D6E-409C-BE32-E72D297353CC}">
              <c16:uniqueId val="{00000004-E907-45E3-992A-BBC61A674BA5}"/>
            </c:ext>
          </c:extLst>
        </c:ser>
        <c:ser>
          <c:idx val="5"/>
          <c:order val="5"/>
          <c:tx>
            <c:strRef>
              <c:f>'Graph 1'!$A$60</c:f>
              <c:strCache>
                <c:ptCount val="1"/>
                <c:pt idx="0">
                  <c:v>Pétrole (dont pétrole raffiné)</c:v>
                </c:pt>
              </c:strCache>
            </c:strRef>
          </c:tx>
          <c:spPr>
            <a:solidFill>
              <a:srgbClr val="7030A0"/>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1'!$B$60:$E$60</c:f>
              <c:numCache>
                <c:formatCode>_-* #\ ##0_-;\-* #\ ##0_-;_-* "-"??_-;_-@_-</c:formatCode>
                <c:ptCount val="4"/>
                <c:pt idx="0">
                  <c:v>10.032510673045412</c:v>
                </c:pt>
                <c:pt idx="1">
                  <c:v>0.10351624311930649</c:v>
                </c:pt>
                <c:pt idx="2">
                  <c:v>26.101210325011483</c:v>
                </c:pt>
                <c:pt idx="3">
                  <c:v>6.5546829194819303</c:v>
                </c:pt>
              </c:numCache>
            </c:numRef>
          </c:val>
          <c:extLst>
            <c:ext xmlns:c16="http://schemas.microsoft.com/office/drawing/2014/chart" uri="{C3380CC4-5D6E-409C-BE32-E72D297353CC}">
              <c16:uniqueId val="{00000005-E907-45E3-992A-BBC61A674BA5}"/>
            </c:ext>
          </c:extLst>
        </c:ser>
        <c:ser>
          <c:idx val="6"/>
          <c:order val="6"/>
          <c:tx>
            <c:strRef>
              <c:f>'Graph 1'!$A$61</c:f>
              <c:strCache>
                <c:ptCount val="1"/>
                <c:pt idx="0">
                  <c:v>Gaz naturels et produits dérivés</c:v>
                </c:pt>
              </c:strCache>
            </c:strRef>
          </c:tx>
          <c:spPr>
            <a:solidFill>
              <a:srgbClr val="00B0F0"/>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1'!$B$61:$E$61</c:f>
              <c:numCache>
                <c:formatCode>_-* #\ ##0_-;\-* #\ ##0_-;_-* "-"??_-;_-@_-</c:formatCode>
                <c:ptCount val="4"/>
                <c:pt idx="0">
                  <c:v>2.8876201676916242</c:v>
                </c:pt>
                <c:pt idx="1">
                  <c:v>2.7422031075583385E-3</c:v>
                </c:pt>
                <c:pt idx="2">
                  <c:v>7.5782486199621673</c:v>
                </c:pt>
                <c:pt idx="3">
                  <c:v>1.913653342122787</c:v>
                </c:pt>
              </c:numCache>
            </c:numRef>
          </c:val>
          <c:extLst>
            <c:ext xmlns:c16="http://schemas.microsoft.com/office/drawing/2014/chart" uri="{C3380CC4-5D6E-409C-BE32-E72D297353CC}">
              <c16:uniqueId val="{00000006-E907-45E3-992A-BBC61A674BA5}"/>
            </c:ext>
          </c:extLst>
        </c:ser>
        <c:ser>
          <c:idx val="7"/>
          <c:order val="7"/>
          <c:tx>
            <c:strRef>
              <c:f>'Graph 1'!$A$62</c:f>
              <c:strCache>
                <c:ptCount val="1"/>
                <c:pt idx="0">
                  <c:v>Produits à base dominante de combustibles fossiles</c:v>
                </c:pt>
              </c:strCache>
            </c:strRef>
          </c:tx>
          <c:spPr>
            <a:solidFill>
              <a:srgbClr val="002060"/>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1'!$B$62:$E$62</c:f>
              <c:numCache>
                <c:formatCode>_-* #\ ##0_-;\-* #\ ##0_-;_-* "-"??_-;_-@_-</c:formatCode>
                <c:ptCount val="4"/>
                <c:pt idx="0">
                  <c:v>0.56018011268701007</c:v>
                </c:pt>
                <c:pt idx="1">
                  <c:v>0</c:v>
                </c:pt>
                <c:pt idx="2">
                  <c:v>6.42834939244569</c:v>
                </c:pt>
                <c:pt idx="3">
                  <c:v>8.6551000824801232</c:v>
                </c:pt>
              </c:numCache>
            </c:numRef>
          </c:val>
          <c:extLst>
            <c:ext xmlns:c16="http://schemas.microsoft.com/office/drawing/2014/chart" uri="{C3380CC4-5D6E-409C-BE32-E72D297353CC}">
              <c16:uniqueId val="{00000007-E907-45E3-992A-BBC61A674BA5}"/>
            </c:ext>
          </c:extLst>
        </c:ser>
        <c:ser>
          <c:idx val="8"/>
          <c:order val="8"/>
          <c:tx>
            <c:strRef>
              <c:f>'Graph 1'!$A$63</c:f>
              <c:strCache>
                <c:ptCount val="1"/>
                <c:pt idx="0">
                  <c:v>Autres produits</c:v>
                </c:pt>
              </c:strCache>
            </c:strRef>
          </c:tx>
          <c:spPr>
            <a:solidFill>
              <a:schemeClr val="accent3">
                <a:lumMod val="60000"/>
              </a:schemeClr>
            </a:solidFill>
            <a:ln>
              <a:noFill/>
            </a:ln>
            <a:effectLst/>
          </c:spPr>
          <c:invertIfNegative val="0"/>
          <c:cat>
            <c:strRef>
              <c:f>'Graph 1'!$B$54:$E$54</c:f>
              <c:strCache>
                <c:ptCount val="4"/>
                <c:pt idx="0">
                  <c:v>Total (consommation intérieure de matières, DMC)</c:v>
                </c:pt>
                <c:pt idx="1">
                  <c:v>Extraction intérieure </c:v>
                </c:pt>
                <c:pt idx="2">
                  <c:v>Importation apparente (matériaux et produits)</c:v>
                </c:pt>
                <c:pt idx="3">
                  <c:v>Exportation apparente (matériaux et produits)</c:v>
                </c:pt>
              </c:strCache>
            </c:strRef>
          </c:cat>
          <c:val>
            <c:numRef>
              <c:f>'Graph 1'!$B$63:$E$63</c:f>
              <c:numCache>
                <c:formatCode>_-* #\ ##0_-;\-* #\ ##0_-;_-* "-"??_-;_-@_-</c:formatCode>
                <c:ptCount val="4"/>
                <c:pt idx="0">
                  <c:v>0.98624900881905553</c:v>
                </c:pt>
                <c:pt idx="1">
                  <c:v>0</c:v>
                </c:pt>
                <c:pt idx="2">
                  <c:v>7.6239692891899438</c:v>
                </c:pt>
                <c:pt idx="3">
                  <c:v>9.0656442820238041</c:v>
                </c:pt>
              </c:numCache>
            </c:numRef>
          </c:val>
          <c:extLst>
            <c:ext xmlns:c16="http://schemas.microsoft.com/office/drawing/2014/chart" uri="{C3380CC4-5D6E-409C-BE32-E72D297353CC}">
              <c16:uniqueId val="{00000008-E907-45E3-992A-BBC61A674BA5}"/>
            </c:ext>
          </c:extLst>
        </c:ser>
        <c:dLbls>
          <c:showLegendKey val="0"/>
          <c:showVal val="0"/>
          <c:showCatName val="0"/>
          <c:showSerName val="0"/>
          <c:showPercent val="0"/>
          <c:showBubbleSize val="0"/>
        </c:dLbls>
        <c:gapWidth val="150"/>
        <c:overlap val="100"/>
        <c:axId val="1839349904"/>
        <c:axId val="1"/>
      </c:barChart>
      <c:catAx>
        <c:axId val="183934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
        <c:crosses val="autoZero"/>
        <c:auto val="1"/>
        <c:lblAlgn val="ctr"/>
        <c:lblOffset val="100"/>
        <c:noMultiLvlLbl val="0"/>
      </c:catAx>
      <c:valAx>
        <c:axId val="1"/>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39349904"/>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'Graph 2'!$A$13</c:f>
              <c:strCache>
                <c:ptCount val="1"/>
                <c:pt idx="0">
                  <c:v>Biomasse</c:v>
                </c:pt>
              </c:strCache>
            </c:strRef>
          </c:tx>
          <c:spPr>
            <a:ln w="28575" cap="rnd">
              <a:solidFill>
                <a:schemeClr val="accent3"/>
              </a:solidFill>
              <a:round/>
            </a:ln>
            <a:effectLst/>
          </c:spPr>
          <c:marker>
            <c:symbol val="none"/>
          </c:marker>
          <c:cat>
            <c:numRef>
              <c:f>'Graph 2'!$B$12:$AG$12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2'!$B$13:$AG$13</c:f>
              <c:numCache>
                <c:formatCode>_-* #\ ##0_-;\-* #\ ##0_-;_-* "-"??_-;_-@_-</c:formatCode>
                <c:ptCount val="32"/>
                <c:pt idx="0">
                  <c:v>100</c:v>
                </c:pt>
                <c:pt idx="1">
                  <c:v>104.83737797365771</c:v>
                </c:pt>
                <c:pt idx="2">
                  <c:v>114.66862086138869</c:v>
                </c:pt>
                <c:pt idx="3">
                  <c:v>108.1679230991508</c:v>
                </c:pt>
                <c:pt idx="4">
                  <c:v>110.83709670363977</c:v>
                </c:pt>
                <c:pt idx="5">
                  <c:v>106.21997245395647</c:v>
                </c:pt>
                <c:pt idx="6">
                  <c:v>107.99861637880083</c:v>
                </c:pt>
                <c:pt idx="7">
                  <c:v>112.90943560981295</c:v>
                </c:pt>
                <c:pt idx="8">
                  <c:v>115.39345301171757</c:v>
                </c:pt>
                <c:pt idx="9">
                  <c:v>116.78732915307893</c:v>
                </c:pt>
                <c:pt idx="10">
                  <c:v>122.08725718968931</c:v>
                </c:pt>
                <c:pt idx="11">
                  <c:v>112.40162909321477</c:v>
                </c:pt>
                <c:pt idx="12">
                  <c:v>120.94592792090853</c:v>
                </c:pt>
                <c:pt idx="13">
                  <c:v>95.022196181967701</c:v>
                </c:pt>
                <c:pt idx="14">
                  <c:v>124.54540970220891</c:v>
                </c:pt>
                <c:pt idx="15">
                  <c:v>111.7469038132465</c:v>
                </c:pt>
                <c:pt idx="16">
                  <c:v>112.36968961397966</c:v>
                </c:pt>
                <c:pt idx="17">
                  <c:v>123.26709037432964</c:v>
                </c:pt>
                <c:pt idx="18">
                  <c:v>126.48564085208452</c:v>
                </c:pt>
                <c:pt idx="19">
                  <c:v>123.6140557025341</c:v>
                </c:pt>
                <c:pt idx="20">
                  <c:v>111.05332584651519</c:v>
                </c:pt>
                <c:pt idx="21">
                  <c:v>110.32822232107327</c:v>
                </c:pt>
                <c:pt idx="22">
                  <c:v>116.92290502453962</c:v>
                </c:pt>
                <c:pt idx="23">
                  <c:v>114.95933512509487</c:v>
                </c:pt>
                <c:pt idx="24">
                  <c:v>126.76141429932291</c:v>
                </c:pt>
                <c:pt idx="25">
                  <c:v>111.20385282122595</c:v>
                </c:pt>
                <c:pt idx="26">
                  <c:v>104.13723116168092</c:v>
                </c:pt>
                <c:pt idx="27">
                  <c:v>122.05694498143896</c:v>
                </c:pt>
                <c:pt idx="28">
                  <c:v>107.49944782022349</c:v>
                </c:pt>
                <c:pt idx="29">
                  <c:v>110.94980113935419</c:v>
                </c:pt>
                <c:pt idx="30">
                  <c:v>97.955326170108009</c:v>
                </c:pt>
                <c:pt idx="31">
                  <c:v>113.42824457481227</c:v>
                </c:pt>
              </c:numCache>
            </c:numRef>
          </c:val>
          <c:smooth val="0"/>
          <c:extLst>
            <c:ext xmlns:c16="http://schemas.microsoft.com/office/drawing/2014/chart" uri="{C3380CC4-5D6E-409C-BE32-E72D297353CC}">
              <c16:uniqueId val="{00000000-34FF-4383-B147-C367CEF506B0}"/>
            </c:ext>
          </c:extLst>
        </c:ser>
        <c:ser>
          <c:idx val="1"/>
          <c:order val="1"/>
          <c:tx>
            <c:strRef>
              <c:f>'Graph 2'!$A$14</c:f>
              <c:strCache>
                <c:ptCount val="1"/>
                <c:pt idx="0">
                  <c:v>Minerais métalliques et produits principalement métalliques </c:v>
                </c:pt>
              </c:strCache>
            </c:strRef>
          </c:tx>
          <c:spPr>
            <a:ln w="28575" cap="rnd">
              <a:solidFill>
                <a:schemeClr val="bg1">
                  <a:lumMod val="50000"/>
                </a:schemeClr>
              </a:solidFill>
              <a:round/>
            </a:ln>
            <a:effectLst/>
          </c:spPr>
          <c:marker>
            <c:symbol val="none"/>
          </c:marker>
          <c:cat>
            <c:numRef>
              <c:f>'Graph 2'!$B$12:$AG$12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2'!$B$14:$AG$14</c:f>
              <c:numCache>
                <c:formatCode>_-* #\ ##0_-;\-* #\ ##0_-;_-* "-"??_-;_-@_-</c:formatCode>
                <c:ptCount val="32"/>
                <c:pt idx="0">
                  <c:v>100</c:v>
                </c:pt>
                <c:pt idx="1">
                  <c:v>86.380218133267633</c:v>
                </c:pt>
                <c:pt idx="2">
                  <c:v>76.207264212410209</c:v>
                </c:pt>
                <c:pt idx="3">
                  <c:v>52.164108824255273</c:v>
                </c:pt>
                <c:pt idx="4">
                  <c:v>68.714164968313526</c:v>
                </c:pt>
                <c:pt idx="5">
                  <c:v>76.859972829722921</c:v>
                </c:pt>
                <c:pt idx="6">
                  <c:v>60.835968516963405</c:v>
                </c:pt>
                <c:pt idx="7">
                  <c:v>63.492330756383275</c:v>
                </c:pt>
                <c:pt idx="8">
                  <c:v>70.828531549972311</c:v>
                </c:pt>
                <c:pt idx="9">
                  <c:v>70.004582796068178</c:v>
                </c:pt>
                <c:pt idx="10">
                  <c:v>78.613932030594199</c:v>
                </c:pt>
                <c:pt idx="11">
                  <c:v>62.4469796938657</c:v>
                </c:pt>
                <c:pt idx="12">
                  <c:v>61.757239709781189</c:v>
                </c:pt>
                <c:pt idx="13">
                  <c:v>59.693116250395164</c:v>
                </c:pt>
                <c:pt idx="14">
                  <c:v>67.494646068470601</c:v>
                </c:pt>
                <c:pt idx="15">
                  <c:v>63.014636581101236</c:v>
                </c:pt>
                <c:pt idx="16">
                  <c:v>69.118612658413312</c:v>
                </c:pt>
                <c:pt idx="17">
                  <c:v>72.528544154600937</c:v>
                </c:pt>
                <c:pt idx="18">
                  <c:v>60.275846748897955</c:v>
                </c:pt>
                <c:pt idx="19">
                  <c:v>22.009256728626983</c:v>
                </c:pt>
                <c:pt idx="20">
                  <c:v>50.672229432978241</c:v>
                </c:pt>
                <c:pt idx="21">
                  <c:v>56.696907993867619</c:v>
                </c:pt>
                <c:pt idx="22">
                  <c:v>47.436948102693073</c:v>
                </c:pt>
                <c:pt idx="23">
                  <c:v>56.855081410823892</c:v>
                </c:pt>
                <c:pt idx="24">
                  <c:v>59.72064945441722</c:v>
                </c:pt>
                <c:pt idx="25">
                  <c:v>67.419888511941778</c:v>
                </c:pt>
                <c:pt idx="26">
                  <c:v>63.90019522164836</c:v>
                </c:pt>
                <c:pt idx="27">
                  <c:v>65.841867935130125</c:v>
                </c:pt>
                <c:pt idx="28">
                  <c:v>68.599593380144825</c:v>
                </c:pt>
                <c:pt idx="29">
                  <c:v>62.570705406218643</c:v>
                </c:pt>
                <c:pt idx="30">
                  <c:v>56.176030232759956</c:v>
                </c:pt>
                <c:pt idx="31">
                  <c:v>59.591948674572883</c:v>
                </c:pt>
              </c:numCache>
            </c:numRef>
          </c:val>
          <c:smooth val="0"/>
          <c:extLst>
            <c:ext xmlns:c16="http://schemas.microsoft.com/office/drawing/2014/chart" uri="{C3380CC4-5D6E-409C-BE32-E72D297353CC}">
              <c16:uniqueId val="{00000001-34FF-4383-B147-C367CEF506B0}"/>
            </c:ext>
          </c:extLst>
        </c:ser>
        <c:ser>
          <c:idx val="2"/>
          <c:order val="2"/>
          <c:tx>
            <c:strRef>
              <c:f>'Graph 2'!$A$15</c:f>
              <c:strCache>
                <c:ptCount val="1"/>
                <c:pt idx="0">
                  <c:v>Minéraux non métalliques</c:v>
                </c:pt>
              </c:strCache>
            </c:strRef>
          </c:tx>
          <c:spPr>
            <a:ln w="28575" cap="rnd">
              <a:solidFill>
                <a:schemeClr val="accent6"/>
              </a:solidFill>
              <a:round/>
            </a:ln>
            <a:effectLst/>
          </c:spPr>
          <c:marker>
            <c:symbol val="none"/>
          </c:marker>
          <c:cat>
            <c:numRef>
              <c:f>'Graph 2'!$B$12:$AG$12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2'!$B$15:$AG$15</c:f>
              <c:numCache>
                <c:formatCode>_-* #\ ##0_-;\-* #\ ##0_-;_-* "-"??_-;_-@_-</c:formatCode>
                <c:ptCount val="32"/>
                <c:pt idx="0">
                  <c:v>100</c:v>
                </c:pt>
                <c:pt idx="1">
                  <c:v>101.34623257678118</c:v>
                </c:pt>
                <c:pt idx="2">
                  <c:v>94.046537753100694</c:v>
                </c:pt>
                <c:pt idx="3">
                  <c:v>87.495414647602942</c:v>
                </c:pt>
                <c:pt idx="4">
                  <c:v>93.47672487222404</c:v>
                </c:pt>
                <c:pt idx="5">
                  <c:v>93.378134530318292</c:v>
                </c:pt>
                <c:pt idx="6">
                  <c:v>86.939956283543751</c:v>
                </c:pt>
                <c:pt idx="7">
                  <c:v>89.231694350110928</c:v>
                </c:pt>
                <c:pt idx="8">
                  <c:v>92.391242118078338</c:v>
                </c:pt>
                <c:pt idx="9">
                  <c:v>96.947704666470443</c:v>
                </c:pt>
                <c:pt idx="10">
                  <c:v>102.94458156312365</c:v>
                </c:pt>
                <c:pt idx="11">
                  <c:v>101.71237134126294</c:v>
                </c:pt>
                <c:pt idx="12">
                  <c:v>98.737457218314844</c:v>
                </c:pt>
                <c:pt idx="13">
                  <c:v>98.939876160308117</c:v>
                </c:pt>
                <c:pt idx="14">
                  <c:v>101.29553132818512</c:v>
                </c:pt>
                <c:pt idx="15">
                  <c:v>101.2020246442582</c:v>
                </c:pt>
                <c:pt idx="16">
                  <c:v>104.84283612235086</c:v>
                </c:pt>
                <c:pt idx="17">
                  <c:v>108.95605966474429</c:v>
                </c:pt>
                <c:pt idx="18">
                  <c:v>103.97076752144596</c:v>
                </c:pt>
                <c:pt idx="19">
                  <c:v>89.92709973066404</c:v>
                </c:pt>
                <c:pt idx="20">
                  <c:v>88.407168672495999</c:v>
                </c:pt>
                <c:pt idx="21">
                  <c:v>93.395095068818151</c:v>
                </c:pt>
                <c:pt idx="22">
                  <c:v>87.705390626764469</c:v>
                </c:pt>
                <c:pt idx="23">
                  <c:v>88.149085367274495</c:v>
                </c:pt>
                <c:pt idx="24">
                  <c:v>83.645596466403987</c:v>
                </c:pt>
                <c:pt idx="25">
                  <c:v>80.187113297840114</c:v>
                </c:pt>
                <c:pt idx="26">
                  <c:v>80.794621741251774</c:v>
                </c:pt>
                <c:pt idx="27">
                  <c:v>84.867779184664499</c:v>
                </c:pt>
                <c:pt idx="28">
                  <c:v>89.005531281581014</c:v>
                </c:pt>
                <c:pt idx="29">
                  <c:v>93.556152855057945</c:v>
                </c:pt>
                <c:pt idx="30">
                  <c:v>86.854649908064403</c:v>
                </c:pt>
                <c:pt idx="31">
                  <c:v>94.175363413543792</c:v>
                </c:pt>
              </c:numCache>
            </c:numRef>
          </c:val>
          <c:smooth val="0"/>
          <c:extLst>
            <c:ext xmlns:c16="http://schemas.microsoft.com/office/drawing/2014/chart" uri="{C3380CC4-5D6E-409C-BE32-E72D297353CC}">
              <c16:uniqueId val="{00000002-34FF-4383-B147-C367CEF506B0}"/>
            </c:ext>
          </c:extLst>
        </c:ser>
        <c:ser>
          <c:idx val="3"/>
          <c:order val="3"/>
          <c:tx>
            <c:strRef>
              <c:f>'Graph 2'!$A$16</c:f>
              <c:strCache>
                <c:ptCount val="1"/>
                <c:pt idx="0">
                  <c:v>Combustibles fossiles (charbon, pétrole, gaz naturel)</c:v>
                </c:pt>
              </c:strCache>
            </c:strRef>
          </c:tx>
          <c:spPr>
            <a:ln w="28575" cap="rnd">
              <a:solidFill>
                <a:schemeClr val="tx1"/>
              </a:solidFill>
              <a:round/>
            </a:ln>
            <a:effectLst/>
          </c:spPr>
          <c:marker>
            <c:symbol val="none"/>
          </c:marker>
          <c:cat>
            <c:numRef>
              <c:f>'Graph 2'!$B$12:$AG$12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2'!$B$16:$AG$16</c:f>
              <c:numCache>
                <c:formatCode>_-* #\ ##0_-;\-* #\ ##0_-;_-* "-"??_-;_-@_-</c:formatCode>
                <c:ptCount val="32"/>
                <c:pt idx="0">
                  <c:v>100</c:v>
                </c:pt>
                <c:pt idx="1">
                  <c:v>104.80088542125276</c:v>
                </c:pt>
                <c:pt idx="2">
                  <c:v>104.72344949137656</c:v>
                </c:pt>
                <c:pt idx="3">
                  <c:v>94.938598538019093</c:v>
                </c:pt>
                <c:pt idx="4">
                  <c:v>95.427596489269376</c:v>
                </c:pt>
                <c:pt idx="5">
                  <c:v>95.478967207388393</c:v>
                </c:pt>
                <c:pt idx="6">
                  <c:v>101.54056971435874</c:v>
                </c:pt>
                <c:pt idx="7">
                  <c:v>98.195235383502364</c:v>
                </c:pt>
                <c:pt idx="8">
                  <c:v>99.841505350702192</c:v>
                </c:pt>
                <c:pt idx="9">
                  <c:v>101.64577762886972</c:v>
                </c:pt>
                <c:pt idx="10">
                  <c:v>102.15222487110121</c:v>
                </c:pt>
                <c:pt idx="11">
                  <c:v>99.510343546233244</c:v>
                </c:pt>
                <c:pt idx="12">
                  <c:v>100.23917112271035</c:v>
                </c:pt>
                <c:pt idx="13">
                  <c:v>100.31367763952268</c:v>
                </c:pt>
                <c:pt idx="14">
                  <c:v>105.09714385713671</c:v>
                </c:pt>
                <c:pt idx="15">
                  <c:v>105.13316592781612</c:v>
                </c:pt>
                <c:pt idx="16">
                  <c:v>104.73315471070784</c:v>
                </c:pt>
                <c:pt idx="17">
                  <c:v>99.47843113300334</c:v>
                </c:pt>
                <c:pt idx="18">
                  <c:v>100.98602922291937</c:v>
                </c:pt>
                <c:pt idx="19">
                  <c:v>92.188200374780237</c:v>
                </c:pt>
                <c:pt idx="20">
                  <c:v>97.271040435822272</c:v>
                </c:pt>
                <c:pt idx="21">
                  <c:v>95.811604659241056</c:v>
                </c:pt>
                <c:pt idx="22">
                  <c:v>93.627137097946857</c:v>
                </c:pt>
                <c:pt idx="23">
                  <c:v>95.009041896002017</c:v>
                </c:pt>
                <c:pt idx="24">
                  <c:v>85.907825279438427</c:v>
                </c:pt>
                <c:pt idx="25">
                  <c:v>88.44252796886866</c:v>
                </c:pt>
                <c:pt idx="26">
                  <c:v>89.280111714849326</c:v>
                </c:pt>
                <c:pt idx="27">
                  <c:v>91.030146087928514</c:v>
                </c:pt>
                <c:pt idx="28">
                  <c:v>90.132594849543423</c:v>
                </c:pt>
                <c:pt idx="29">
                  <c:v>89.057669838312449</c:v>
                </c:pt>
                <c:pt idx="30">
                  <c:v>73.354123732513415</c:v>
                </c:pt>
                <c:pt idx="31">
                  <c:v>78.623185296474404</c:v>
                </c:pt>
              </c:numCache>
            </c:numRef>
          </c:val>
          <c:smooth val="0"/>
          <c:extLst>
            <c:ext xmlns:c16="http://schemas.microsoft.com/office/drawing/2014/chart" uri="{C3380CC4-5D6E-409C-BE32-E72D297353CC}">
              <c16:uniqueId val="{00000003-34FF-4383-B147-C367CEF506B0}"/>
            </c:ext>
          </c:extLst>
        </c:ser>
        <c:ser>
          <c:idx val="4"/>
          <c:order val="4"/>
          <c:tx>
            <c:strRef>
              <c:f>'Graph 2'!$A$17</c:f>
              <c:strCache>
                <c:ptCount val="1"/>
                <c:pt idx="0">
                  <c:v>PIB</c:v>
                </c:pt>
              </c:strCache>
            </c:strRef>
          </c:tx>
          <c:spPr>
            <a:ln w="28575" cap="rnd">
              <a:solidFill>
                <a:srgbClr val="FF0000"/>
              </a:solidFill>
              <a:prstDash val="sysDash"/>
              <a:round/>
            </a:ln>
            <a:effectLst/>
          </c:spPr>
          <c:marker>
            <c:symbol val="none"/>
          </c:marker>
          <c:cat>
            <c:numRef>
              <c:f>'Graph 2'!$B$12:$AG$12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2'!$B$17:$AG$17</c:f>
              <c:numCache>
                <c:formatCode>_-* #\ ##0_-;\-* #\ ##0_-;_-* "-"??_-;_-@_-</c:formatCode>
                <c:ptCount val="32"/>
                <c:pt idx="0">
                  <c:v>100</c:v>
                </c:pt>
                <c:pt idx="1">
                  <c:v>101.04817582548236</c:v>
                </c:pt>
                <c:pt idx="2">
                  <c:v>102.66428244271715</c:v>
                </c:pt>
                <c:pt idx="3">
                  <c:v>102.01886662442257</c:v>
                </c:pt>
                <c:pt idx="4">
                  <c:v>104.42488816350352</c:v>
                </c:pt>
                <c:pt idx="5">
                  <c:v>106.62473332855949</c:v>
                </c:pt>
                <c:pt idx="6">
                  <c:v>108.13133408003588</c:v>
                </c:pt>
                <c:pt idx="7">
                  <c:v>110.65760265246041</c:v>
                </c:pt>
                <c:pt idx="8">
                  <c:v>114.6287271513748</c:v>
                </c:pt>
                <c:pt idx="9">
                  <c:v>118.55060441022883</c:v>
                </c:pt>
                <c:pt idx="10">
                  <c:v>123.20213796523103</c:v>
                </c:pt>
                <c:pt idx="11">
                  <c:v>125.64612514068227</c:v>
                </c:pt>
                <c:pt idx="12">
                  <c:v>127.0728764576575</c:v>
                </c:pt>
                <c:pt idx="13">
                  <c:v>128.11889053872022</c:v>
                </c:pt>
                <c:pt idx="14">
                  <c:v>131.74433859402845</c:v>
                </c:pt>
                <c:pt idx="15">
                  <c:v>133.93553678140574</c:v>
                </c:pt>
                <c:pt idx="16">
                  <c:v>137.21605149275206</c:v>
                </c:pt>
                <c:pt idx="17">
                  <c:v>140.54317881814728</c:v>
                </c:pt>
                <c:pt idx="18">
                  <c:v>140.90148795570585</c:v>
                </c:pt>
                <c:pt idx="19">
                  <c:v>136.85294598476241</c:v>
                </c:pt>
                <c:pt idx="20">
                  <c:v>139.52080881667459</c:v>
                </c:pt>
                <c:pt idx="21">
                  <c:v>142.5800824975714</c:v>
                </c:pt>
                <c:pt idx="22">
                  <c:v>143.02655027474424</c:v>
                </c:pt>
                <c:pt idx="23">
                  <c:v>143.85085044376561</c:v>
                </c:pt>
                <c:pt idx="24">
                  <c:v>145.22632788528702</c:v>
                </c:pt>
                <c:pt idx="25">
                  <c:v>146.84256961154804</c:v>
                </c:pt>
                <c:pt idx="26">
                  <c:v>148.4511776778271</c:v>
                </c:pt>
                <c:pt idx="27">
                  <c:v>151.85281763118749</c:v>
                </c:pt>
                <c:pt idx="28">
                  <c:v>154.68497303899383</c:v>
                </c:pt>
                <c:pt idx="29">
                  <c:v>157.53577349241971</c:v>
                </c:pt>
                <c:pt idx="30">
                  <c:v>145.65685279736482</c:v>
                </c:pt>
                <c:pt idx="31">
                  <c:v>155.03017660100818</c:v>
                </c:pt>
              </c:numCache>
            </c:numRef>
          </c:val>
          <c:smooth val="0"/>
          <c:extLst>
            <c:ext xmlns:c16="http://schemas.microsoft.com/office/drawing/2014/chart" uri="{C3380CC4-5D6E-409C-BE32-E72D297353CC}">
              <c16:uniqueId val="{00000004-34FF-4383-B147-C367CEF506B0}"/>
            </c:ext>
          </c:extLst>
        </c:ser>
        <c:ser>
          <c:idx val="5"/>
          <c:order val="5"/>
          <c:tx>
            <c:strRef>
              <c:f>'Graph 2'!$A$18</c:f>
              <c:strCache>
                <c:ptCount val="1"/>
                <c:pt idx="0">
                  <c:v>DMC </c:v>
                </c:pt>
              </c:strCache>
            </c:strRef>
          </c:tx>
          <c:spPr>
            <a:ln w="28575" cap="rnd">
              <a:solidFill>
                <a:schemeClr val="accent4"/>
              </a:solidFill>
              <a:prstDash val="sysDot"/>
              <a:round/>
            </a:ln>
            <a:effectLst/>
          </c:spPr>
          <c:marker>
            <c:symbol val="none"/>
          </c:marker>
          <c:cat>
            <c:numRef>
              <c:f>'Graph 2'!$B$12:$AG$12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2'!$B$18:$AG$18</c:f>
              <c:numCache>
                <c:formatCode>_-* #\ ##0_-;\-* #\ ##0_-;_-* "-"??_-;_-@_-</c:formatCode>
                <c:ptCount val="32"/>
                <c:pt idx="0">
                  <c:v>100</c:v>
                </c:pt>
                <c:pt idx="1">
                  <c:v>102.21898968938108</c:v>
                </c:pt>
                <c:pt idx="2">
                  <c:v>100.24758573756169</c:v>
                </c:pt>
                <c:pt idx="3">
                  <c:v>92.366589798623778</c:v>
                </c:pt>
                <c:pt idx="4">
                  <c:v>97.017039225344803</c:v>
                </c:pt>
                <c:pt idx="5">
                  <c:v>96.147303401009722</c:v>
                </c:pt>
                <c:pt idx="6">
                  <c:v>93.457470055493232</c:v>
                </c:pt>
                <c:pt idx="7">
                  <c:v>95.424742042288187</c:v>
                </c:pt>
                <c:pt idx="8">
                  <c:v>98.362910358211792</c:v>
                </c:pt>
                <c:pt idx="9">
                  <c:v>101.43150952945466</c:v>
                </c:pt>
                <c:pt idx="10">
                  <c:v>106.37392357112783</c:v>
                </c:pt>
                <c:pt idx="11">
                  <c:v>102.30155009793582</c:v>
                </c:pt>
                <c:pt idx="12">
                  <c:v>102.91163284567666</c:v>
                </c:pt>
                <c:pt idx="13">
                  <c:v>96.734745125892459</c:v>
                </c:pt>
                <c:pt idx="14">
                  <c:v>106.42739306020104</c:v>
                </c:pt>
                <c:pt idx="15">
                  <c:v>103.10104528288393</c:v>
                </c:pt>
                <c:pt idx="16">
                  <c:v>105.38410857147353</c:v>
                </c:pt>
                <c:pt idx="17">
                  <c:v>109.65766236829137</c:v>
                </c:pt>
                <c:pt idx="18">
                  <c:v>107.53444941054333</c:v>
                </c:pt>
                <c:pt idx="19">
                  <c:v>96.216344185485241</c:v>
                </c:pt>
                <c:pt idx="20">
                  <c:v>94.365821917938092</c:v>
                </c:pt>
                <c:pt idx="21">
                  <c:v>96.981236718923284</c:v>
                </c:pt>
                <c:pt idx="22">
                  <c:v>94.739741061015664</c:v>
                </c:pt>
                <c:pt idx="23">
                  <c:v>94.985797545790504</c:v>
                </c:pt>
                <c:pt idx="24">
                  <c:v>93.964402802620057</c:v>
                </c:pt>
                <c:pt idx="25">
                  <c:v>88.968624621467995</c:v>
                </c:pt>
                <c:pt idx="26">
                  <c:v>87.67463034676382</c:v>
                </c:pt>
                <c:pt idx="27">
                  <c:v>94.674659785721829</c:v>
                </c:pt>
                <c:pt idx="28">
                  <c:v>93.361313295643242</c:v>
                </c:pt>
                <c:pt idx="29">
                  <c:v>96.098108748328542</c:v>
                </c:pt>
                <c:pt idx="30">
                  <c:v>86.318943421787495</c:v>
                </c:pt>
                <c:pt idx="31">
                  <c:v>95.288035910905862</c:v>
                </c:pt>
              </c:numCache>
            </c:numRef>
          </c:val>
          <c:smooth val="0"/>
          <c:extLst>
            <c:ext xmlns:c16="http://schemas.microsoft.com/office/drawing/2014/chart" uri="{C3380CC4-5D6E-409C-BE32-E72D297353CC}">
              <c16:uniqueId val="{00000005-34FF-4383-B147-C367CEF506B0}"/>
            </c:ext>
          </c:extLst>
        </c:ser>
        <c:dLbls>
          <c:showLegendKey val="0"/>
          <c:showVal val="0"/>
          <c:showCatName val="0"/>
          <c:showSerName val="0"/>
          <c:showPercent val="0"/>
          <c:showBubbleSize val="0"/>
        </c:dLbls>
        <c:smooth val="0"/>
        <c:axId val="1839341168"/>
        <c:axId val="1"/>
      </c:lineChart>
      <c:dateAx>
        <c:axId val="1839341168"/>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
        <c:crosses val="autoZero"/>
        <c:auto val="0"/>
        <c:lblOffset val="100"/>
        <c:baseTimeUnit val="days"/>
        <c:minorUnit val="10"/>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3934116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3866155818179257E-2"/>
          <c:y val="5.2349159017844663E-2"/>
          <c:w val="0.92190336435218312"/>
          <c:h val="0.71699168825616255"/>
        </c:manualLayout>
      </c:layout>
      <c:lineChart>
        <c:grouping val="standard"/>
        <c:varyColors val="0"/>
        <c:ser>
          <c:idx val="1"/>
          <c:order val="0"/>
          <c:tx>
            <c:strRef>
              <c:f>'Graph 3'!$A$13</c:f>
              <c:strCache>
                <c:ptCount val="1"/>
                <c:pt idx="0">
                  <c:v>Consommation intérieure de matières (DMC, Mt)*</c:v>
                </c:pt>
              </c:strCache>
            </c:strRef>
          </c:tx>
          <c:spPr>
            <a:ln w="19050">
              <a:solidFill>
                <a:schemeClr val="accent1"/>
              </a:solidFill>
              <a:prstDash val="solid"/>
            </a:ln>
          </c:spPr>
          <c:marker>
            <c:symbol val="none"/>
          </c:marker>
          <c:cat>
            <c:numRef>
              <c:f>'Graph 3'!$B$12:$AG$12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3'!$B$13:$AG$13</c:f>
              <c:numCache>
                <c:formatCode>#,##0</c:formatCode>
                <c:ptCount val="32"/>
                <c:pt idx="0">
                  <c:v>100</c:v>
                </c:pt>
                <c:pt idx="1">
                  <c:v>102.21898968938108</c:v>
                </c:pt>
                <c:pt idx="2">
                  <c:v>100.24758573756169</c:v>
                </c:pt>
                <c:pt idx="3">
                  <c:v>92.366589798623778</c:v>
                </c:pt>
                <c:pt idx="4">
                  <c:v>97.017039225344803</c:v>
                </c:pt>
                <c:pt idx="5">
                  <c:v>96.147303401009722</c:v>
                </c:pt>
                <c:pt idx="6">
                  <c:v>93.457470055493232</c:v>
                </c:pt>
                <c:pt idx="7">
                  <c:v>95.424742042288187</c:v>
                </c:pt>
                <c:pt idx="8">
                  <c:v>98.362910358211792</c:v>
                </c:pt>
                <c:pt idx="9">
                  <c:v>101.43150952945466</c:v>
                </c:pt>
                <c:pt idx="10">
                  <c:v>106.37392357112783</c:v>
                </c:pt>
                <c:pt idx="11">
                  <c:v>102.30155009793582</c:v>
                </c:pt>
                <c:pt idx="12">
                  <c:v>102.91163284567666</c:v>
                </c:pt>
                <c:pt idx="13">
                  <c:v>96.734745125892459</c:v>
                </c:pt>
                <c:pt idx="14">
                  <c:v>106.42739306020104</c:v>
                </c:pt>
                <c:pt idx="15">
                  <c:v>103.10104528288393</c:v>
                </c:pt>
                <c:pt idx="16">
                  <c:v>105.38410857147353</c:v>
                </c:pt>
                <c:pt idx="17">
                  <c:v>109.65766236829137</c:v>
                </c:pt>
                <c:pt idx="18">
                  <c:v>107.53444941054333</c:v>
                </c:pt>
                <c:pt idx="19">
                  <c:v>96.216344185485241</c:v>
                </c:pt>
                <c:pt idx="20">
                  <c:v>94.365821917938092</c:v>
                </c:pt>
                <c:pt idx="21">
                  <c:v>96.981236718923284</c:v>
                </c:pt>
                <c:pt idx="22">
                  <c:v>94.739741061015664</c:v>
                </c:pt>
                <c:pt idx="23">
                  <c:v>94.985797545790504</c:v>
                </c:pt>
                <c:pt idx="24">
                  <c:v>93.964402802620057</c:v>
                </c:pt>
                <c:pt idx="25">
                  <c:v>88.968624621467995</c:v>
                </c:pt>
                <c:pt idx="26">
                  <c:v>87.67463034676382</c:v>
                </c:pt>
                <c:pt idx="27">
                  <c:v>94.674659785721829</c:v>
                </c:pt>
                <c:pt idx="28">
                  <c:v>93.361313295643242</c:v>
                </c:pt>
                <c:pt idx="29">
                  <c:v>96.098108748328542</c:v>
                </c:pt>
                <c:pt idx="30">
                  <c:v>86.318943421787495</c:v>
                </c:pt>
                <c:pt idx="31">
                  <c:v>95.288035910905862</c:v>
                </c:pt>
              </c:numCache>
            </c:numRef>
          </c:val>
          <c:smooth val="0"/>
          <c:extLst>
            <c:ext xmlns:c16="http://schemas.microsoft.com/office/drawing/2014/chart" uri="{C3380CC4-5D6E-409C-BE32-E72D297353CC}">
              <c16:uniqueId val="{00000000-9D0C-41E2-99C2-DF91684430F2}"/>
            </c:ext>
          </c:extLst>
        </c:ser>
        <c:ser>
          <c:idx val="2"/>
          <c:order val="1"/>
          <c:tx>
            <c:strRef>
              <c:f>'Graph 3'!$A$14</c:f>
              <c:strCache>
                <c:ptCount val="1"/>
                <c:pt idx="0">
                  <c:v>Consommation intérieure de matières par personne (DMC/population, t/habitant)*</c:v>
                </c:pt>
              </c:strCache>
            </c:strRef>
          </c:tx>
          <c:spPr>
            <a:ln w="19050">
              <a:solidFill>
                <a:srgbClr val="009900"/>
              </a:solidFill>
              <a:prstDash val="solid"/>
            </a:ln>
          </c:spPr>
          <c:marker>
            <c:symbol val="none"/>
          </c:marker>
          <c:cat>
            <c:numRef>
              <c:f>'Graph 3'!$B$12:$AG$12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3'!$B$14:$AG$14</c:f>
              <c:numCache>
                <c:formatCode>#,##0</c:formatCode>
                <c:ptCount val="32"/>
                <c:pt idx="0">
                  <c:v>100</c:v>
                </c:pt>
                <c:pt idx="1">
                  <c:v>101.72134151439782</c:v>
                </c:pt>
                <c:pt idx="2">
                  <c:v>99.26372532848346</c:v>
                </c:pt>
                <c:pt idx="3">
                  <c:v>91.023747687691142</c:v>
                </c:pt>
                <c:pt idx="4">
                  <c:v>95.253627496470443</c:v>
                </c:pt>
                <c:pt idx="5">
                  <c:v>94.064495409915168</c:v>
                </c:pt>
                <c:pt idx="6">
                  <c:v>91.115021421151354</c:v>
                </c:pt>
                <c:pt idx="7">
                  <c:v>92.715404234801795</c:v>
                </c:pt>
                <c:pt idx="8">
                  <c:v>95.238013073196001</c:v>
                </c:pt>
                <c:pt idx="9">
                  <c:v>97.844340411483316</c:v>
                </c:pt>
                <c:pt idx="10">
                  <c:v>101.95824409396883</c:v>
                </c:pt>
                <c:pt idx="11">
                  <c:v>97.357801901883718</c:v>
                </c:pt>
                <c:pt idx="12">
                  <c:v>97.230553391608652</c:v>
                </c:pt>
                <c:pt idx="13">
                  <c:v>90.745735419610384</c:v>
                </c:pt>
                <c:pt idx="14">
                  <c:v>99.153421114390568</c:v>
                </c:pt>
                <c:pt idx="15">
                  <c:v>95.320235593476511</c:v>
                </c:pt>
                <c:pt idx="16">
                  <c:v>96.728511102189046</c:v>
                </c:pt>
                <c:pt idx="17">
                  <c:v>99.994980548702159</c:v>
                </c:pt>
                <c:pt idx="18">
                  <c:v>97.505156148261491</c:v>
                </c:pt>
                <c:pt idx="19">
                  <c:v>86.777778851175597</c:v>
                </c:pt>
                <c:pt idx="20">
                  <c:v>84.702509022957869</c:v>
                </c:pt>
                <c:pt idx="21">
                  <c:v>86.620486440361958</c:v>
                </c:pt>
                <c:pt idx="22">
                  <c:v>84.219182973708769</c:v>
                </c:pt>
                <c:pt idx="23">
                  <c:v>84.021275146215473</c:v>
                </c:pt>
                <c:pt idx="24">
                  <c:v>82.406248964326764</c:v>
                </c:pt>
                <c:pt idx="25">
                  <c:v>77.682448539591789</c:v>
                </c:pt>
                <c:pt idx="26">
                  <c:v>76.345511790375326</c:v>
                </c:pt>
                <c:pt idx="27">
                  <c:v>82.228860022774811</c:v>
                </c:pt>
                <c:pt idx="28">
                  <c:v>80.824685225934516</c:v>
                </c:pt>
                <c:pt idx="29">
                  <c:v>82.865175025763776</c:v>
                </c:pt>
                <c:pt idx="30">
                  <c:v>74.229696495370433</c:v>
                </c:pt>
                <c:pt idx="31">
                  <c:v>81.708479475712892</c:v>
                </c:pt>
              </c:numCache>
            </c:numRef>
          </c:val>
          <c:smooth val="0"/>
          <c:extLst>
            <c:ext xmlns:c16="http://schemas.microsoft.com/office/drawing/2014/chart" uri="{C3380CC4-5D6E-409C-BE32-E72D297353CC}">
              <c16:uniqueId val="{00000001-9D0C-41E2-99C2-DF91684430F2}"/>
            </c:ext>
          </c:extLst>
        </c:ser>
        <c:ser>
          <c:idx val="3"/>
          <c:order val="2"/>
          <c:tx>
            <c:strRef>
              <c:f>'Graph 3'!$A$15</c:f>
              <c:strCache>
                <c:ptCount val="1"/>
                <c:pt idx="0">
                  <c:v>Productivité matières (PIB/DMC, en €/kg)**</c:v>
                </c:pt>
              </c:strCache>
            </c:strRef>
          </c:tx>
          <c:spPr>
            <a:ln w="19050">
              <a:solidFill>
                <a:schemeClr val="accent2">
                  <a:lumMod val="75000"/>
                </a:schemeClr>
              </a:solidFill>
            </a:ln>
          </c:spPr>
          <c:marker>
            <c:symbol val="none"/>
          </c:marker>
          <c:cat>
            <c:numRef>
              <c:f>'Graph 3'!$B$12:$AG$12</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'Graph 3'!$B$15:$AG$15</c:f>
              <c:numCache>
                <c:formatCode>#,##0</c:formatCode>
                <c:ptCount val="32"/>
                <c:pt idx="0">
                  <c:v>100</c:v>
                </c:pt>
                <c:pt idx="1">
                  <c:v>98.854602390948571</c:v>
                </c:pt>
                <c:pt idx="2">
                  <c:v>102.41072808624251</c:v>
                </c:pt>
                <c:pt idx="3">
                  <c:v>110.44996556313549</c:v>
                </c:pt>
                <c:pt idx="4">
                  <c:v>107.63561637966737</c:v>
                </c:pt>
                <c:pt idx="5">
                  <c:v>110.89726862525792</c:v>
                </c:pt>
                <c:pt idx="6">
                  <c:v>115.70111411728736</c:v>
                </c:pt>
                <c:pt idx="7">
                  <c:v>115.96321906054685</c:v>
                </c:pt>
                <c:pt idx="8">
                  <c:v>116.53653468967846</c:v>
                </c:pt>
                <c:pt idx="9">
                  <c:v>116.87749197482165</c:v>
                </c:pt>
                <c:pt idx="10">
                  <c:v>115.81986809281402</c:v>
                </c:pt>
                <c:pt idx="11">
                  <c:v>122.81937567944779</c:v>
                </c:pt>
                <c:pt idx="12">
                  <c:v>123.47766034206487</c:v>
                </c:pt>
                <c:pt idx="13">
                  <c:v>132.44350866070283</c:v>
                </c:pt>
                <c:pt idx="14">
                  <c:v>123.78799743737665</c:v>
                </c:pt>
                <c:pt idx="15">
                  <c:v>129.90706002438631</c:v>
                </c:pt>
                <c:pt idx="16">
                  <c:v>130.20563854719092</c:v>
                </c:pt>
                <c:pt idx="17">
                  <c:v>128.1653974586155</c:v>
                </c:pt>
                <c:pt idx="18">
                  <c:v>131.02916202953193</c:v>
                </c:pt>
                <c:pt idx="19">
                  <c:v>142.23461423657727</c:v>
                </c:pt>
                <c:pt idx="20">
                  <c:v>147.85099730070061</c:v>
                </c:pt>
                <c:pt idx="21">
                  <c:v>147.01821436945104</c:v>
                </c:pt>
                <c:pt idx="22">
                  <c:v>150.96785010487855</c:v>
                </c:pt>
                <c:pt idx="23">
                  <c:v>151.44458872856057</c:v>
                </c:pt>
                <c:pt idx="24">
                  <c:v>154.55462233963948</c:v>
                </c:pt>
                <c:pt idx="25">
                  <c:v>165.04983665456729</c:v>
                </c:pt>
                <c:pt idx="26">
                  <c:v>169.32056296181077</c:v>
                </c:pt>
                <c:pt idx="27">
                  <c:v>160.39436315364387</c:v>
                </c:pt>
                <c:pt idx="28">
                  <c:v>165.68422998631092</c:v>
                </c:pt>
                <c:pt idx="29">
                  <c:v>163.93223086730075</c:v>
                </c:pt>
                <c:pt idx="30">
                  <c:v>168.74262707970081</c:v>
                </c:pt>
                <c:pt idx="31">
                  <c:v>162.69637118552961</c:v>
                </c:pt>
              </c:numCache>
            </c:numRef>
          </c:val>
          <c:smooth val="0"/>
          <c:extLst>
            <c:ext xmlns:c16="http://schemas.microsoft.com/office/drawing/2014/chart" uri="{C3380CC4-5D6E-409C-BE32-E72D297353CC}">
              <c16:uniqueId val="{00000002-9D0C-41E2-99C2-DF91684430F2}"/>
            </c:ext>
          </c:extLst>
        </c:ser>
        <c:dLbls>
          <c:showLegendKey val="0"/>
          <c:showVal val="0"/>
          <c:showCatName val="0"/>
          <c:showSerName val="0"/>
          <c:showPercent val="0"/>
          <c:showBubbleSize val="0"/>
        </c:dLbls>
        <c:smooth val="0"/>
        <c:axId val="1839346576"/>
        <c:axId val="1"/>
      </c:lineChart>
      <c:catAx>
        <c:axId val="1839346576"/>
        <c:scaling>
          <c:orientation val="minMax"/>
        </c:scaling>
        <c:delete val="0"/>
        <c:axPos val="b"/>
        <c:numFmt formatCode="General" sourceLinked="1"/>
        <c:majorTickMark val="out"/>
        <c:minorTickMark val="none"/>
        <c:tickLblPos val="nextTo"/>
        <c:spPr>
          <a:ln w="3175">
            <a:solidFill>
              <a:srgbClr val="000000"/>
            </a:solidFill>
            <a:prstDash val="solid"/>
          </a:ln>
        </c:spPr>
        <c:txPr>
          <a:bodyPr rot="-2400000" vert="horz"/>
          <a:lstStyle/>
          <a:p>
            <a:pPr>
              <a:defRPr sz="900" b="0" i="1"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2"/>
        <c:noMultiLvlLbl val="0"/>
      </c:catAx>
      <c:valAx>
        <c:axId val="1"/>
        <c:scaling>
          <c:orientation val="minMax"/>
          <c:max val="200"/>
          <c:min val="0"/>
        </c:scaling>
        <c:delete val="0"/>
        <c:axPos val="l"/>
        <c:majorGridlines>
          <c:spPr>
            <a:ln w="3175">
              <a:solidFill>
                <a:schemeClr val="bg1">
                  <a:lumMod val="75000"/>
                </a:schemeClr>
              </a:solidFill>
              <a:prstDash val="sysDot"/>
            </a:ln>
          </c:spPr>
        </c:majorGridlines>
        <c:numFmt formatCode="#,##0" sourceLinked="1"/>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fr-FR"/>
          </a:p>
        </c:txPr>
        <c:crossAx val="1839346576"/>
        <c:crosses val="autoZero"/>
        <c:crossBetween val="midCat"/>
      </c:valAx>
      <c:spPr>
        <a:noFill/>
        <a:ln w="25400">
          <a:noFill/>
        </a:ln>
      </c:spPr>
    </c:plotArea>
    <c:legend>
      <c:legendPos val="r"/>
      <c:layout>
        <c:manualLayout>
          <c:xMode val="edge"/>
          <c:yMode val="edge"/>
          <c:x val="0.1127442190832897"/>
          <c:y val="0.81842243971811512"/>
          <c:w val="0.81212502526662333"/>
          <c:h val="0.16745819371753939"/>
        </c:manualLayout>
      </c:layout>
      <c:overlay val="0"/>
      <c:txPr>
        <a:bodyPr/>
        <a:lstStyle/>
        <a:p>
          <a:pPr>
            <a:defRPr sz="900" b="0" i="0">
              <a:solidFill>
                <a:sysClr val="windowText" lastClr="000000"/>
              </a:solidFill>
            </a:defRPr>
          </a:pPr>
          <a:endParaRPr lang="fr-FR"/>
        </a:p>
      </c:txPr>
    </c:legend>
    <c:plotVisOnly val="1"/>
    <c:dispBlanksAs val="gap"/>
    <c:showDLblsOverMax val="0"/>
  </c:chart>
  <c:spPr>
    <a:noFill/>
    <a:ln w="9525">
      <a:noFill/>
    </a:ln>
  </c:spPr>
  <c:txPr>
    <a:bodyPr/>
    <a:lstStyle/>
    <a:p>
      <a:pPr>
        <a:defRPr sz="800" b="0" i="1" u="none" strike="noStrike" baseline="0">
          <a:solidFill>
            <a:srgbClr val="000000"/>
          </a:solidFill>
          <a:latin typeface="Arial"/>
          <a:ea typeface="Arial"/>
          <a:cs typeface="Arial"/>
        </a:defRPr>
      </a:pPr>
      <a:endParaRPr lang="fr-FR"/>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009553053565336"/>
          <c:y val="2.8213166144200628E-2"/>
          <c:w val="0.84476287956328888"/>
          <c:h val="0.90804597701149425"/>
        </c:manualLayout>
      </c:layout>
      <c:barChart>
        <c:barDir val="bar"/>
        <c:grouping val="clustered"/>
        <c:varyColors val="0"/>
        <c:ser>
          <c:idx val="0"/>
          <c:order val="0"/>
          <c:spPr>
            <a:solidFill>
              <a:srgbClr val="465F9D"/>
            </a:solidFill>
            <a:ln w="9525">
              <a:noFill/>
              <a:prstDash val="solid"/>
            </a:ln>
          </c:spPr>
          <c:invertIfNegative val="0"/>
          <c:dPt>
            <c:idx val="4"/>
            <c:invertIfNegative val="0"/>
            <c:bubble3D val="0"/>
            <c:spPr>
              <a:solidFill>
                <a:srgbClr val="E5794A"/>
              </a:solidFill>
              <a:ln w="9525">
                <a:noFill/>
                <a:prstDash val="solid"/>
              </a:ln>
            </c:spPr>
            <c:extLst>
              <c:ext xmlns:c16="http://schemas.microsoft.com/office/drawing/2014/chart" uri="{C3380CC4-5D6E-409C-BE32-E72D297353CC}">
                <c16:uniqueId val="{00000000-5321-48A6-81F0-CE69F0E532DE}"/>
              </c:ext>
            </c:extLst>
          </c:dPt>
          <c:dPt>
            <c:idx val="5"/>
            <c:invertIfNegative val="0"/>
            <c:bubble3D val="0"/>
            <c:extLst>
              <c:ext xmlns:c16="http://schemas.microsoft.com/office/drawing/2014/chart" uri="{C3380CC4-5D6E-409C-BE32-E72D297353CC}">
                <c16:uniqueId val="{00000001-5321-48A6-81F0-CE69F0E532DE}"/>
              </c:ext>
            </c:extLst>
          </c:dPt>
          <c:dPt>
            <c:idx val="6"/>
            <c:invertIfNegative val="0"/>
            <c:bubble3D val="0"/>
            <c:spPr>
              <a:solidFill>
                <a:srgbClr val="E5794A">
                  <a:alpha val="50196"/>
                </a:srgbClr>
              </a:solidFill>
              <a:ln w="9525">
                <a:noFill/>
                <a:prstDash val="solid"/>
              </a:ln>
            </c:spPr>
            <c:extLst>
              <c:ext xmlns:c16="http://schemas.microsoft.com/office/drawing/2014/chart" uri="{C3380CC4-5D6E-409C-BE32-E72D297353CC}">
                <c16:uniqueId val="{00000002-5321-48A6-81F0-CE69F0E532DE}"/>
              </c:ext>
            </c:extLst>
          </c:dPt>
          <c:dPt>
            <c:idx val="7"/>
            <c:invertIfNegative val="0"/>
            <c:bubble3D val="0"/>
            <c:extLst>
              <c:ext xmlns:c16="http://schemas.microsoft.com/office/drawing/2014/chart" uri="{C3380CC4-5D6E-409C-BE32-E72D297353CC}">
                <c16:uniqueId val="{00000003-5321-48A6-81F0-CE69F0E532DE}"/>
              </c:ext>
            </c:extLst>
          </c:dPt>
          <c:dPt>
            <c:idx val="8"/>
            <c:invertIfNegative val="0"/>
            <c:bubble3D val="0"/>
            <c:extLst>
              <c:ext xmlns:c16="http://schemas.microsoft.com/office/drawing/2014/chart" uri="{C3380CC4-5D6E-409C-BE32-E72D297353CC}">
                <c16:uniqueId val="{00000004-5321-48A6-81F0-CE69F0E532DE}"/>
              </c:ext>
            </c:extLst>
          </c:dPt>
          <c:dPt>
            <c:idx val="10"/>
            <c:invertIfNegative val="0"/>
            <c:bubble3D val="0"/>
            <c:extLst>
              <c:ext xmlns:c16="http://schemas.microsoft.com/office/drawing/2014/chart" uri="{C3380CC4-5D6E-409C-BE32-E72D297353CC}">
                <c16:uniqueId val="{00000005-5321-48A6-81F0-CE69F0E532DE}"/>
              </c:ext>
            </c:extLst>
          </c:dPt>
          <c:dPt>
            <c:idx val="11"/>
            <c:invertIfNegative val="0"/>
            <c:bubble3D val="0"/>
            <c:extLst>
              <c:ext xmlns:c16="http://schemas.microsoft.com/office/drawing/2014/chart" uri="{C3380CC4-5D6E-409C-BE32-E72D297353CC}">
                <c16:uniqueId val="{00000006-5321-48A6-81F0-CE69F0E532DE}"/>
              </c:ext>
            </c:extLst>
          </c:dPt>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4'!$B$5:$B$19</c:f>
              <c:numCache>
                <c:formatCode>0.0</c:formatCode>
                <c:ptCount val="15"/>
                <c:pt idx="0">
                  <c:v>5.4690000000000003</c:v>
                </c:pt>
                <c:pt idx="1">
                  <c:v>8.1999999999999993</c:v>
                </c:pt>
                <c:pt idx="2">
                  <c:v>10.948</c:v>
                </c:pt>
                <c:pt idx="3" formatCode="General">
                  <c:v>9.5</c:v>
                </c:pt>
                <c:pt idx="4" formatCode="General">
                  <c:v>11.8</c:v>
                </c:pt>
                <c:pt idx="5">
                  <c:v>12.4</c:v>
                </c:pt>
                <c:pt idx="6" formatCode="General">
                  <c:v>14.2</c:v>
                </c:pt>
                <c:pt idx="7" formatCode="General">
                  <c:v>14.2</c:v>
                </c:pt>
                <c:pt idx="8">
                  <c:v>17.600000000000001</c:v>
                </c:pt>
                <c:pt idx="9">
                  <c:v>23.8</c:v>
                </c:pt>
                <c:pt idx="10" formatCode="General">
                  <c:v>18</c:v>
                </c:pt>
                <c:pt idx="11">
                  <c:v>22.931000000000001</c:v>
                </c:pt>
                <c:pt idx="12" formatCode="General">
                  <c:v>31.3</c:v>
                </c:pt>
                <c:pt idx="13">
                  <c:v>40.555</c:v>
                </c:pt>
                <c:pt idx="14">
                  <c:v>52.981999999999999</c:v>
                </c:pt>
              </c:numCache>
            </c:numRef>
          </c:val>
          <c:extLst>
            <c:ext xmlns:c16="http://schemas.microsoft.com/office/drawing/2014/chart" uri="{C3380CC4-5D6E-409C-BE32-E72D297353CC}">
              <c16:uniqueId val="{00000007-5321-48A6-81F0-CE69F0E532DE}"/>
            </c:ext>
          </c:extLst>
        </c:ser>
        <c:ser>
          <c:idx val="1"/>
          <c:order val="1"/>
          <c:invertIfNegative val="0"/>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4'!$B$20</c:f>
              <c:numCache>
                <c:formatCode>General</c:formatCode>
                <c:ptCount val="1"/>
              </c:numCache>
            </c:numRef>
          </c:val>
          <c:extLst>
            <c:ext xmlns:c16="http://schemas.microsoft.com/office/drawing/2014/chart" uri="{C3380CC4-5D6E-409C-BE32-E72D297353CC}">
              <c16:uniqueId val="{00000008-5321-48A6-81F0-CE69F0E532DE}"/>
            </c:ext>
          </c:extLst>
        </c:ser>
        <c:ser>
          <c:idx val="2"/>
          <c:order val="2"/>
          <c:invertIfNegative val="0"/>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4'!$D$20</c:f>
              <c:numCache>
                <c:formatCode>General</c:formatCode>
                <c:ptCount val="1"/>
              </c:numCache>
            </c:numRef>
          </c:val>
          <c:extLst>
            <c:ext xmlns:c16="http://schemas.microsoft.com/office/drawing/2014/chart" uri="{C3380CC4-5D6E-409C-BE32-E72D297353CC}">
              <c16:uniqueId val="{00000009-5321-48A6-81F0-CE69F0E532DE}"/>
            </c:ext>
          </c:extLst>
        </c:ser>
        <c:ser>
          <c:idx val="3"/>
          <c:order val="3"/>
          <c:invertIfNegative val="0"/>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4'!$E$20</c:f>
              <c:numCache>
                <c:formatCode>General</c:formatCode>
                <c:ptCount val="1"/>
              </c:numCache>
            </c:numRef>
          </c:val>
          <c:extLst>
            <c:ext xmlns:c16="http://schemas.microsoft.com/office/drawing/2014/chart" uri="{C3380CC4-5D6E-409C-BE32-E72D297353CC}">
              <c16:uniqueId val="{0000000A-5321-48A6-81F0-CE69F0E532DE}"/>
            </c:ext>
          </c:extLst>
        </c:ser>
        <c:ser>
          <c:idx val="4"/>
          <c:order val="4"/>
          <c:invertIfNegative val="0"/>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4'!$B$20</c:f>
              <c:numCache>
                <c:formatCode>General</c:formatCode>
                <c:ptCount val="1"/>
              </c:numCache>
            </c:numRef>
          </c:val>
          <c:extLst>
            <c:ext xmlns:c16="http://schemas.microsoft.com/office/drawing/2014/chart" uri="{C3380CC4-5D6E-409C-BE32-E72D297353CC}">
              <c16:uniqueId val="{0000000B-5321-48A6-81F0-CE69F0E532DE}"/>
            </c:ext>
          </c:extLst>
        </c:ser>
        <c:ser>
          <c:idx val="5"/>
          <c:order val="5"/>
          <c:invertIfNegative val="0"/>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4'!$D$20</c:f>
              <c:numCache>
                <c:formatCode>General</c:formatCode>
                <c:ptCount val="1"/>
              </c:numCache>
            </c:numRef>
          </c:val>
          <c:extLst>
            <c:ext xmlns:c16="http://schemas.microsoft.com/office/drawing/2014/chart" uri="{C3380CC4-5D6E-409C-BE32-E72D297353CC}">
              <c16:uniqueId val="{0000000C-5321-48A6-81F0-CE69F0E532DE}"/>
            </c:ext>
          </c:extLst>
        </c:ser>
        <c:ser>
          <c:idx val="6"/>
          <c:order val="6"/>
          <c:invertIfNegative val="0"/>
          <c:cat>
            <c:strRef>
              <c:f>'Graph 4'!$A$5:$A$19</c:f>
              <c:strCache>
                <c:ptCount val="15"/>
                <c:pt idx="0">
                  <c:v>Inde</c:v>
                </c:pt>
                <c:pt idx="1">
                  <c:v>Royaume-Uni</c:v>
                </c:pt>
                <c:pt idx="2">
                  <c:v>Japon </c:v>
                </c:pt>
                <c:pt idx="3">
                  <c:v>Espagne</c:v>
                </c:pt>
                <c:pt idx="4">
                  <c:v>France</c:v>
                </c:pt>
                <c:pt idx="5">
                  <c:v>UE à 19</c:v>
                </c:pt>
                <c:pt idx="6">
                  <c:v>UE à 27</c:v>
                </c:pt>
                <c:pt idx="7">
                  <c:v>Allemagne</c:v>
                </c:pt>
                <c:pt idx="8">
                  <c:v>Russie</c:v>
                </c:pt>
                <c:pt idx="9">
                  <c:v>États-Unis </c:v>
                </c:pt>
                <c:pt idx="10">
                  <c:v>PECO*</c:v>
                </c:pt>
                <c:pt idx="11">
                  <c:v>Chine </c:v>
                </c:pt>
                <c:pt idx="12">
                  <c:v>Finlande</c:v>
                </c:pt>
                <c:pt idx="13">
                  <c:v>Australie </c:v>
                </c:pt>
                <c:pt idx="14">
                  <c:v>Chili </c:v>
                </c:pt>
              </c:strCache>
            </c:strRef>
          </c:cat>
          <c:val>
            <c:numRef>
              <c:f>'Graph 4'!$E$20</c:f>
              <c:numCache>
                <c:formatCode>General</c:formatCode>
                <c:ptCount val="1"/>
              </c:numCache>
            </c:numRef>
          </c:val>
          <c:extLst>
            <c:ext xmlns:c16="http://schemas.microsoft.com/office/drawing/2014/chart" uri="{C3380CC4-5D6E-409C-BE32-E72D297353CC}">
              <c16:uniqueId val="{0000000D-5321-48A6-81F0-CE69F0E532DE}"/>
            </c:ext>
          </c:extLst>
        </c:ser>
        <c:dLbls>
          <c:showLegendKey val="0"/>
          <c:showVal val="0"/>
          <c:showCatName val="0"/>
          <c:showSerName val="0"/>
          <c:showPercent val="0"/>
          <c:showBubbleSize val="0"/>
        </c:dLbls>
        <c:gapWidth val="150"/>
        <c:overlap val="95"/>
        <c:axId val="1839351984"/>
        <c:axId val="1"/>
      </c:barChart>
      <c:catAx>
        <c:axId val="1839351984"/>
        <c:scaling>
          <c:orientation val="minMax"/>
        </c:scaling>
        <c:delete val="0"/>
        <c:axPos val="l"/>
        <c:numFmt formatCode="General" sourceLinked="1"/>
        <c:majorTickMark val="out"/>
        <c:minorTickMark val="none"/>
        <c:tickLblPos val="nextTo"/>
        <c:txPr>
          <a:bodyPr rot="0" vert="horz"/>
          <a:lstStyle/>
          <a:p>
            <a:pPr>
              <a:defRPr sz="900" b="0" i="0" u="none" strike="noStrike" baseline="0">
                <a:solidFill>
                  <a:srgbClr val="000000"/>
                </a:solidFill>
                <a:latin typeface="Arial"/>
                <a:ea typeface="Arial"/>
                <a:cs typeface="Arial"/>
              </a:defRPr>
            </a:pPr>
            <a:endParaRPr lang="fr-FR"/>
          </a:p>
        </c:txPr>
        <c:crossAx val="1"/>
        <c:crossesAt val="0"/>
        <c:auto val="1"/>
        <c:lblAlgn val="ctr"/>
        <c:lblOffset val="100"/>
        <c:noMultiLvlLbl val="0"/>
      </c:catAx>
      <c:valAx>
        <c:axId val="1"/>
        <c:scaling>
          <c:orientation val="minMax"/>
          <c:max val="50"/>
          <c:min val="0"/>
        </c:scaling>
        <c:delete val="0"/>
        <c:axPos val="b"/>
        <c:majorGridlines>
          <c:spPr>
            <a:ln>
              <a:prstDash val="sysDot"/>
            </a:ln>
          </c:spPr>
        </c:majorGridlines>
        <c:numFmt formatCode="General" sourceLinked="0"/>
        <c:majorTickMark val="out"/>
        <c:minorTickMark val="none"/>
        <c:tickLblPos val="nextTo"/>
        <c:txPr>
          <a:bodyPr rot="0" vert="horz"/>
          <a:lstStyle/>
          <a:p>
            <a:pPr>
              <a:defRPr sz="900" b="0" i="0" u="none" strike="noStrike" baseline="0">
                <a:solidFill>
                  <a:srgbClr val="000000"/>
                </a:solidFill>
                <a:latin typeface="Arial"/>
                <a:ea typeface="Arial"/>
                <a:cs typeface="Arial"/>
              </a:defRPr>
            </a:pPr>
            <a:endParaRPr lang="fr-FR"/>
          </a:p>
        </c:txPr>
        <c:crossAx val="1839351984"/>
        <c:crosses val="autoZero"/>
        <c:crossBetween val="between"/>
        <c:majorUnit val="5"/>
        <c:minorUnit val="1"/>
      </c:valAx>
      <c:spPr>
        <a:ln w="0"/>
      </c:spPr>
    </c:plotArea>
    <c:plotVisOnly val="1"/>
    <c:dispBlanksAs val="gap"/>
    <c:showDLblsOverMax val="0"/>
  </c:chart>
  <c:spPr>
    <a:noFill/>
    <a:ln w="76200">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387350</xdr:colOff>
      <xdr:row>30</xdr:row>
      <xdr:rowOff>44450</xdr:rowOff>
    </xdr:from>
    <xdr:to>
      <xdr:col>12</xdr:col>
      <xdr:colOff>101600</xdr:colOff>
      <xdr:row>51</xdr:row>
      <xdr:rowOff>69850</xdr:rowOff>
    </xdr:to>
    <xdr:graphicFrame macro="">
      <xdr:nvGraphicFramePr>
        <xdr:cNvPr id="6147" name="Graphique 3">
          <a:extLst>
            <a:ext uri="{FF2B5EF4-FFF2-40B4-BE49-F238E27FC236}">
              <a16:creationId xmlns:a16="http://schemas.microsoft.com/office/drawing/2014/main" id="{F6E0A902-0D2C-4CF4-AF17-A4CADFEC3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64</xdr:row>
      <xdr:rowOff>57150</xdr:rowOff>
    </xdr:from>
    <xdr:to>
      <xdr:col>5</xdr:col>
      <xdr:colOff>12700</xdr:colOff>
      <xdr:row>85</xdr:row>
      <xdr:rowOff>114300</xdr:rowOff>
    </xdr:to>
    <xdr:graphicFrame macro="">
      <xdr:nvGraphicFramePr>
        <xdr:cNvPr id="6148" name="Graphique 1">
          <a:extLst>
            <a:ext uri="{FF2B5EF4-FFF2-40B4-BE49-F238E27FC236}">
              <a16:creationId xmlns:a16="http://schemas.microsoft.com/office/drawing/2014/main" id="{465B8EEE-7DFB-42F8-8490-166E20EC1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29</xdr:row>
      <xdr:rowOff>25400</xdr:rowOff>
    </xdr:from>
    <xdr:to>
      <xdr:col>11</xdr:col>
      <xdr:colOff>273050</xdr:colOff>
      <xdr:row>51</xdr:row>
      <xdr:rowOff>127000</xdr:rowOff>
    </xdr:to>
    <xdr:graphicFrame macro="">
      <xdr:nvGraphicFramePr>
        <xdr:cNvPr id="7170" name="Graphique 2">
          <a:extLst>
            <a:ext uri="{FF2B5EF4-FFF2-40B4-BE49-F238E27FC236}">
              <a16:creationId xmlns:a16="http://schemas.microsoft.com/office/drawing/2014/main" id="{A49AEB80-E8D4-4DF6-B689-CC06ED5B0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21</xdr:row>
      <xdr:rowOff>12700</xdr:rowOff>
    </xdr:from>
    <xdr:to>
      <xdr:col>13</xdr:col>
      <xdr:colOff>311150</xdr:colOff>
      <xdr:row>46</xdr:row>
      <xdr:rowOff>0</xdr:rowOff>
    </xdr:to>
    <xdr:graphicFrame macro="">
      <xdr:nvGraphicFramePr>
        <xdr:cNvPr id="8194" name="Graphique 1">
          <a:extLst>
            <a:ext uri="{FF2B5EF4-FFF2-40B4-BE49-F238E27FC236}">
              <a16:creationId xmlns:a16="http://schemas.microsoft.com/office/drawing/2014/main" id="{88728CE0-44EF-4F20-8F66-07CCE7A81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0.921</cdr:x>
      <cdr:y>0.38005</cdr:y>
    </cdr:from>
    <cdr:to>
      <cdr:x>0.98743</cdr:x>
      <cdr:y>0.43469</cdr:y>
    </cdr:to>
    <cdr:sp macro="" textlink="">
      <cdr:nvSpPr>
        <cdr:cNvPr id="29697" name="Text Box 1"/>
        <cdr:cNvSpPr txBox="1">
          <a:spLocks xmlns:a="http://schemas.openxmlformats.org/drawingml/2006/main" noChangeArrowheads="1"/>
        </cdr:cNvSpPr>
      </cdr:nvSpPr>
      <cdr:spPr bwMode="auto">
        <a:xfrm xmlns:a="http://schemas.openxmlformats.org/drawingml/2006/main">
          <a:off x="9570824" y="1534864"/>
          <a:ext cx="690376" cy="22067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fr-FR" sz="1000" b="1" i="0" u="none" strike="noStrike" baseline="0">
              <a:solidFill>
                <a:schemeClr val="accent1"/>
              </a:solidFill>
              <a:latin typeface="Arial"/>
              <a:cs typeface="Arial"/>
            </a:rPr>
            <a:t>792 Mt</a:t>
          </a:r>
        </a:p>
      </cdr:txBody>
    </cdr:sp>
  </cdr:relSizeAnchor>
  <cdr:relSizeAnchor xmlns:cdr="http://schemas.openxmlformats.org/drawingml/2006/chartDrawing">
    <cdr:from>
      <cdr:x>0.89251</cdr:x>
      <cdr:y>0.52766</cdr:y>
    </cdr:from>
    <cdr:to>
      <cdr:x>0.98095</cdr:x>
      <cdr:y>0.57672</cdr:y>
    </cdr:to>
    <cdr:sp macro="" textlink="">
      <cdr:nvSpPr>
        <cdr:cNvPr id="29698" name="Text Box 2"/>
        <cdr:cNvSpPr txBox="1">
          <a:spLocks xmlns:a="http://schemas.openxmlformats.org/drawingml/2006/main" noChangeArrowheads="1"/>
        </cdr:cNvSpPr>
      </cdr:nvSpPr>
      <cdr:spPr bwMode="auto">
        <a:xfrm xmlns:a="http://schemas.openxmlformats.org/drawingml/2006/main">
          <a:off x="7096125" y="2513742"/>
          <a:ext cx="700008" cy="23898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0" tIns="22860" rIns="27432" bIns="0" anchor="t" upright="1"/>
        <a:lstStyle xmlns:a="http://schemas.openxmlformats.org/drawingml/2006/main"/>
        <a:p xmlns:a="http://schemas.openxmlformats.org/drawingml/2006/main">
          <a:pPr algn="r" rtl="0">
            <a:defRPr sz="1000"/>
          </a:pPr>
          <a:r>
            <a:rPr lang="fr-FR" sz="1000" b="1" i="0" u="none" strike="noStrike" baseline="0">
              <a:solidFill>
                <a:srgbClr val="009900"/>
              </a:solidFill>
              <a:latin typeface="Arial"/>
              <a:cs typeface="Arial"/>
            </a:rPr>
            <a:t>  11,7 t/hab</a:t>
          </a:r>
        </a:p>
      </cdr:txBody>
    </cdr:sp>
  </cdr:relSizeAnchor>
  <cdr:relSizeAnchor xmlns:cdr="http://schemas.openxmlformats.org/drawingml/2006/chartDrawing">
    <cdr:from>
      <cdr:x>0.89491</cdr:x>
      <cdr:y>0.12281</cdr:y>
    </cdr:from>
    <cdr:to>
      <cdr:x>0.9701</cdr:x>
      <cdr:y>0.16923</cdr:y>
    </cdr:to>
    <cdr:sp macro="" textlink="">
      <cdr:nvSpPr>
        <cdr:cNvPr id="29699" name="Text Box 3"/>
        <cdr:cNvSpPr txBox="1">
          <a:spLocks xmlns:a="http://schemas.openxmlformats.org/drawingml/2006/main" noChangeArrowheads="1"/>
        </cdr:cNvSpPr>
      </cdr:nvSpPr>
      <cdr:spPr bwMode="auto">
        <a:xfrm xmlns:a="http://schemas.openxmlformats.org/drawingml/2006/main">
          <a:off x="7115175" y="513027"/>
          <a:ext cx="600710" cy="22992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0" tIns="22860" rIns="27432" bIns="0" anchor="t" upright="1"/>
        <a:lstStyle xmlns:a="http://schemas.openxmlformats.org/drawingml/2006/main"/>
        <a:p xmlns:a="http://schemas.openxmlformats.org/drawingml/2006/main">
          <a:pPr algn="r" rtl="0">
            <a:defRPr sz="1000"/>
          </a:pPr>
          <a:r>
            <a:rPr lang="fr-FR" sz="1000" b="1" i="0" u="none" strike="noStrike" baseline="0">
              <a:solidFill>
                <a:schemeClr val="accent2">
                  <a:lumMod val="75000"/>
                </a:schemeClr>
              </a:solidFill>
              <a:latin typeface="Arial"/>
              <a:cs typeface="Arial"/>
            </a:rPr>
            <a:t>2,9 €/kg</a:t>
          </a:r>
        </a:p>
      </cdr:txBody>
    </cdr:sp>
  </cdr:relSizeAnchor>
</c:userShapes>
</file>

<file path=xl/drawings/drawing5.xml><?xml version="1.0" encoding="utf-8"?>
<xdr:wsDr xmlns:xdr="http://schemas.openxmlformats.org/drawingml/2006/spreadsheetDrawing" xmlns:a="http://schemas.openxmlformats.org/drawingml/2006/main">
  <xdr:twoCellAnchor editAs="absolute">
    <xdr:from>
      <xdr:col>2</xdr:col>
      <xdr:colOff>57150</xdr:colOff>
      <xdr:row>2</xdr:row>
      <xdr:rowOff>127000</xdr:rowOff>
    </xdr:from>
    <xdr:to>
      <xdr:col>12</xdr:col>
      <xdr:colOff>209550</xdr:colOff>
      <xdr:row>26</xdr:row>
      <xdr:rowOff>82550</xdr:rowOff>
    </xdr:to>
    <xdr:graphicFrame macro="">
      <xdr:nvGraphicFramePr>
        <xdr:cNvPr id="9218" name="Graphique 6">
          <a:extLst>
            <a:ext uri="{FF2B5EF4-FFF2-40B4-BE49-F238E27FC236}">
              <a16:creationId xmlns:a16="http://schemas.microsoft.com/office/drawing/2014/main" id="{A8565D1E-D79C-474B-ABC5-4E61FCF38F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0.0563</cdr:x>
      <cdr:y>0.94833</cdr:y>
    </cdr:from>
    <cdr:to>
      <cdr:x>0.06801</cdr:x>
      <cdr:y>0.99692</cdr:y>
    </cdr:to>
    <cdr:sp macro="" textlink="">
      <cdr:nvSpPr>
        <cdr:cNvPr id="17410" name="Text Box 2"/>
        <cdr:cNvSpPr txBox="1">
          <a:spLocks xmlns:a="http://schemas.openxmlformats.org/drawingml/2006/main" noChangeArrowheads="1"/>
        </cdr:cNvSpPr>
      </cdr:nvSpPr>
      <cdr:spPr bwMode="auto">
        <a:xfrm xmlns:a="http://schemas.openxmlformats.org/drawingml/2006/main">
          <a:off x="390849" y="5838430"/>
          <a:ext cx="76774" cy="20053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a:lstStyle xmlns:a="http://schemas.openxmlformats.org/drawingml/2006/main"/>
        <a:p xmlns:a="http://schemas.openxmlformats.org/drawingml/2006/main">
          <a:endParaRPr lang="fr-FR"/>
        </a:p>
      </cdr:txBody>
    </cdr:sp>
  </cdr:relSizeAnchor>
  <cdr:relSizeAnchor xmlns:cdr="http://schemas.openxmlformats.org/drawingml/2006/chartDrawing">
    <cdr:from>
      <cdr:x>0.01458</cdr:x>
      <cdr:y>0.03891</cdr:y>
    </cdr:from>
    <cdr:to>
      <cdr:x>0.14646</cdr:x>
      <cdr:y>0.18601</cdr:y>
    </cdr:to>
    <cdr:sp macro="" textlink="">
      <cdr:nvSpPr>
        <cdr:cNvPr id="2" name="ZoneTexte 1"/>
        <cdr:cNvSpPr txBox="1"/>
      </cdr:nvSpPr>
      <cdr:spPr>
        <a:xfrm xmlns:a="http://schemas.openxmlformats.org/drawingml/2006/main">
          <a:off x="120650" y="1714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fr-FR"/>
        </a:p>
      </cdr:txBody>
    </cdr:sp>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c.europa.eu/eurostat/databrowser/view/ENV_AC_MFA__custom_7190444/default/table?lang=f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c.europa.eu/eurostat/databrowser/view/ENV_AC_RME/default/table?lang=e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insee.fr/fr/statistiques/serie/010548499" TargetMode="External"/><Relationship Id="rId1" Type="http://schemas.openxmlformats.org/officeDocument/2006/relationships/hyperlink" Target="https://www.insee.fr/fr/statistiques/5225246"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localhost/OECDStat_Metadata/ShowMetadata.ashx?Dataset=MATERIAL_RESOURCES&amp;Coords=%5bCOU%5d.%5bERI%5d&amp;ShowOnWeb=true&amp;Lang=fr" TargetMode="External"/><Relationship Id="rId18" Type="http://schemas.openxmlformats.org/officeDocument/2006/relationships/hyperlink" Target="http://localhost/OECDStat_Metadata/ShowMetadata.ashx?Dataset=MATERIAL_RESOURCES&amp;Coords=%5bCOU%5d.%5bMAC%5d&amp;ShowOnWeb=true&amp;Lang=fr" TargetMode="External"/><Relationship Id="rId26" Type="http://schemas.openxmlformats.org/officeDocument/2006/relationships/hyperlink" Target="http://localhost/OECDStat_Metadata/ShowMetadata.ashx?Dataset=MATERIAL_RESOURCES&amp;Coords=%5bCOU%5d.%5bTLS%5d&amp;ShowOnWeb=true&amp;Lang=fr" TargetMode="External"/><Relationship Id="rId3" Type="http://schemas.openxmlformats.org/officeDocument/2006/relationships/hyperlink" Target="http://localhost/OECDStat_Metadata/ShowMetadata.ashx?Dataset=MATERIAL_RESOURCES&amp;Coords=%5bCOU%5d.%5bISR%5d&amp;ShowOnWeb=true&amp;Lang=fr" TargetMode="External"/><Relationship Id="rId21" Type="http://schemas.openxmlformats.org/officeDocument/2006/relationships/hyperlink" Target="http://localhost/OECDStat_Metadata/ShowMetadata.ashx?Dataset=MATERIAL_RESOURCES&amp;Coords=%5bCOU%5d.%5bMDA%5d&amp;ShowOnWeb=true&amp;Lang=fr" TargetMode="External"/><Relationship Id="rId34" Type="http://schemas.openxmlformats.org/officeDocument/2006/relationships/comments" Target="../comments1.xml"/><Relationship Id="rId7" Type="http://schemas.openxmlformats.org/officeDocument/2006/relationships/hyperlink" Target="http://localhost/OECDStat_Metadata/ShowMetadata.ashx?Dataset=MATERIAL_RESOURCES&amp;Coords=%5bCOU%5d.%5bBIH%5d&amp;ShowOnWeb=true&amp;Lang=fr" TargetMode="External"/><Relationship Id="rId12" Type="http://schemas.openxmlformats.org/officeDocument/2006/relationships/hyperlink" Target="http://localhost/OECDStat_Metadata/ShowMetadata.ashx?Dataset=MATERIAL_RESOURCES&amp;Coords=%5bCOU%5d.%5bCYP%5d&amp;ShowOnWeb=true&amp;Lang=fr" TargetMode="External"/><Relationship Id="rId17" Type="http://schemas.openxmlformats.org/officeDocument/2006/relationships/hyperlink" Target="http://localhost/OECDStat_Metadata/ShowMetadata.ashx?Dataset=MATERIAL_RESOURCES&amp;Coords=%5bCOU%5d.%5bKGZ%5d&amp;ShowOnWeb=true&amp;Lang=fr" TargetMode="External"/><Relationship Id="rId25" Type="http://schemas.openxmlformats.org/officeDocument/2006/relationships/hyperlink" Target="http://localhost/OECDStat_Metadata/ShowMetadata.ashx?Dataset=MATERIAL_RESOURCES&amp;Coords=%5bCOU%5d.%5bTJK%5d&amp;ShowOnWeb=true&amp;Lang=fr" TargetMode="External"/><Relationship Id="rId33" Type="http://schemas.openxmlformats.org/officeDocument/2006/relationships/vmlDrawing" Target="../drawings/vmlDrawing1.vml"/><Relationship Id="rId2" Type="http://schemas.openxmlformats.org/officeDocument/2006/relationships/hyperlink" Target="http://localhost/OECDStat_Metadata/ShowMetadata.ashx?Dataset=MATERIAL_RESOURCES&amp;Coords=%5bCOU%5d.%5bDEU%5d&amp;ShowOnWeb=true&amp;Lang=fr" TargetMode="External"/><Relationship Id="rId16" Type="http://schemas.openxmlformats.org/officeDocument/2006/relationships/hyperlink" Target="http://localhost/OECDStat_Metadata/ShowMetadata.ashx?Dataset=MATERIAL_RESOURCES&amp;Coords=%5bCOU%5d.%5bKAZ%5d&amp;ShowOnWeb=true&amp;Lang=fr" TargetMode="External"/><Relationship Id="rId20" Type="http://schemas.openxmlformats.org/officeDocument/2006/relationships/hyperlink" Target="http://localhost/OECDStat_Metadata/ShowMetadata.ashx?Dataset=MATERIAL_RESOURCES&amp;Coords=%5bCOU%5d.%5bFSM%5d&amp;ShowOnWeb=true&amp;Lang=fr" TargetMode="External"/><Relationship Id="rId29" Type="http://schemas.openxmlformats.org/officeDocument/2006/relationships/hyperlink" Target="http://localhost/OECDStat_Metadata/ShowMetadata.ashx?Dataset=MATERIAL_RESOURCES&amp;Coords=%5bCOU%5d.%5bYEM%5d&amp;ShowOnWeb=true&amp;Lang=fr" TargetMode="External"/><Relationship Id="rId1" Type="http://schemas.openxmlformats.org/officeDocument/2006/relationships/hyperlink" Target="http://localhost/OECDStat_Metadata/ShowMetadata.ashx?Dataset=MATERIAL_RESOURCES&amp;ShowOnWeb=true&amp;Lang=fr" TargetMode="External"/><Relationship Id="rId6" Type="http://schemas.openxmlformats.org/officeDocument/2006/relationships/hyperlink" Target="http://localhost/OECDStat_Metadata/ShowMetadata.ashx?Dataset=MATERIAL_RESOURCES&amp;Coords=%5bCOU%5d.%5bAZE%5d&amp;ShowOnWeb=true&amp;Lang=fr" TargetMode="External"/><Relationship Id="rId11" Type="http://schemas.openxmlformats.org/officeDocument/2006/relationships/hyperlink" Target="http://localhost/OECDStat_Metadata/ShowMetadata.ashx?Dataset=MATERIAL_RESOURCES&amp;Coords=%5bCOU%5d.%5bCIV%5d&amp;ShowOnWeb=true&amp;Lang=fr" TargetMode="External"/><Relationship Id="rId24" Type="http://schemas.openxmlformats.org/officeDocument/2006/relationships/hyperlink" Target="http://localhost/OECDStat_Metadata/ShowMetadata.ashx?Dataset=MATERIAL_RESOURCES&amp;Coords=%5bCOU%5d.%5bPLW%5d&amp;ShowOnWeb=true&amp;Lang=fr" TargetMode="External"/><Relationship Id="rId32" Type="http://schemas.openxmlformats.org/officeDocument/2006/relationships/printerSettings" Target="../printerSettings/printerSettings2.bin"/><Relationship Id="rId5" Type="http://schemas.openxmlformats.org/officeDocument/2006/relationships/hyperlink" Target="http://localhost/OECDStat_Metadata/ShowMetadata.ashx?Dataset=MATERIAL_RESOURCES&amp;Coords=%5bCOU%5d.%5bABW%5d&amp;ShowOnWeb=true&amp;Lang=fr" TargetMode="External"/><Relationship Id="rId15" Type="http://schemas.openxmlformats.org/officeDocument/2006/relationships/hyperlink" Target="http://localhost/OECDStat_Metadata/ShowMetadata.ashx?Dataset=MATERIAL_RESOURCES&amp;Coords=%5bCOU%5d.%5bHKG%5d&amp;ShowOnWeb=true&amp;Lang=fr" TargetMode="External"/><Relationship Id="rId23" Type="http://schemas.openxmlformats.org/officeDocument/2006/relationships/hyperlink" Target="http://localhost/OECDStat_Metadata/ShowMetadata.ashx?Dataset=MATERIAL_RESOURCES&amp;Coords=%5bCOU%5d.%5bANT%5d&amp;ShowOnWeb=true&amp;Lang=fr" TargetMode="External"/><Relationship Id="rId28" Type="http://schemas.openxmlformats.org/officeDocument/2006/relationships/hyperlink" Target="http://localhost/OECDStat_Metadata/ShowMetadata.ashx?Dataset=MATERIAL_RESOURCES&amp;Coords=%5bCOU%5d.%5bUZB%5d&amp;ShowOnWeb=true&amp;Lang=fr" TargetMode="External"/><Relationship Id="rId10" Type="http://schemas.openxmlformats.org/officeDocument/2006/relationships/hyperlink" Target="http://localhost/OECDStat_Metadata/ShowMetadata.ashx?Dataset=MATERIAL_RESOURCES&amp;Coords=%5bCOU%5d.%5bCOD%5d&amp;ShowOnWeb=true&amp;Lang=fr" TargetMode="External"/><Relationship Id="rId19" Type="http://schemas.openxmlformats.org/officeDocument/2006/relationships/hyperlink" Target="http://localhost/OECDStat_Metadata/ShowMetadata.ashx?Dataset=MATERIAL_RESOURCES&amp;Coords=%5bCOU%5d.%5bMHL%5d&amp;ShowOnWeb=true&amp;Lang=fr" TargetMode="External"/><Relationship Id="rId31" Type="http://schemas.openxmlformats.org/officeDocument/2006/relationships/hyperlink" Target="https://stats.oecd.org/" TargetMode="External"/><Relationship Id="rId4" Type="http://schemas.openxmlformats.org/officeDocument/2006/relationships/hyperlink" Target="http://localhost/OECDStat_Metadata/ShowMetadata.ashx?Dataset=MATERIAL_RESOURCES&amp;Coords=%5bCOU%5d.%5bARM%5d&amp;ShowOnWeb=true&amp;Lang=fr" TargetMode="External"/><Relationship Id="rId9" Type="http://schemas.openxmlformats.org/officeDocument/2006/relationships/hyperlink" Target="http://localhost/OECDStat_Metadata/ShowMetadata.ashx?Dataset=MATERIAL_RESOURCES&amp;Coords=%5bCOU%5d.%5bKHM%5d&amp;ShowOnWeb=true&amp;Lang=fr" TargetMode="External"/><Relationship Id="rId14" Type="http://schemas.openxmlformats.org/officeDocument/2006/relationships/hyperlink" Target="http://localhost/OECDStat_Metadata/ShowMetadata.ashx?Dataset=MATERIAL_RESOURCES&amp;Coords=%5bCOU%5d.%5bETH%5d&amp;ShowOnWeb=true&amp;Lang=fr" TargetMode="External"/><Relationship Id="rId22" Type="http://schemas.openxmlformats.org/officeDocument/2006/relationships/hyperlink" Target="http://localhost/OECDStat_Metadata/ShowMetadata.ashx?Dataset=MATERIAL_RESOURCES&amp;Coords=%5bCOU%5d.%5bMMR%5d&amp;ShowOnWeb=true&amp;Lang=fr" TargetMode="External"/><Relationship Id="rId27" Type="http://schemas.openxmlformats.org/officeDocument/2006/relationships/hyperlink" Target="http://localhost/OECDStat_Metadata/ShowMetadata.ashx?Dataset=MATERIAL_RESOURCES&amp;Coords=%5bCOU%5d.%5bTKM%5d&amp;ShowOnWeb=true&amp;Lang=fr" TargetMode="External"/><Relationship Id="rId30" Type="http://schemas.openxmlformats.org/officeDocument/2006/relationships/hyperlink" Target="https://stats-3.oecd.org/index.aspx?DatasetCode=MATERIAL_RESOURCES" TargetMode="External"/><Relationship Id="rId8" Type="http://schemas.openxmlformats.org/officeDocument/2006/relationships/hyperlink" Target="http://localhost/OECDStat_Metadata/ShowMetadata.ashx?Dataset=MATERIAL_RESOURCES&amp;Coords=%5bCOU%5d.%5bBFA%5d&amp;ShowOnWeb=true&amp;Lang=fr"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
  <sheetViews>
    <sheetView showGridLines="0" tabSelected="1" workbookViewId="0">
      <selection activeCell="U33" sqref="U33"/>
    </sheetView>
  </sheetViews>
  <sheetFormatPr baseColWidth="10" defaultRowHeight="14.4" x14ac:dyDescent="0.3"/>
  <sheetData>
    <row r="1" spans="1:15" x14ac:dyDescent="0.3">
      <c r="A1" s="200" t="s">
        <v>70</v>
      </c>
      <c r="B1" s="200"/>
      <c r="C1" s="200"/>
      <c r="D1" s="200"/>
      <c r="E1" s="200"/>
      <c r="F1" s="200"/>
      <c r="G1" s="200"/>
      <c r="H1" s="200"/>
      <c r="I1" s="200"/>
      <c r="J1" s="200"/>
      <c r="K1" s="200"/>
      <c r="L1" s="200"/>
      <c r="M1" s="200"/>
      <c r="N1" s="200"/>
      <c r="O1" s="200"/>
    </row>
    <row r="2" spans="1:15" x14ac:dyDescent="0.3">
      <c r="A2" s="200"/>
      <c r="B2" s="200"/>
      <c r="C2" s="200"/>
      <c r="D2" s="200"/>
      <c r="E2" s="200"/>
      <c r="F2" s="200"/>
      <c r="G2" s="200"/>
      <c r="H2" s="200"/>
      <c r="I2" s="200"/>
      <c r="J2" s="200"/>
      <c r="K2" s="200"/>
      <c r="L2" s="200"/>
      <c r="M2" s="200"/>
      <c r="N2" s="200"/>
      <c r="O2" s="200"/>
    </row>
    <row r="3" spans="1:15" x14ac:dyDescent="0.3">
      <c r="A3" s="200"/>
      <c r="B3" s="200"/>
      <c r="C3" s="200"/>
      <c r="D3" s="200"/>
      <c r="E3" s="200"/>
      <c r="F3" s="200"/>
      <c r="G3" s="200"/>
      <c r="H3" s="200"/>
      <c r="I3" s="200"/>
      <c r="J3" s="200"/>
      <c r="K3" s="200"/>
      <c r="L3" s="200"/>
      <c r="M3" s="200"/>
      <c r="N3" s="200"/>
      <c r="O3" s="200"/>
    </row>
    <row r="4" spans="1:15" x14ac:dyDescent="0.3">
      <c r="A4" s="201" t="s">
        <v>69</v>
      </c>
      <c r="B4" s="201"/>
      <c r="C4" s="201"/>
      <c r="D4" s="201"/>
      <c r="E4" s="201"/>
      <c r="F4" s="201"/>
      <c r="G4" s="201"/>
      <c r="H4" s="201"/>
      <c r="I4" s="201"/>
      <c r="J4" s="201"/>
      <c r="K4" s="201"/>
      <c r="L4" s="201"/>
      <c r="M4" s="201"/>
      <c r="N4" s="201"/>
      <c r="O4" s="201"/>
    </row>
    <row r="5" spans="1:15" x14ac:dyDescent="0.3">
      <c r="A5" s="201"/>
      <c r="B5" s="201"/>
      <c r="C5" s="201"/>
      <c r="D5" s="201"/>
      <c r="E5" s="201"/>
      <c r="F5" s="201"/>
      <c r="G5" s="201"/>
      <c r="H5" s="201"/>
      <c r="I5" s="201"/>
      <c r="J5" s="201"/>
      <c r="K5" s="201"/>
      <c r="L5" s="201"/>
      <c r="M5" s="201"/>
      <c r="N5" s="201"/>
      <c r="O5" s="201"/>
    </row>
    <row r="6" spans="1:15" x14ac:dyDescent="0.3">
      <c r="A6" s="201"/>
      <c r="B6" s="201"/>
      <c r="C6" s="201"/>
      <c r="D6" s="201"/>
      <c r="E6" s="201"/>
      <c r="F6" s="201"/>
      <c r="G6" s="201"/>
      <c r="H6" s="201"/>
      <c r="I6" s="201"/>
      <c r="J6" s="201"/>
      <c r="K6" s="201"/>
      <c r="L6" s="201"/>
      <c r="M6" s="201"/>
      <c r="N6" s="201"/>
      <c r="O6" s="201"/>
    </row>
    <row r="7" spans="1:15" x14ac:dyDescent="0.3">
      <c r="A7" s="203"/>
      <c r="B7" s="203"/>
      <c r="C7" s="203"/>
      <c r="D7" s="203"/>
      <c r="E7" s="203"/>
      <c r="F7" s="203"/>
      <c r="G7" s="203"/>
      <c r="H7" s="203"/>
      <c r="I7" s="203"/>
      <c r="J7" s="203"/>
      <c r="K7" s="203"/>
      <c r="L7" s="203"/>
      <c r="M7" s="203"/>
      <c r="N7" s="203"/>
      <c r="O7" s="203"/>
    </row>
    <row r="8" spans="1:15" x14ac:dyDescent="0.3">
      <c r="A8" s="202" t="s">
        <v>71</v>
      </c>
      <c r="B8" s="202"/>
      <c r="C8" s="202"/>
      <c r="D8" s="202"/>
      <c r="E8" s="202"/>
      <c r="F8" s="202"/>
      <c r="G8" s="202"/>
      <c r="H8" s="202"/>
      <c r="I8" s="202"/>
      <c r="J8" s="202"/>
      <c r="K8" s="202"/>
      <c r="L8" s="202"/>
      <c r="M8" s="202"/>
      <c r="N8" s="202"/>
      <c r="O8" s="202"/>
    </row>
    <row r="9" spans="1:15" x14ac:dyDescent="0.3">
      <c r="A9" s="202"/>
      <c r="B9" s="202"/>
      <c r="C9" s="202"/>
      <c r="D9" s="202"/>
      <c r="E9" s="202"/>
      <c r="F9" s="202"/>
      <c r="G9" s="202"/>
      <c r="H9" s="202"/>
      <c r="I9" s="202"/>
      <c r="J9" s="202"/>
      <c r="K9" s="202"/>
      <c r="L9" s="202"/>
      <c r="M9" s="202"/>
      <c r="N9" s="202"/>
      <c r="O9" s="202"/>
    </row>
    <row r="10" spans="1:15" x14ac:dyDescent="0.3">
      <c r="A10" s="202" t="s">
        <v>72</v>
      </c>
      <c r="B10" s="202"/>
      <c r="C10" s="204" t="s">
        <v>327</v>
      </c>
      <c r="D10" s="204"/>
      <c r="E10" s="204"/>
      <c r="F10" s="204"/>
      <c r="G10" s="204"/>
      <c r="H10" s="204"/>
      <c r="I10" s="204"/>
      <c r="J10" s="204"/>
      <c r="K10" s="204"/>
      <c r="L10" s="204"/>
      <c r="M10" s="204"/>
      <c r="N10" s="204"/>
      <c r="O10" s="204"/>
    </row>
    <row r="11" spans="1:15" x14ac:dyDescent="0.3">
      <c r="A11" s="202"/>
      <c r="B11" s="202"/>
      <c r="C11" s="204"/>
      <c r="D11" s="204"/>
      <c r="E11" s="204"/>
      <c r="F11" s="204"/>
      <c r="G11" s="204"/>
      <c r="H11" s="204"/>
      <c r="I11" s="204"/>
      <c r="J11" s="204"/>
      <c r="K11" s="204"/>
      <c r="L11" s="204"/>
      <c r="M11" s="204"/>
      <c r="N11" s="204"/>
      <c r="O11" s="204"/>
    </row>
    <row r="12" spans="1:15" x14ac:dyDescent="0.3">
      <c r="A12" s="202"/>
      <c r="B12" s="202"/>
      <c r="C12" s="204"/>
      <c r="D12" s="204"/>
      <c r="E12" s="204"/>
      <c r="F12" s="204"/>
      <c r="G12" s="204"/>
      <c r="H12" s="204"/>
      <c r="I12" s="204"/>
      <c r="J12" s="204"/>
      <c r="K12" s="204"/>
      <c r="L12" s="204"/>
      <c r="M12" s="204"/>
      <c r="N12" s="204"/>
      <c r="O12" s="204"/>
    </row>
    <row r="13" spans="1:15" x14ac:dyDescent="0.3">
      <c r="A13" s="202" t="s">
        <v>73</v>
      </c>
      <c r="B13" s="202"/>
      <c r="C13" s="204" t="s">
        <v>77</v>
      </c>
      <c r="D13" s="204"/>
      <c r="E13" s="204"/>
      <c r="F13" s="204"/>
      <c r="G13" s="204"/>
      <c r="H13" s="204"/>
      <c r="I13" s="204"/>
      <c r="J13" s="204"/>
      <c r="K13" s="204"/>
      <c r="L13" s="204"/>
      <c r="M13" s="204"/>
      <c r="N13" s="204"/>
      <c r="O13" s="204"/>
    </row>
    <row r="14" spans="1:15" x14ac:dyDescent="0.3">
      <c r="A14" s="202"/>
      <c r="B14" s="202"/>
      <c r="C14" s="204"/>
      <c r="D14" s="204"/>
      <c r="E14" s="204"/>
      <c r="F14" s="204"/>
      <c r="G14" s="204"/>
      <c r="H14" s="204"/>
      <c r="I14" s="204"/>
      <c r="J14" s="204"/>
      <c r="K14" s="204"/>
      <c r="L14" s="204"/>
      <c r="M14" s="204"/>
      <c r="N14" s="204"/>
      <c r="O14" s="204"/>
    </row>
    <row r="15" spans="1:15" x14ac:dyDescent="0.3">
      <c r="A15" s="202"/>
      <c r="B15" s="202"/>
      <c r="C15" s="204"/>
      <c r="D15" s="204"/>
      <c r="E15" s="204"/>
      <c r="F15" s="204"/>
      <c r="G15" s="204"/>
      <c r="H15" s="204"/>
      <c r="I15" s="204"/>
      <c r="J15" s="204"/>
      <c r="K15" s="204"/>
      <c r="L15" s="204"/>
      <c r="M15" s="204"/>
      <c r="N15" s="204"/>
      <c r="O15" s="204"/>
    </row>
    <row r="16" spans="1:15" x14ac:dyDescent="0.3">
      <c r="A16" s="202" t="s">
        <v>74</v>
      </c>
      <c r="B16" s="202"/>
      <c r="C16" s="204" t="s">
        <v>78</v>
      </c>
      <c r="D16" s="204"/>
      <c r="E16" s="204"/>
      <c r="F16" s="204"/>
      <c r="G16" s="204"/>
      <c r="H16" s="204"/>
      <c r="I16" s="204"/>
      <c r="J16" s="204"/>
      <c r="K16" s="204"/>
      <c r="L16" s="204"/>
      <c r="M16" s="204"/>
      <c r="N16" s="204"/>
      <c r="O16" s="204"/>
    </row>
    <row r="17" spans="1:15" x14ac:dyDescent="0.3">
      <c r="A17" s="202"/>
      <c r="B17" s="202"/>
      <c r="C17" s="204"/>
      <c r="D17" s="204"/>
      <c r="E17" s="204"/>
      <c r="F17" s="204"/>
      <c r="G17" s="204"/>
      <c r="H17" s="204"/>
      <c r="I17" s="204"/>
      <c r="J17" s="204"/>
      <c r="K17" s="204"/>
      <c r="L17" s="204"/>
      <c r="M17" s="204"/>
      <c r="N17" s="204"/>
      <c r="O17" s="204"/>
    </row>
    <row r="18" spans="1:15" x14ac:dyDescent="0.3">
      <c r="A18" s="202"/>
      <c r="B18" s="202"/>
      <c r="C18" s="204"/>
      <c r="D18" s="204"/>
      <c r="E18" s="204"/>
      <c r="F18" s="204"/>
      <c r="G18" s="204"/>
      <c r="H18" s="204"/>
      <c r="I18" s="204"/>
      <c r="J18" s="204"/>
      <c r="K18" s="204"/>
      <c r="L18" s="204"/>
      <c r="M18" s="204"/>
      <c r="N18" s="204"/>
      <c r="O18" s="204"/>
    </row>
    <row r="19" spans="1:15" x14ac:dyDescent="0.3">
      <c r="A19" s="202" t="s">
        <v>75</v>
      </c>
      <c r="B19" s="202"/>
      <c r="C19" s="204" t="s">
        <v>79</v>
      </c>
      <c r="D19" s="204"/>
      <c r="E19" s="204"/>
      <c r="F19" s="204"/>
      <c r="G19" s="204"/>
      <c r="H19" s="204"/>
      <c r="I19" s="204"/>
      <c r="J19" s="204"/>
      <c r="K19" s="204"/>
      <c r="L19" s="204"/>
      <c r="M19" s="204"/>
      <c r="N19" s="204"/>
      <c r="O19" s="204"/>
    </row>
    <row r="20" spans="1:15" x14ac:dyDescent="0.3">
      <c r="A20" s="202"/>
      <c r="B20" s="202"/>
      <c r="C20" s="204"/>
      <c r="D20" s="204"/>
      <c r="E20" s="204"/>
      <c r="F20" s="204"/>
      <c r="G20" s="204"/>
      <c r="H20" s="204"/>
      <c r="I20" s="204"/>
      <c r="J20" s="204"/>
      <c r="K20" s="204"/>
      <c r="L20" s="204"/>
      <c r="M20" s="204"/>
      <c r="N20" s="204"/>
      <c r="O20" s="204"/>
    </row>
    <row r="21" spans="1:15" x14ac:dyDescent="0.3">
      <c r="A21" s="202"/>
      <c r="B21" s="202"/>
      <c r="C21" s="204"/>
      <c r="D21" s="204"/>
      <c r="E21" s="204"/>
      <c r="F21" s="204"/>
      <c r="G21" s="204"/>
      <c r="H21" s="204"/>
      <c r="I21" s="204"/>
      <c r="J21" s="204"/>
      <c r="K21" s="204"/>
      <c r="L21" s="204"/>
      <c r="M21" s="204"/>
      <c r="N21" s="204"/>
      <c r="O21" s="204"/>
    </row>
    <row r="22" spans="1:15" x14ac:dyDescent="0.3">
      <c r="A22" s="202" t="s">
        <v>76</v>
      </c>
      <c r="B22" s="202"/>
      <c r="C22" s="204" t="s">
        <v>328</v>
      </c>
      <c r="D22" s="204"/>
      <c r="E22" s="204"/>
      <c r="F22" s="204"/>
      <c r="G22" s="204"/>
      <c r="H22" s="204"/>
      <c r="I22" s="204"/>
      <c r="J22" s="204"/>
      <c r="K22" s="204"/>
      <c r="L22" s="204"/>
      <c r="M22" s="204"/>
      <c r="N22" s="204"/>
      <c r="O22" s="204"/>
    </row>
    <row r="23" spans="1:15" x14ac:dyDescent="0.3">
      <c r="A23" s="202"/>
      <c r="B23" s="202"/>
      <c r="C23" s="204"/>
      <c r="D23" s="204"/>
      <c r="E23" s="204"/>
      <c r="F23" s="204"/>
      <c r="G23" s="204"/>
      <c r="H23" s="204"/>
      <c r="I23" s="204"/>
      <c r="J23" s="204"/>
      <c r="K23" s="204"/>
      <c r="L23" s="204"/>
      <c r="M23" s="204"/>
      <c r="N23" s="204"/>
      <c r="O23" s="204"/>
    </row>
    <row r="24" spans="1:15" x14ac:dyDescent="0.3">
      <c r="A24" s="202"/>
      <c r="B24" s="202"/>
      <c r="C24" s="204"/>
      <c r="D24" s="204"/>
      <c r="E24" s="204"/>
      <c r="F24" s="204"/>
      <c r="G24" s="204"/>
      <c r="H24" s="204"/>
      <c r="I24" s="204"/>
      <c r="J24" s="204"/>
      <c r="K24" s="204"/>
      <c r="L24" s="204"/>
      <c r="M24" s="204"/>
      <c r="N24" s="204"/>
      <c r="O24" s="204"/>
    </row>
  </sheetData>
  <mergeCells count="14">
    <mergeCell ref="A16:B18"/>
    <mergeCell ref="A19:B21"/>
    <mergeCell ref="A22:B24"/>
    <mergeCell ref="C10:O12"/>
    <mergeCell ref="C13:O15"/>
    <mergeCell ref="C16:O18"/>
    <mergeCell ref="C19:O21"/>
    <mergeCell ref="C22:O24"/>
    <mergeCell ref="A1:O3"/>
    <mergeCell ref="A4:O6"/>
    <mergeCell ref="A8:O9"/>
    <mergeCell ref="A10:B12"/>
    <mergeCell ref="A13:B15"/>
    <mergeCell ref="A7:O7"/>
  </mergeCells>
  <hyperlinks>
    <hyperlink ref="C10:O12" location="Donnees_Eurostat_MFA!A1" display="Ensemble des données à compléter et mettre à jour. Le reste des feuilles excel seont automatisées. " xr:uid="{00000000-0004-0000-0000-000000000000}"/>
    <hyperlink ref="C13:O15" location="'Graph 1'!A1" display="Graphique 1: extraction, importation et exportation de matière en France." xr:uid="{00000000-0004-0000-0000-000001000000}"/>
    <hyperlink ref="C16:O18" location="'Graph 2'!A1" display="Graphique 2: PIB et consommation de matières." xr:uid="{00000000-0004-0000-0000-000002000000}"/>
    <hyperlink ref="C19:O21" location="'Graph 3'!A1" display="Graphique 3: Evolution de la consommation de matière et de la productivité de matière de l'économie française. " xr:uid="{00000000-0004-0000-0000-000003000000}"/>
    <hyperlink ref="C22:O24" location="'Graph 4'!A1" display="Graphique 4: Comparaison internationale de la consommation de matières. Pas de mis-à-jour ou automatisation pour l'instant. "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61"/>
  <sheetViews>
    <sheetView showGridLines="0" workbookViewId="0">
      <pane xSplit="2" ySplit="4" topLeftCell="C5" activePane="bottomRight" state="frozen"/>
      <selection pane="topRight" activeCell="C1" sqref="C1"/>
      <selection pane="bottomLeft" activeCell="A5" sqref="A5"/>
      <selection pane="bottomRight" activeCell="J257" sqref="J257"/>
    </sheetView>
  </sheetViews>
  <sheetFormatPr baseColWidth="10" defaultRowHeight="14.4" x14ac:dyDescent="0.3"/>
  <cols>
    <col min="1" max="1" width="22.44140625" customWidth="1"/>
    <col min="2" max="2" width="40.77734375" customWidth="1"/>
  </cols>
  <sheetData>
    <row r="1" spans="1:35" x14ac:dyDescent="0.3">
      <c r="A1" s="205" t="s">
        <v>265</v>
      </c>
      <c r="B1" s="205"/>
      <c r="C1" s="205"/>
      <c r="D1" s="205"/>
      <c r="E1" s="205"/>
      <c r="F1" s="205"/>
      <c r="G1" s="205"/>
      <c r="H1" s="205"/>
      <c r="I1" s="205"/>
    </row>
    <row r="2" spans="1:35" x14ac:dyDescent="0.3">
      <c r="A2" s="205"/>
      <c r="B2" s="205"/>
      <c r="C2" s="205"/>
      <c r="D2" s="205"/>
      <c r="E2" s="205"/>
      <c r="F2" s="205"/>
      <c r="G2" s="205"/>
      <c r="H2" s="205"/>
      <c r="I2" s="205"/>
    </row>
    <row r="3" spans="1:35" x14ac:dyDescent="0.3">
      <c r="A3" s="205"/>
      <c r="B3" s="205"/>
      <c r="C3" s="205"/>
      <c r="D3" s="205"/>
      <c r="E3" s="205"/>
      <c r="F3" s="205"/>
      <c r="G3" s="205"/>
      <c r="H3" s="205"/>
      <c r="I3" s="205"/>
    </row>
    <row r="4" spans="1:35" x14ac:dyDescent="0.3">
      <c r="A4" s="205"/>
      <c r="B4" s="205"/>
      <c r="C4" s="205"/>
      <c r="D4" s="205"/>
      <c r="E4" s="205"/>
      <c r="F4" s="205"/>
      <c r="G4" s="205"/>
      <c r="H4" s="205"/>
      <c r="I4" s="205"/>
    </row>
    <row r="6" spans="1:35" s="71" customFormat="1" ht="15" thickBot="1" x14ac:dyDescent="0.35">
      <c r="A6" s="192" t="s">
        <v>80</v>
      </c>
    </row>
    <row r="7" spans="1:35" x14ac:dyDescent="0.3">
      <c r="A7" s="55" t="s">
        <v>212</v>
      </c>
      <c r="B7" s="56"/>
      <c r="C7" s="57"/>
    </row>
    <row r="8" spans="1:35" x14ac:dyDescent="0.3">
      <c r="A8" s="58" t="s">
        <v>213</v>
      </c>
      <c r="B8" s="59" t="s">
        <v>214</v>
      </c>
      <c r="C8" s="60"/>
    </row>
    <row r="9" spans="1:35" x14ac:dyDescent="0.3">
      <c r="A9" s="58" t="s">
        <v>215</v>
      </c>
      <c r="B9" s="61" t="s">
        <v>216</v>
      </c>
      <c r="C9" s="60"/>
    </row>
    <row r="10" spans="1:35" x14ac:dyDescent="0.3">
      <c r="A10" s="62"/>
      <c r="B10" s="63"/>
      <c r="C10" s="64"/>
    </row>
    <row r="11" spans="1:35" x14ac:dyDescent="0.3">
      <c r="A11" s="65" t="s">
        <v>217</v>
      </c>
      <c r="B11" s="66"/>
      <c r="C11" s="67" t="s">
        <v>218</v>
      </c>
    </row>
    <row r="12" spans="1:35" x14ac:dyDescent="0.3">
      <c r="A12" s="65" t="s">
        <v>219</v>
      </c>
      <c r="B12" s="66"/>
      <c r="C12" s="67" t="s">
        <v>220</v>
      </c>
    </row>
    <row r="13" spans="1:35" ht="15" thickBot="1" x14ac:dyDescent="0.35">
      <c r="A13" s="68" t="s">
        <v>221</v>
      </c>
      <c r="B13" s="69"/>
      <c r="C13" s="70" t="s">
        <v>28</v>
      </c>
    </row>
    <row r="15" spans="1:35" x14ac:dyDescent="0.3">
      <c r="A15" s="211" t="s">
        <v>81</v>
      </c>
      <c r="B15" s="211" t="s">
        <v>81</v>
      </c>
      <c r="C15" s="54" t="s">
        <v>82</v>
      </c>
      <c r="D15" s="54" t="s">
        <v>84</v>
      </c>
      <c r="E15" s="54" t="s">
        <v>85</v>
      </c>
      <c r="F15" s="54" t="s">
        <v>86</v>
      </c>
      <c r="G15" s="54" t="s">
        <v>87</v>
      </c>
      <c r="H15" s="54" t="s">
        <v>88</v>
      </c>
      <c r="I15" s="54" t="s">
        <v>89</v>
      </c>
      <c r="J15" s="54" t="s">
        <v>90</v>
      </c>
      <c r="K15" s="54" t="s">
        <v>91</v>
      </c>
      <c r="L15" s="54" t="s">
        <v>92</v>
      </c>
      <c r="M15" s="54" t="s">
        <v>93</v>
      </c>
      <c r="N15" s="54" t="s">
        <v>94</v>
      </c>
      <c r="O15" s="54" t="s">
        <v>95</v>
      </c>
      <c r="P15" s="54" t="s">
        <v>96</v>
      </c>
      <c r="Q15" s="54" t="s">
        <v>97</v>
      </c>
      <c r="R15" s="54" t="s">
        <v>98</v>
      </c>
      <c r="S15" s="54" t="s">
        <v>99</v>
      </c>
      <c r="T15" s="54" t="s">
        <v>100</v>
      </c>
      <c r="U15" s="54" t="s">
        <v>101</v>
      </c>
      <c r="V15" s="54" t="s">
        <v>102</v>
      </c>
      <c r="W15" s="54" t="s">
        <v>103</v>
      </c>
      <c r="X15" s="54" t="s">
        <v>104</v>
      </c>
      <c r="Y15" s="54" t="s">
        <v>105</v>
      </c>
      <c r="Z15" s="54" t="s">
        <v>106</v>
      </c>
      <c r="AA15" s="54" t="s">
        <v>107</v>
      </c>
      <c r="AB15" s="54" t="s">
        <v>108</v>
      </c>
      <c r="AC15" s="54" t="s">
        <v>109</v>
      </c>
      <c r="AD15" s="54" t="s">
        <v>110</v>
      </c>
      <c r="AE15" s="54" t="s">
        <v>111</v>
      </c>
      <c r="AF15" s="54" t="s">
        <v>112</v>
      </c>
      <c r="AG15" s="54" t="s">
        <v>113</v>
      </c>
      <c r="AH15" s="54" t="s">
        <v>114</v>
      </c>
      <c r="AI15" s="54" t="s">
        <v>115</v>
      </c>
    </row>
    <row r="16" spans="1:35" x14ac:dyDescent="0.3">
      <c r="A16" s="43" t="s">
        <v>116</v>
      </c>
      <c r="B16" s="43" t="s">
        <v>117</v>
      </c>
      <c r="C16" s="45" t="s">
        <v>83</v>
      </c>
      <c r="D16" s="45" t="s">
        <v>83</v>
      </c>
      <c r="E16" s="45" t="s">
        <v>83</v>
      </c>
      <c r="F16" s="45" t="s">
        <v>83</v>
      </c>
      <c r="G16" s="45" t="s">
        <v>83</v>
      </c>
      <c r="H16" s="45" t="s">
        <v>83</v>
      </c>
      <c r="I16" s="45" t="s">
        <v>83</v>
      </c>
      <c r="J16" s="45" t="s">
        <v>83</v>
      </c>
      <c r="K16" s="45" t="s">
        <v>83</v>
      </c>
      <c r="L16" s="45" t="s">
        <v>83</v>
      </c>
      <c r="M16" s="45" t="s">
        <v>83</v>
      </c>
      <c r="N16" s="45" t="s">
        <v>83</v>
      </c>
      <c r="O16" s="45" t="s">
        <v>83</v>
      </c>
      <c r="P16" s="45" t="s">
        <v>83</v>
      </c>
      <c r="Q16" s="45" t="s">
        <v>83</v>
      </c>
      <c r="R16" s="45" t="s">
        <v>83</v>
      </c>
      <c r="S16" s="45" t="s">
        <v>83</v>
      </c>
      <c r="T16" s="45" t="s">
        <v>83</v>
      </c>
      <c r="U16" s="45" t="s">
        <v>83</v>
      </c>
      <c r="V16" s="45" t="s">
        <v>83</v>
      </c>
      <c r="W16" s="45" t="s">
        <v>83</v>
      </c>
      <c r="X16" s="45" t="s">
        <v>83</v>
      </c>
      <c r="Y16" s="45" t="s">
        <v>83</v>
      </c>
      <c r="Z16" s="45" t="s">
        <v>83</v>
      </c>
      <c r="AA16" s="45" t="s">
        <v>83</v>
      </c>
      <c r="AB16" s="45" t="s">
        <v>83</v>
      </c>
      <c r="AC16" s="45" t="s">
        <v>83</v>
      </c>
      <c r="AD16" s="45" t="s">
        <v>83</v>
      </c>
      <c r="AE16" s="45" t="s">
        <v>83</v>
      </c>
      <c r="AF16" s="45" t="s">
        <v>83</v>
      </c>
      <c r="AG16" s="45" t="s">
        <v>83</v>
      </c>
      <c r="AH16" s="45" t="s">
        <v>83</v>
      </c>
      <c r="AI16" s="45" t="s">
        <v>83</v>
      </c>
    </row>
    <row r="17" spans="1:35" x14ac:dyDescent="0.3">
      <c r="A17" s="208" t="s">
        <v>118</v>
      </c>
      <c r="B17" s="44" t="s">
        <v>41</v>
      </c>
      <c r="C17" s="48">
        <v>709034.79599999997</v>
      </c>
      <c r="D17" s="48">
        <v>720334.65399999998</v>
      </c>
      <c r="E17" s="48">
        <v>708009.576</v>
      </c>
      <c r="F17" s="48">
        <v>662697.14899999998</v>
      </c>
      <c r="G17" s="48">
        <v>680576.25100000005</v>
      </c>
      <c r="H17" s="48">
        <v>672150.61300000001</v>
      </c>
      <c r="I17" s="48">
        <v>643625.24699999997</v>
      </c>
      <c r="J17" s="48">
        <v>663530.63800000004</v>
      </c>
      <c r="K17" s="48">
        <v>676517.29599999997</v>
      </c>
      <c r="L17" s="48">
        <v>701724.42500000005</v>
      </c>
      <c r="M17" s="48">
        <v>735010.90500000003</v>
      </c>
      <c r="N17" s="48">
        <v>705066.14099999995</v>
      </c>
      <c r="O17" s="48">
        <v>705622.71400000004</v>
      </c>
      <c r="P17" s="48">
        <v>656750.50699999998</v>
      </c>
      <c r="Q17" s="48">
        <v>713829.73800000001</v>
      </c>
      <c r="R17" s="48">
        <v>689755.13199999998</v>
      </c>
      <c r="S17" s="48">
        <v>704777.94499999995</v>
      </c>
      <c r="T17" s="48">
        <v>737208.61300000001</v>
      </c>
      <c r="U17" s="48">
        <v>719407.48300000001</v>
      </c>
      <c r="V17" s="48">
        <v>659054.64500000002</v>
      </c>
      <c r="W17" s="48">
        <v>636404.277</v>
      </c>
      <c r="X17" s="48">
        <v>654972.22199999995</v>
      </c>
      <c r="Y17" s="48">
        <v>634447.49600000004</v>
      </c>
      <c r="Z17" s="48">
        <v>636331.50699999998</v>
      </c>
      <c r="AA17" s="48">
        <v>639682.09100000001</v>
      </c>
      <c r="AB17" s="48">
        <v>594668.75</v>
      </c>
      <c r="AC17" s="48">
        <v>578366.89</v>
      </c>
      <c r="AD17" s="48">
        <v>630285.071</v>
      </c>
      <c r="AE17" s="48">
        <v>623726.38199999998</v>
      </c>
      <c r="AF17" s="48">
        <v>647763.93400000001</v>
      </c>
      <c r="AG17" s="48">
        <v>590064.04399999999</v>
      </c>
      <c r="AH17" s="48">
        <v>649623.65300000005</v>
      </c>
      <c r="AI17" s="48">
        <v>627353.21499999997</v>
      </c>
    </row>
    <row r="18" spans="1:35" x14ac:dyDescent="0.3">
      <c r="A18" s="209"/>
      <c r="B18" s="44" t="s">
        <v>13</v>
      </c>
      <c r="C18" s="49">
        <v>236827.318</v>
      </c>
      <c r="D18" s="49">
        <v>243836.75700000001</v>
      </c>
      <c r="E18" s="49">
        <v>266618.94</v>
      </c>
      <c r="F18" s="49">
        <v>251950.48800000001</v>
      </c>
      <c r="G18" s="49">
        <v>247033.70199999999</v>
      </c>
      <c r="H18" s="49">
        <v>240276.25899999999</v>
      </c>
      <c r="I18" s="49">
        <v>244540.948</v>
      </c>
      <c r="J18" s="49">
        <v>256853.29500000001</v>
      </c>
      <c r="K18" s="49">
        <v>261578.55799999999</v>
      </c>
      <c r="L18" s="49">
        <v>269260.93599999999</v>
      </c>
      <c r="M18" s="49">
        <v>280858.20400000003</v>
      </c>
      <c r="N18" s="49">
        <v>256584.70800000001</v>
      </c>
      <c r="O18" s="49">
        <v>272341.592</v>
      </c>
      <c r="P18" s="49">
        <v>223199.05300000001</v>
      </c>
      <c r="Q18" s="49">
        <v>273084.26699999999</v>
      </c>
      <c r="R18" s="49">
        <v>250847.45199999999</v>
      </c>
      <c r="S18" s="49">
        <v>249897.82199999999</v>
      </c>
      <c r="T18" s="49">
        <v>268537.18900000001</v>
      </c>
      <c r="U18" s="49">
        <v>272155.74699999997</v>
      </c>
      <c r="V18" s="49">
        <v>269510.77</v>
      </c>
      <c r="W18" s="49">
        <v>255619.94099999999</v>
      </c>
      <c r="X18" s="49">
        <v>257340.03899999999</v>
      </c>
      <c r="Y18" s="49">
        <v>263887.14600000001</v>
      </c>
      <c r="Z18" s="49">
        <v>262402.41800000001</v>
      </c>
      <c r="AA18" s="49">
        <v>286930.04599999997</v>
      </c>
      <c r="AB18" s="49">
        <v>257101.36300000001</v>
      </c>
      <c r="AC18" s="49">
        <v>237910.883</v>
      </c>
      <c r="AD18" s="49">
        <v>274132.09299999999</v>
      </c>
      <c r="AE18" s="49">
        <v>249869.065</v>
      </c>
      <c r="AF18" s="49">
        <v>253574.861</v>
      </c>
      <c r="AG18" s="49">
        <v>226381.69</v>
      </c>
      <c r="AH18" s="49">
        <v>254157.34599999999</v>
      </c>
      <c r="AI18" s="49">
        <v>226778.39600000001</v>
      </c>
    </row>
    <row r="19" spans="1:35" x14ac:dyDescent="0.3">
      <c r="A19" s="209"/>
      <c r="B19" s="50" t="s">
        <v>120</v>
      </c>
      <c r="C19" s="48">
        <v>120866.39200000001</v>
      </c>
      <c r="D19" s="48">
        <v>121640.247</v>
      </c>
      <c r="E19" s="48">
        <v>128078.409</v>
      </c>
      <c r="F19" s="48">
        <v>120052.58199999999</v>
      </c>
      <c r="G19" s="48">
        <v>115789.78</v>
      </c>
      <c r="H19" s="48">
        <v>118114.607</v>
      </c>
      <c r="I19" s="48">
        <v>128809.7</v>
      </c>
      <c r="J19" s="48">
        <v>133686.20499999999</v>
      </c>
      <c r="K19" s="48">
        <v>133965.14600000001</v>
      </c>
      <c r="L19" s="48">
        <v>135544.15400000001</v>
      </c>
      <c r="M19" s="48">
        <v>133187.984</v>
      </c>
      <c r="N19" s="48">
        <v>121011.541</v>
      </c>
      <c r="O19" s="48">
        <v>138595.83100000001</v>
      </c>
      <c r="P19" s="48">
        <v>117645.177</v>
      </c>
      <c r="Q19" s="48">
        <v>138454.01999999999</v>
      </c>
      <c r="R19" s="48">
        <v>130649.993</v>
      </c>
      <c r="S19" s="48">
        <v>125328.943</v>
      </c>
      <c r="T19" s="48">
        <v>126002.833</v>
      </c>
      <c r="U19" s="48">
        <v>133330.59700000001</v>
      </c>
      <c r="V19" s="48">
        <v>140083.06</v>
      </c>
      <c r="W19" s="48">
        <v>131176.76999999999</v>
      </c>
      <c r="X19" s="48">
        <v>136697.283</v>
      </c>
      <c r="Y19" s="48">
        <v>134077.61300000001</v>
      </c>
      <c r="Z19" s="46">
        <v>131506</v>
      </c>
      <c r="AA19" s="48">
        <v>145093.04500000001</v>
      </c>
      <c r="AB19" s="48">
        <v>139926.302</v>
      </c>
      <c r="AC19" s="48">
        <v>121189.74</v>
      </c>
      <c r="AD19" s="48">
        <v>149431.24</v>
      </c>
      <c r="AE19" s="48">
        <v>135766.046</v>
      </c>
      <c r="AF19" s="48">
        <v>141769.18100000001</v>
      </c>
      <c r="AG19" s="48">
        <v>116330.829</v>
      </c>
      <c r="AH19" s="48">
        <v>133282.53899999999</v>
      </c>
      <c r="AI19" s="46" t="s">
        <v>121</v>
      </c>
    </row>
    <row r="20" spans="1:35" x14ac:dyDescent="0.3">
      <c r="A20" s="209"/>
      <c r="B20" s="50" t="s">
        <v>122</v>
      </c>
      <c r="C20" s="49">
        <v>55078.885999999999</v>
      </c>
      <c r="D20" s="49">
        <v>60260.618000000002</v>
      </c>
      <c r="E20" s="49">
        <v>60471.705000000002</v>
      </c>
      <c r="F20" s="49">
        <v>55417.733</v>
      </c>
      <c r="G20" s="49">
        <v>53184.197</v>
      </c>
      <c r="H20" s="49">
        <v>53293.580999999998</v>
      </c>
      <c r="I20" s="49">
        <v>62269.381999999998</v>
      </c>
      <c r="J20" s="49">
        <v>63043.519</v>
      </c>
      <c r="K20" s="49">
        <v>67946.452000000005</v>
      </c>
      <c r="L20" s="49">
        <v>64259.091999999997</v>
      </c>
      <c r="M20" s="49">
        <v>65720.413</v>
      </c>
      <c r="N20" s="49">
        <v>60284.239000000001</v>
      </c>
      <c r="O20" s="49">
        <v>69639.816000000006</v>
      </c>
      <c r="P20" s="49">
        <v>55005.669000000002</v>
      </c>
      <c r="Q20" s="49">
        <v>70522.398000000001</v>
      </c>
      <c r="R20" s="49">
        <v>64098.207999999999</v>
      </c>
      <c r="S20" s="49">
        <v>61741.161999999997</v>
      </c>
      <c r="T20" s="49">
        <v>60144.44</v>
      </c>
      <c r="U20" s="49">
        <v>70284.032000000007</v>
      </c>
      <c r="V20" s="49">
        <v>70080.042000000001</v>
      </c>
      <c r="W20" s="49">
        <v>65505.898999999998</v>
      </c>
      <c r="X20" s="49">
        <v>63826.02</v>
      </c>
      <c r="Y20" s="49">
        <v>68460.426000000007</v>
      </c>
      <c r="Z20" s="47">
        <v>67343</v>
      </c>
      <c r="AA20" s="49">
        <v>72431.157999999996</v>
      </c>
      <c r="AB20" s="49">
        <v>72716.323000000004</v>
      </c>
      <c r="AC20" s="49">
        <v>54190.536</v>
      </c>
      <c r="AD20" s="49">
        <v>68525.433000000005</v>
      </c>
      <c r="AE20" s="49">
        <v>62565.273000000001</v>
      </c>
      <c r="AF20" s="49">
        <v>71206.258000000002</v>
      </c>
      <c r="AG20" s="49">
        <v>57709.044999999998</v>
      </c>
      <c r="AH20" s="49">
        <v>67616.752999999997</v>
      </c>
      <c r="AI20" s="47" t="s">
        <v>121</v>
      </c>
    </row>
    <row r="21" spans="1:35" x14ac:dyDescent="0.3">
      <c r="A21" s="209"/>
      <c r="B21" s="50" t="s">
        <v>124</v>
      </c>
      <c r="C21" s="48">
        <v>4722.8100000000004</v>
      </c>
      <c r="D21" s="48">
        <v>5406.9750000000004</v>
      </c>
      <c r="E21" s="48">
        <v>6567.8029999999999</v>
      </c>
      <c r="F21" s="48">
        <v>5731.1779999999999</v>
      </c>
      <c r="G21" s="48">
        <v>5377.0749999999998</v>
      </c>
      <c r="H21" s="48">
        <v>5752.2910000000002</v>
      </c>
      <c r="I21" s="48">
        <v>6104.2550000000001</v>
      </c>
      <c r="J21" s="48">
        <v>6513.0060000000003</v>
      </c>
      <c r="K21" s="48">
        <v>5908.28</v>
      </c>
      <c r="L21" s="48">
        <v>6534.3630000000003</v>
      </c>
      <c r="M21" s="48">
        <v>6440.4830000000002</v>
      </c>
      <c r="N21" s="48">
        <v>6049.6459999999997</v>
      </c>
      <c r="O21" s="48">
        <v>6874.3909999999996</v>
      </c>
      <c r="P21" s="48">
        <v>6355.1310000000003</v>
      </c>
      <c r="Q21" s="48">
        <v>7255.3779999999997</v>
      </c>
      <c r="R21" s="48">
        <v>6604.6</v>
      </c>
      <c r="S21" s="48">
        <v>6362.8230000000003</v>
      </c>
      <c r="T21" s="48">
        <v>7209.9309999999996</v>
      </c>
      <c r="U21" s="48">
        <v>6913.3689999999997</v>
      </c>
      <c r="V21" s="48">
        <v>7134.5219999999999</v>
      </c>
      <c r="W21" s="48">
        <v>6709.0649999999996</v>
      </c>
      <c r="X21" s="48">
        <v>7480.8770000000004</v>
      </c>
      <c r="Y21" s="48">
        <v>6378.2640000000001</v>
      </c>
      <c r="Z21" s="46">
        <v>7033</v>
      </c>
      <c r="AA21" s="48">
        <v>8167.7380000000003</v>
      </c>
      <c r="AB21" s="48">
        <v>7210.2550000000001</v>
      </c>
      <c r="AC21" s="48">
        <v>7067.3890000000001</v>
      </c>
      <c r="AD21" s="48">
        <v>8609.6810000000005</v>
      </c>
      <c r="AE21" s="48">
        <v>7924.1840000000002</v>
      </c>
      <c r="AF21" s="48">
        <v>8622.1280000000006</v>
      </c>
      <c r="AG21" s="48">
        <v>8874.2420000000002</v>
      </c>
      <c r="AH21" s="48">
        <v>8982.6679999999997</v>
      </c>
      <c r="AI21" s="46" t="s">
        <v>121</v>
      </c>
    </row>
    <row r="22" spans="1:35" x14ac:dyDescent="0.3">
      <c r="A22" s="209"/>
      <c r="B22" s="50" t="s">
        <v>125</v>
      </c>
      <c r="C22" s="49">
        <v>34068.711000000003</v>
      </c>
      <c r="D22" s="49">
        <v>32286.167000000001</v>
      </c>
      <c r="E22" s="49">
        <v>34257.425999999999</v>
      </c>
      <c r="F22" s="49">
        <v>34359.207999999999</v>
      </c>
      <c r="G22" s="49">
        <v>31404.061000000002</v>
      </c>
      <c r="H22" s="49">
        <v>32838.472000000002</v>
      </c>
      <c r="I22" s="49">
        <v>33570.536</v>
      </c>
      <c r="J22" s="49">
        <v>36783.557999999997</v>
      </c>
      <c r="K22" s="49">
        <v>33179.68</v>
      </c>
      <c r="L22" s="49">
        <v>35441.082999999999</v>
      </c>
      <c r="M22" s="49">
        <v>33975.133000000002</v>
      </c>
      <c r="N22" s="49">
        <v>29499.772000000001</v>
      </c>
      <c r="O22" s="49">
        <v>36307.264999999999</v>
      </c>
      <c r="P22" s="49">
        <v>32106.512999999999</v>
      </c>
      <c r="Q22" s="49">
        <v>33929.694000000003</v>
      </c>
      <c r="R22" s="49">
        <v>34105.805999999997</v>
      </c>
      <c r="S22" s="49">
        <v>32727.111000000001</v>
      </c>
      <c r="T22" s="49">
        <v>35852.692000000003</v>
      </c>
      <c r="U22" s="49">
        <v>33121.800000000003</v>
      </c>
      <c r="V22" s="49">
        <v>38090.131000000001</v>
      </c>
      <c r="W22" s="49">
        <v>34835.086000000003</v>
      </c>
      <c r="X22" s="49">
        <v>40150.957000000002</v>
      </c>
      <c r="Y22" s="49">
        <v>36272.906999999999</v>
      </c>
      <c r="Z22" s="47">
        <v>36050</v>
      </c>
      <c r="AA22" s="49">
        <v>40476.337</v>
      </c>
      <c r="AB22" s="49">
        <v>36289.910000000003</v>
      </c>
      <c r="AC22" s="49">
        <v>37198.362000000001</v>
      </c>
      <c r="AD22" s="47">
        <v>49175</v>
      </c>
      <c r="AE22" s="49">
        <v>42202.574999999997</v>
      </c>
      <c r="AF22" s="49">
        <v>40505.267999999996</v>
      </c>
      <c r="AG22" s="49">
        <v>28494.546999999999</v>
      </c>
      <c r="AH22" s="49">
        <v>36765.474000000002</v>
      </c>
      <c r="AI22" s="47" t="s">
        <v>121</v>
      </c>
    </row>
    <row r="23" spans="1:35" x14ac:dyDescent="0.3">
      <c r="A23" s="209"/>
      <c r="B23" s="50" t="s">
        <v>126</v>
      </c>
      <c r="C23" s="48">
        <v>3709.9949999999999</v>
      </c>
      <c r="D23" s="48">
        <v>3284.7</v>
      </c>
      <c r="E23" s="48">
        <v>3337.0239999999999</v>
      </c>
      <c r="F23" s="48">
        <v>3809.4209999999998</v>
      </c>
      <c r="G23" s="48">
        <v>3472.6729999999998</v>
      </c>
      <c r="H23" s="48">
        <v>2845.1950000000002</v>
      </c>
      <c r="I23" s="48">
        <v>2669.3009999999999</v>
      </c>
      <c r="J23" s="48">
        <v>3222.9960000000001</v>
      </c>
      <c r="K23" s="48">
        <v>3435.9319999999998</v>
      </c>
      <c r="L23" s="48">
        <v>2818.1329999999998</v>
      </c>
      <c r="M23" s="48">
        <v>2094.9760000000001</v>
      </c>
      <c r="N23" s="48">
        <v>1867.6220000000001</v>
      </c>
      <c r="O23" s="48">
        <v>2025.03</v>
      </c>
      <c r="P23" s="48">
        <v>1934.749</v>
      </c>
      <c r="Q23" s="48">
        <v>2085.4250000000002</v>
      </c>
      <c r="R23" s="48">
        <v>1747.481</v>
      </c>
      <c r="S23" s="48">
        <v>1345.309</v>
      </c>
      <c r="T23" s="48">
        <v>867.721</v>
      </c>
      <c r="U23" s="48">
        <v>783.11599999999999</v>
      </c>
      <c r="V23" s="48">
        <v>999.79600000000005</v>
      </c>
      <c r="W23" s="48">
        <v>1594.8689999999999</v>
      </c>
      <c r="X23" s="48">
        <v>1045.491</v>
      </c>
      <c r="Y23" s="48">
        <v>881.53899999999999</v>
      </c>
      <c r="Z23" s="46">
        <v>771</v>
      </c>
      <c r="AA23" s="48">
        <v>862.20500000000004</v>
      </c>
      <c r="AB23" s="48">
        <v>974.72900000000004</v>
      </c>
      <c r="AC23" s="48">
        <v>807.93</v>
      </c>
      <c r="AD23" s="48">
        <v>1059.421</v>
      </c>
      <c r="AE23" s="48">
        <v>801.13900000000001</v>
      </c>
      <c r="AF23" s="48">
        <v>949.01800000000003</v>
      </c>
      <c r="AG23" s="48">
        <v>750.02</v>
      </c>
      <c r="AH23" s="48">
        <v>782.76400000000001</v>
      </c>
      <c r="AI23" s="46" t="s">
        <v>121</v>
      </c>
    </row>
    <row r="24" spans="1:35" x14ac:dyDescent="0.3">
      <c r="A24" s="209"/>
      <c r="B24" s="50" t="s">
        <v>127</v>
      </c>
      <c r="C24" s="49">
        <v>45.186999999999998</v>
      </c>
      <c r="D24" s="49">
        <v>35.673000000000002</v>
      </c>
      <c r="E24" s="49">
        <v>42.86</v>
      </c>
      <c r="F24" s="49">
        <v>34.188000000000002</v>
      </c>
      <c r="G24" s="49">
        <v>43.597999999999999</v>
      </c>
      <c r="H24" s="49">
        <v>37.840000000000003</v>
      </c>
      <c r="I24" s="49">
        <v>38.738999999999997</v>
      </c>
      <c r="J24" s="49">
        <v>40.21</v>
      </c>
      <c r="K24" s="49">
        <v>43.234999999999999</v>
      </c>
      <c r="L24" s="49">
        <v>47.243000000000002</v>
      </c>
      <c r="M24" s="49">
        <v>46.935000000000002</v>
      </c>
      <c r="N24" s="49">
        <v>44.526000000000003</v>
      </c>
      <c r="O24" s="49">
        <v>52.149000000000001</v>
      </c>
      <c r="P24" s="49">
        <v>39.276000000000003</v>
      </c>
      <c r="Q24" s="49">
        <v>47.817</v>
      </c>
      <c r="R24" s="49">
        <v>50.795999999999999</v>
      </c>
      <c r="S24" s="49">
        <v>61.21</v>
      </c>
      <c r="T24" s="49">
        <v>47.881999999999998</v>
      </c>
      <c r="U24" s="49">
        <v>49.398000000000003</v>
      </c>
      <c r="V24" s="49">
        <v>40.731999999999999</v>
      </c>
      <c r="W24" s="49">
        <v>50.981000000000002</v>
      </c>
      <c r="X24" s="49">
        <v>53.332999999999998</v>
      </c>
      <c r="Y24" s="49">
        <v>59.125</v>
      </c>
      <c r="Z24" s="47">
        <v>53</v>
      </c>
      <c r="AA24" s="49">
        <v>55.555</v>
      </c>
      <c r="AB24" s="49">
        <v>59.912999999999997</v>
      </c>
      <c r="AC24" s="49">
        <v>61.984000000000002</v>
      </c>
      <c r="AD24" s="49">
        <v>50.524999999999999</v>
      </c>
      <c r="AE24" s="49">
        <v>63.177999999999997</v>
      </c>
      <c r="AF24" s="49">
        <v>55.085999999999999</v>
      </c>
      <c r="AG24" s="49">
        <v>61.512999999999998</v>
      </c>
      <c r="AH24" s="49">
        <v>64.305000000000007</v>
      </c>
      <c r="AI24" s="47" t="s">
        <v>121</v>
      </c>
    </row>
    <row r="25" spans="1:35" x14ac:dyDescent="0.3">
      <c r="A25" s="209"/>
      <c r="B25" s="50" t="s">
        <v>128</v>
      </c>
      <c r="C25" s="48">
        <v>4564.1000000000004</v>
      </c>
      <c r="D25" s="48">
        <v>5079.5200000000004</v>
      </c>
      <c r="E25" s="48">
        <v>4094.7249999999999</v>
      </c>
      <c r="F25" s="48">
        <v>3492.8420000000001</v>
      </c>
      <c r="G25" s="48">
        <v>4296.1869999999999</v>
      </c>
      <c r="H25" s="48">
        <v>5017.0950000000003</v>
      </c>
      <c r="I25" s="48">
        <v>5181.4679999999998</v>
      </c>
      <c r="J25" s="48">
        <v>5775.7650000000003</v>
      </c>
      <c r="K25" s="48">
        <v>5759.1459999999997</v>
      </c>
      <c r="L25" s="48">
        <v>6636.2979999999998</v>
      </c>
      <c r="M25" s="48">
        <v>5558.2430000000004</v>
      </c>
      <c r="N25" s="48">
        <v>4809.4579999999996</v>
      </c>
      <c r="O25" s="48">
        <v>5058.9709999999995</v>
      </c>
      <c r="P25" s="48">
        <v>5060.8440000000001</v>
      </c>
      <c r="Q25" s="48">
        <v>5630.2070000000003</v>
      </c>
      <c r="R25" s="48">
        <v>6232.3320000000003</v>
      </c>
      <c r="S25" s="48">
        <v>5768.9189999999999</v>
      </c>
      <c r="T25" s="48">
        <v>6146.4790000000003</v>
      </c>
      <c r="U25" s="48">
        <v>6434.0969999999998</v>
      </c>
      <c r="V25" s="48">
        <v>7481.0360000000001</v>
      </c>
      <c r="W25" s="48">
        <v>6666.5280000000002</v>
      </c>
      <c r="X25" s="48">
        <v>7442.8329999999996</v>
      </c>
      <c r="Y25" s="48">
        <v>7233.5320000000002</v>
      </c>
      <c r="Z25" s="46">
        <v>6122</v>
      </c>
      <c r="AA25" s="48">
        <v>7392.2039999999997</v>
      </c>
      <c r="AB25" s="48">
        <v>6951.7380000000003</v>
      </c>
      <c r="AC25" s="48">
        <v>6332.5060000000003</v>
      </c>
      <c r="AD25" s="48">
        <v>7434.1639999999998</v>
      </c>
      <c r="AE25" s="48">
        <v>6708.7349999999997</v>
      </c>
      <c r="AF25" s="48">
        <v>5334.5550000000003</v>
      </c>
      <c r="AG25" s="48">
        <v>5406.8779999999997</v>
      </c>
      <c r="AH25" s="48">
        <v>5752.9809999999998</v>
      </c>
      <c r="AI25" s="46" t="s">
        <v>121</v>
      </c>
    </row>
    <row r="26" spans="1:35" x14ac:dyDescent="0.3">
      <c r="A26" s="209"/>
      <c r="B26" s="50" t="s">
        <v>129</v>
      </c>
      <c r="C26" s="49">
        <v>5559.9359999999997</v>
      </c>
      <c r="D26" s="49">
        <v>5909.875</v>
      </c>
      <c r="E26" s="49">
        <v>5685.0029999999997</v>
      </c>
      <c r="F26" s="49">
        <v>5757.5050000000001</v>
      </c>
      <c r="G26" s="49">
        <v>5834.433</v>
      </c>
      <c r="H26" s="49">
        <v>6025.2479999999996</v>
      </c>
      <c r="I26" s="49">
        <v>6127.33</v>
      </c>
      <c r="J26" s="49">
        <v>6108.95</v>
      </c>
      <c r="K26" s="49">
        <v>6254.4949999999999</v>
      </c>
      <c r="L26" s="49">
        <v>6437.6459999999997</v>
      </c>
      <c r="M26" s="49">
        <v>6313.8919999999998</v>
      </c>
      <c r="N26" s="49">
        <v>6349.1409999999996</v>
      </c>
      <c r="O26" s="49">
        <v>6523.3329999999996</v>
      </c>
      <c r="P26" s="49">
        <v>6234.1490000000003</v>
      </c>
      <c r="Q26" s="49">
        <v>6376.2730000000001</v>
      </c>
      <c r="R26" s="49">
        <v>5989.2749999999996</v>
      </c>
      <c r="S26" s="49">
        <v>5805.884</v>
      </c>
      <c r="T26" s="49">
        <v>5482.4449999999997</v>
      </c>
      <c r="U26" s="49">
        <v>5787.2510000000002</v>
      </c>
      <c r="V26" s="49">
        <v>5552.4350000000004</v>
      </c>
      <c r="W26" s="49">
        <v>5594.3729999999996</v>
      </c>
      <c r="X26" s="49">
        <v>5804.482</v>
      </c>
      <c r="Y26" s="49">
        <v>5403.8670000000002</v>
      </c>
      <c r="Z26" s="47">
        <v>4895</v>
      </c>
      <c r="AA26" s="49">
        <v>5395.1279999999997</v>
      </c>
      <c r="AB26" s="49">
        <v>5332.1440000000002</v>
      </c>
      <c r="AC26" s="49">
        <v>5376.3270000000002</v>
      </c>
      <c r="AD26" s="49">
        <v>5582.4790000000003</v>
      </c>
      <c r="AE26" s="49">
        <v>5260.7110000000002</v>
      </c>
      <c r="AF26" s="49">
        <v>5448.6040000000003</v>
      </c>
      <c r="AG26" s="49">
        <v>5158.3710000000001</v>
      </c>
      <c r="AH26" s="49">
        <v>5228.4799999999996</v>
      </c>
      <c r="AI26" s="47" t="s">
        <v>121</v>
      </c>
    </row>
    <row r="27" spans="1:35" x14ac:dyDescent="0.3">
      <c r="A27" s="209"/>
      <c r="B27" s="50" t="s">
        <v>130</v>
      </c>
      <c r="C27" s="48">
        <v>12586.625</v>
      </c>
      <c r="D27" s="48">
        <v>8962.7630000000008</v>
      </c>
      <c r="E27" s="48">
        <v>13242.995999999999</v>
      </c>
      <c r="F27" s="48">
        <v>10981.566999999999</v>
      </c>
      <c r="G27" s="48">
        <v>11684.526</v>
      </c>
      <c r="H27" s="48">
        <v>11808.199000000001</v>
      </c>
      <c r="I27" s="48">
        <v>12380.716</v>
      </c>
      <c r="J27" s="48">
        <v>11695.189</v>
      </c>
      <c r="K27" s="48">
        <v>10959.218999999999</v>
      </c>
      <c r="L27" s="48">
        <v>12821.06</v>
      </c>
      <c r="M27" s="48">
        <v>12450.268</v>
      </c>
      <c r="N27" s="48">
        <v>11627.556</v>
      </c>
      <c r="O27" s="48">
        <v>11426.282999999999</v>
      </c>
      <c r="P27" s="48">
        <v>10178.965</v>
      </c>
      <c r="Q27" s="48">
        <v>11800.439</v>
      </c>
      <c r="R27" s="48">
        <v>10999.313</v>
      </c>
      <c r="S27" s="48">
        <v>10822.95</v>
      </c>
      <c r="T27" s="48">
        <v>9651.2330000000002</v>
      </c>
      <c r="U27" s="48">
        <v>9205.2729999999992</v>
      </c>
      <c r="V27" s="48">
        <v>10024.316999999999</v>
      </c>
      <c r="W27" s="48">
        <v>9661.7960000000003</v>
      </c>
      <c r="X27" s="48">
        <v>10403.574000000001</v>
      </c>
      <c r="Y27" s="48">
        <v>8738.1409999999996</v>
      </c>
      <c r="Z27" s="46">
        <v>8631</v>
      </c>
      <c r="AA27" s="48">
        <v>9642.5730000000003</v>
      </c>
      <c r="AB27" s="48">
        <v>9766.3919999999998</v>
      </c>
      <c r="AC27" s="48">
        <v>9438.6090000000004</v>
      </c>
      <c r="AD27" s="48">
        <v>8250.8150000000005</v>
      </c>
      <c r="AE27" s="48">
        <v>9378.7970000000005</v>
      </c>
      <c r="AF27" s="48">
        <v>8678.3850000000002</v>
      </c>
      <c r="AG27" s="48">
        <v>8833.5490000000009</v>
      </c>
      <c r="AH27" s="48">
        <v>7073.1080000000002</v>
      </c>
      <c r="AI27" s="46" t="s">
        <v>121</v>
      </c>
    </row>
    <row r="28" spans="1:35" x14ac:dyDescent="0.3">
      <c r="A28" s="209"/>
      <c r="B28" s="50" t="s">
        <v>131</v>
      </c>
      <c r="C28" s="49">
        <v>364.916</v>
      </c>
      <c r="D28" s="49">
        <v>267.471</v>
      </c>
      <c r="E28" s="49">
        <v>188.86</v>
      </c>
      <c r="F28" s="49">
        <v>223.03399999999999</v>
      </c>
      <c r="G28" s="49">
        <v>310.61099999999999</v>
      </c>
      <c r="H28" s="49">
        <v>327.97399999999999</v>
      </c>
      <c r="I28" s="49">
        <v>285.09800000000001</v>
      </c>
      <c r="J28" s="49">
        <v>314.85500000000002</v>
      </c>
      <c r="K28" s="49">
        <v>286.786</v>
      </c>
      <c r="L28" s="49">
        <v>343.06200000000001</v>
      </c>
      <c r="M28" s="49">
        <v>373.81700000000001</v>
      </c>
      <c r="N28" s="49">
        <v>285.767</v>
      </c>
      <c r="O28" s="49">
        <v>490.12799999999999</v>
      </c>
      <c r="P28" s="49">
        <v>535.79600000000005</v>
      </c>
      <c r="Q28" s="49">
        <v>546.47199999999998</v>
      </c>
      <c r="R28" s="49">
        <v>593.31399999999996</v>
      </c>
      <c r="S28" s="49">
        <v>531.32299999999998</v>
      </c>
      <c r="T28" s="49">
        <v>471.834</v>
      </c>
      <c r="U28" s="49">
        <v>608.99800000000005</v>
      </c>
      <c r="V28" s="49">
        <v>492.03699999999998</v>
      </c>
      <c r="W28" s="49">
        <v>427.65100000000001</v>
      </c>
      <c r="X28" s="49">
        <v>339.21300000000002</v>
      </c>
      <c r="Y28" s="49">
        <v>543.02700000000004</v>
      </c>
      <c r="Z28" s="47">
        <v>509</v>
      </c>
      <c r="AA28" s="49">
        <v>577.31100000000004</v>
      </c>
      <c r="AB28" s="49">
        <v>566.44399999999996</v>
      </c>
      <c r="AC28" s="49">
        <v>657.58100000000002</v>
      </c>
      <c r="AD28" s="49">
        <v>684.80499999999995</v>
      </c>
      <c r="AE28" s="49">
        <v>776.274</v>
      </c>
      <c r="AF28" s="49">
        <v>905.82299999999998</v>
      </c>
      <c r="AG28" s="49">
        <v>850.55600000000004</v>
      </c>
      <c r="AH28" s="49">
        <v>821.23800000000006</v>
      </c>
      <c r="AI28" s="47" t="s">
        <v>121</v>
      </c>
    </row>
    <row r="29" spans="1:35" x14ac:dyDescent="0.3">
      <c r="A29" s="209"/>
      <c r="B29" s="50" t="s">
        <v>132</v>
      </c>
      <c r="C29" s="48">
        <v>165.226</v>
      </c>
      <c r="D29" s="48">
        <v>146.48599999999999</v>
      </c>
      <c r="E29" s="48">
        <v>190.00800000000001</v>
      </c>
      <c r="F29" s="48">
        <v>245.90600000000001</v>
      </c>
      <c r="G29" s="48">
        <v>182.41900000000001</v>
      </c>
      <c r="H29" s="48">
        <v>168.71199999999999</v>
      </c>
      <c r="I29" s="48">
        <v>182.876</v>
      </c>
      <c r="J29" s="48">
        <v>188.15600000000001</v>
      </c>
      <c r="K29" s="48">
        <v>191.92099999999999</v>
      </c>
      <c r="L29" s="48">
        <v>206.17500000000001</v>
      </c>
      <c r="M29" s="48">
        <v>213.82499999999999</v>
      </c>
      <c r="N29" s="48">
        <v>193.815</v>
      </c>
      <c r="O29" s="48">
        <v>198.46600000000001</v>
      </c>
      <c r="P29" s="48">
        <v>194.08600000000001</v>
      </c>
      <c r="Q29" s="48">
        <v>259.91800000000001</v>
      </c>
      <c r="R29" s="48">
        <v>228.869</v>
      </c>
      <c r="S29" s="48">
        <v>162.251</v>
      </c>
      <c r="T29" s="48">
        <v>128.178</v>
      </c>
      <c r="U29" s="48">
        <v>143.26400000000001</v>
      </c>
      <c r="V29" s="48">
        <v>188.01400000000001</v>
      </c>
      <c r="W29" s="48">
        <v>130.523</v>
      </c>
      <c r="X29" s="48">
        <v>150.501</v>
      </c>
      <c r="Y29" s="48">
        <v>106.786</v>
      </c>
      <c r="Z29" s="46">
        <v>99</v>
      </c>
      <c r="AA29" s="48">
        <v>92.835999999999999</v>
      </c>
      <c r="AB29" s="48">
        <v>58.454000000000001</v>
      </c>
      <c r="AC29" s="48">
        <v>58.515999999999998</v>
      </c>
      <c r="AD29" s="48">
        <v>58.917000000000002</v>
      </c>
      <c r="AE29" s="48">
        <v>85.18</v>
      </c>
      <c r="AF29" s="48">
        <v>64.055999999999997</v>
      </c>
      <c r="AG29" s="48">
        <v>192.108</v>
      </c>
      <c r="AH29" s="48">
        <v>194.768</v>
      </c>
      <c r="AI29" s="46" t="s">
        <v>121</v>
      </c>
    </row>
    <row r="30" spans="1:35" x14ac:dyDescent="0.3">
      <c r="A30" s="209"/>
      <c r="B30" s="50" t="s">
        <v>134</v>
      </c>
      <c r="C30" s="49">
        <v>87180.168000000005</v>
      </c>
      <c r="D30" s="49">
        <v>94048.947</v>
      </c>
      <c r="E30" s="49">
        <v>111302.811</v>
      </c>
      <c r="F30" s="49">
        <v>106983.999</v>
      </c>
      <c r="G30" s="49">
        <v>104422.273</v>
      </c>
      <c r="H30" s="49">
        <v>94620.339000000007</v>
      </c>
      <c r="I30" s="49">
        <v>90261.076000000001</v>
      </c>
      <c r="J30" s="49">
        <v>96577.536999999997</v>
      </c>
      <c r="K30" s="49">
        <v>100649.03200000001</v>
      </c>
      <c r="L30" s="49">
        <v>106369.151</v>
      </c>
      <c r="M30" s="49">
        <v>113143.98699999999</v>
      </c>
      <c r="N30" s="49">
        <v>105662.455</v>
      </c>
      <c r="O30" s="49">
        <v>107305.79700000001</v>
      </c>
      <c r="P30" s="49">
        <v>80922.67</v>
      </c>
      <c r="Q30" s="49">
        <v>109494.542</v>
      </c>
      <c r="R30" s="49">
        <v>94603.629000000001</v>
      </c>
      <c r="S30" s="49">
        <v>98773.445999999996</v>
      </c>
      <c r="T30" s="49">
        <v>115851.539</v>
      </c>
      <c r="U30" s="49">
        <v>113643.314</v>
      </c>
      <c r="V30" s="49">
        <v>102751.33500000001</v>
      </c>
      <c r="W30" s="49">
        <v>96964.687999999995</v>
      </c>
      <c r="X30" s="49">
        <v>93510.513000000006</v>
      </c>
      <c r="Y30" s="49">
        <v>105125.787</v>
      </c>
      <c r="Z30" s="49">
        <v>105603.969</v>
      </c>
      <c r="AA30" s="49">
        <v>115217.696</v>
      </c>
      <c r="AB30" s="49">
        <v>95425.957999999999</v>
      </c>
      <c r="AC30" s="49">
        <v>94616.175000000003</v>
      </c>
      <c r="AD30" s="49">
        <v>102248.129</v>
      </c>
      <c r="AE30" s="49">
        <v>91266.906000000003</v>
      </c>
      <c r="AF30" s="49">
        <v>89503.91</v>
      </c>
      <c r="AG30" s="49">
        <v>88670.327000000005</v>
      </c>
      <c r="AH30" s="49">
        <v>97719.857999999993</v>
      </c>
      <c r="AI30" s="47" t="s">
        <v>121</v>
      </c>
    </row>
    <row r="31" spans="1:35" x14ac:dyDescent="0.3">
      <c r="A31" s="209"/>
      <c r="B31" s="50" t="s">
        <v>135</v>
      </c>
      <c r="C31" s="48">
        <v>14102.906000000001</v>
      </c>
      <c r="D31" s="48">
        <v>14345.49</v>
      </c>
      <c r="E31" s="48">
        <v>14165.288</v>
      </c>
      <c r="F31" s="48">
        <v>12682.725</v>
      </c>
      <c r="G31" s="48">
        <v>12459.293</v>
      </c>
      <c r="H31" s="48">
        <v>12458.58</v>
      </c>
      <c r="I31" s="48">
        <v>13821.686</v>
      </c>
      <c r="J31" s="48">
        <v>13698.494000000001</v>
      </c>
      <c r="K31" s="48">
        <v>14431.859</v>
      </c>
      <c r="L31" s="48">
        <v>13695.902</v>
      </c>
      <c r="M31" s="48">
        <v>17614.194</v>
      </c>
      <c r="N31" s="48">
        <v>16360.508</v>
      </c>
      <c r="O31" s="48">
        <v>18148.965</v>
      </c>
      <c r="P31" s="48">
        <v>16386.504000000001</v>
      </c>
      <c r="Q31" s="48">
        <v>18228.037</v>
      </c>
      <c r="R31" s="48">
        <v>18184.02</v>
      </c>
      <c r="S31" s="48">
        <v>17699.535</v>
      </c>
      <c r="T31" s="48">
        <v>16386.741000000002</v>
      </c>
      <c r="U31" s="48">
        <v>18512.271000000001</v>
      </c>
      <c r="V31" s="48">
        <v>19035.715</v>
      </c>
      <c r="W31" s="48">
        <v>19817.701000000001</v>
      </c>
      <c r="X31" s="48">
        <v>19546.636999999999</v>
      </c>
      <c r="Y31" s="48">
        <v>18718.3</v>
      </c>
      <c r="Z31" s="48">
        <v>17434.054</v>
      </c>
      <c r="AA31" s="48">
        <v>17669.642</v>
      </c>
      <c r="AB31" s="48">
        <v>18069.627</v>
      </c>
      <c r="AC31" s="48">
        <v>17900.062999999998</v>
      </c>
      <c r="AD31" s="48">
        <v>18694.109</v>
      </c>
      <c r="AE31" s="48">
        <v>17736.565999999999</v>
      </c>
      <c r="AF31" s="48">
        <v>19065.061000000002</v>
      </c>
      <c r="AG31" s="48">
        <v>14585.584000000001</v>
      </c>
      <c r="AH31" s="48">
        <v>13718.514999999999</v>
      </c>
      <c r="AI31" s="46" t="s">
        <v>121</v>
      </c>
    </row>
    <row r="32" spans="1:35" x14ac:dyDescent="0.3">
      <c r="A32" s="209"/>
      <c r="B32" s="50" t="s">
        <v>136</v>
      </c>
      <c r="C32" s="49">
        <v>14094.585999999999</v>
      </c>
      <c r="D32" s="49">
        <v>14337.17</v>
      </c>
      <c r="E32" s="49">
        <v>14156.968000000001</v>
      </c>
      <c r="F32" s="49">
        <v>12674.405000000001</v>
      </c>
      <c r="G32" s="49">
        <v>12450.973</v>
      </c>
      <c r="H32" s="49">
        <v>12450.26</v>
      </c>
      <c r="I32" s="49">
        <v>13813.366</v>
      </c>
      <c r="J32" s="49">
        <v>13690.174000000001</v>
      </c>
      <c r="K32" s="49">
        <v>14423.539000000001</v>
      </c>
      <c r="L32" s="49">
        <v>13687.582</v>
      </c>
      <c r="M32" s="49">
        <v>17605.874</v>
      </c>
      <c r="N32" s="49">
        <v>16352.188</v>
      </c>
      <c r="O32" s="49">
        <v>18140.645</v>
      </c>
      <c r="P32" s="49">
        <v>16378.183999999999</v>
      </c>
      <c r="Q32" s="49">
        <v>18220.107</v>
      </c>
      <c r="R32" s="49">
        <v>18175.7</v>
      </c>
      <c r="S32" s="49">
        <v>17692.645</v>
      </c>
      <c r="T32" s="49">
        <v>16379.851000000001</v>
      </c>
      <c r="U32" s="49">
        <v>18505.120999999999</v>
      </c>
      <c r="V32" s="49">
        <v>19029.345000000001</v>
      </c>
      <c r="W32" s="49">
        <v>19810.940999999999</v>
      </c>
      <c r="X32" s="49">
        <v>19539.877</v>
      </c>
      <c r="Y32" s="49">
        <v>18711.54</v>
      </c>
      <c r="Z32" s="49">
        <v>17427.054</v>
      </c>
      <c r="AA32" s="49">
        <v>17662.642</v>
      </c>
      <c r="AB32" s="49">
        <v>18062.627</v>
      </c>
      <c r="AC32" s="49">
        <v>17893.062999999998</v>
      </c>
      <c r="AD32" s="49">
        <v>18687.109</v>
      </c>
      <c r="AE32" s="49">
        <v>17729.565999999999</v>
      </c>
      <c r="AF32" s="49">
        <v>19058.061000000002</v>
      </c>
      <c r="AG32" s="49">
        <v>14578.584000000001</v>
      </c>
      <c r="AH32" s="49">
        <v>13711.514999999999</v>
      </c>
      <c r="AI32" s="47" t="s">
        <v>121</v>
      </c>
    </row>
    <row r="33" spans="1:35" x14ac:dyDescent="0.3">
      <c r="A33" s="209"/>
      <c r="B33" s="50" t="s">
        <v>137</v>
      </c>
      <c r="C33" s="48">
        <v>8.32</v>
      </c>
      <c r="D33" s="48">
        <v>8.32</v>
      </c>
      <c r="E33" s="48">
        <v>8.32</v>
      </c>
      <c r="F33" s="48">
        <v>8.32</v>
      </c>
      <c r="G33" s="48">
        <v>8.32</v>
      </c>
      <c r="H33" s="48">
        <v>8.32</v>
      </c>
      <c r="I33" s="48">
        <v>8.32</v>
      </c>
      <c r="J33" s="48">
        <v>8.32</v>
      </c>
      <c r="K33" s="48">
        <v>8.32</v>
      </c>
      <c r="L33" s="48">
        <v>8.32</v>
      </c>
      <c r="M33" s="48">
        <v>8.32</v>
      </c>
      <c r="N33" s="48">
        <v>8.32</v>
      </c>
      <c r="O33" s="48">
        <v>8.32</v>
      </c>
      <c r="P33" s="48">
        <v>8.32</v>
      </c>
      <c r="Q33" s="48">
        <v>7.93</v>
      </c>
      <c r="R33" s="48">
        <v>8.32</v>
      </c>
      <c r="S33" s="48">
        <v>6.89</v>
      </c>
      <c r="T33" s="48">
        <v>6.89</v>
      </c>
      <c r="U33" s="48">
        <v>7.15</v>
      </c>
      <c r="V33" s="48">
        <v>6.37</v>
      </c>
      <c r="W33" s="48">
        <v>6.76</v>
      </c>
      <c r="X33" s="48">
        <v>6.76</v>
      </c>
      <c r="Y33" s="48">
        <v>6.76</v>
      </c>
      <c r="Z33" s="46">
        <v>7</v>
      </c>
      <c r="AA33" s="46">
        <v>7</v>
      </c>
      <c r="AB33" s="46">
        <v>7</v>
      </c>
      <c r="AC33" s="46">
        <v>7</v>
      </c>
      <c r="AD33" s="46">
        <v>7</v>
      </c>
      <c r="AE33" s="46">
        <v>7</v>
      </c>
      <c r="AF33" s="46">
        <v>7</v>
      </c>
      <c r="AG33" s="46">
        <v>7</v>
      </c>
      <c r="AH33" s="46">
        <v>7</v>
      </c>
      <c r="AI33" s="46" t="s">
        <v>121</v>
      </c>
    </row>
    <row r="34" spans="1:35" x14ac:dyDescent="0.3">
      <c r="A34" s="209"/>
      <c r="B34" s="50" t="s">
        <v>138</v>
      </c>
      <c r="C34" s="49">
        <v>73077.262000000002</v>
      </c>
      <c r="D34" s="49">
        <v>79703.457999999999</v>
      </c>
      <c r="E34" s="49">
        <v>97137.523000000001</v>
      </c>
      <c r="F34" s="49">
        <v>94301.273000000001</v>
      </c>
      <c r="G34" s="49">
        <v>91962.981</v>
      </c>
      <c r="H34" s="49">
        <v>82161.759000000005</v>
      </c>
      <c r="I34" s="49">
        <v>76439.39</v>
      </c>
      <c r="J34" s="49">
        <v>82879.043999999994</v>
      </c>
      <c r="K34" s="49">
        <v>86217.172999999995</v>
      </c>
      <c r="L34" s="49">
        <v>92673.248999999996</v>
      </c>
      <c r="M34" s="49">
        <v>95529.793999999994</v>
      </c>
      <c r="N34" s="49">
        <v>89301.947</v>
      </c>
      <c r="O34" s="49">
        <v>89156.831999999995</v>
      </c>
      <c r="P34" s="49">
        <v>64536.167000000001</v>
      </c>
      <c r="Q34" s="49">
        <v>91266.505999999994</v>
      </c>
      <c r="R34" s="49">
        <v>76419.61</v>
      </c>
      <c r="S34" s="49">
        <v>81073.910999999993</v>
      </c>
      <c r="T34" s="49">
        <v>99464.797999999995</v>
      </c>
      <c r="U34" s="49">
        <v>95131.043999999994</v>
      </c>
      <c r="V34" s="49">
        <v>83715.619000000006</v>
      </c>
      <c r="W34" s="49">
        <v>77146.986999999994</v>
      </c>
      <c r="X34" s="49">
        <v>73963.875</v>
      </c>
      <c r="Y34" s="49">
        <v>86407.486999999994</v>
      </c>
      <c r="Z34" s="49">
        <v>88169.914999999994</v>
      </c>
      <c r="AA34" s="49">
        <v>97548.054000000004</v>
      </c>
      <c r="AB34" s="49">
        <v>77356.331000000006</v>
      </c>
      <c r="AC34" s="49">
        <v>76716.111999999994</v>
      </c>
      <c r="AD34" s="49">
        <v>83554.02</v>
      </c>
      <c r="AE34" s="49">
        <v>73530.34</v>
      </c>
      <c r="AF34" s="49">
        <v>70438.849000000002</v>
      </c>
      <c r="AG34" s="49">
        <v>74084.743000000002</v>
      </c>
      <c r="AH34" s="49">
        <v>84001.342999999993</v>
      </c>
      <c r="AI34" s="47" t="s">
        <v>121</v>
      </c>
    </row>
    <row r="35" spans="1:35" x14ac:dyDescent="0.3">
      <c r="A35" s="209"/>
      <c r="B35" s="50" t="s">
        <v>139</v>
      </c>
      <c r="C35" s="48">
        <v>15279.562</v>
      </c>
      <c r="D35" s="48">
        <v>19057.060000000001</v>
      </c>
      <c r="E35" s="48">
        <v>21033.827000000001</v>
      </c>
      <c r="F35" s="48">
        <v>19506.941999999999</v>
      </c>
      <c r="G35" s="48">
        <v>19142.705000000002</v>
      </c>
      <c r="H35" s="48">
        <v>18616.316999999999</v>
      </c>
      <c r="I35" s="48">
        <v>17649.218000000001</v>
      </c>
      <c r="J35" s="48">
        <v>20834.38</v>
      </c>
      <c r="K35" s="48">
        <v>19029.355</v>
      </c>
      <c r="L35" s="48">
        <v>19529.22</v>
      </c>
      <c r="M35" s="48">
        <v>19459.298999999999</v>
      </c>
      <c r="N35" s="48">
        <v>20461.417000000001</v>
      </c>
      <c r="O35" s="48">
        <v>19934.721000000001</v>
      </c>
      <c r="P35" s="48">
        <v>18328.246999999999</v>
      </c>
      <c r="Q35" s="48">
        <v>19378.846000000001</v>
      </c>
      <c r="R35" s="48">
        <v>17518.194</v>
      </c>
      <c r="S35" s="48">
        <v>17165.036</v>
      </c>
      <c r="T35" s="48">
        <v>18498.824000000001</v>
      </c>
      <c r="U35" s="48">
        <v>18873.653999999999</v>
      </c>
      <c r="V35" s="48">
        <v>19097.400000000001</v>
      </c>
      <c r="W35" s="48">
        <v>17276.636999999999</v>
      </c>
      <c r="X35" s="48">
        <v>19967.348000000002</v>
      </c>
      <c r="Y35" s="48">
        <v>18900.759999999998</v>
      </c>
      <c r="Z35" s="48">
        <v>19610.317999999999</v>
      </c>
      <c r="AA35" s="48">
        <v>21223.083999999999</v>
      </c>
      <c r="AB35" s="48">
        <v>18285.239000000001</v>
      </c>
      <c r="AC35" s="48">
        <v>17325.234</v>
      </c>
      <c r="AD35" s="48">
        <v>20305.919999999998</v>
      </c>
      <c r="AE35" s="48">
        <v>18206.971000000001</v>
      </c>
      <c r="AF35" s="48">
        <v>17497.509999999998</v>
      </c>
      <c r="AG35" s="48">
        <v>18685.902999999998</v>
      </c>
      <c r="AH35" s="48">
        <v>20755.134999999998</v>
      </c>
      <c r="AI35" s="46" t="s">
        <v>121</v>
      </c>
    </row>
    <row r="36" spans="1:35" x14ac:dyDescent="0.3">
      <c r="A36" s="209"/>
      <c r="B36" s="50" t="s">
        <v>140</v>
      </c>
      <c r="C36" s="49">
        <v>57797.701000000001</v>
      </c>
      <c r="D36" s="49">
        <v>60646.398000000001</v>
      </c>
      <c r="E36" s="49">
        <v>76103.695000000007</v>
      </c>
      <c r="F36" s="49">
        <v>74794.331999999995</v>
      </c>
      <c r="G36" s="49">
        <v>72820.275999999998</v>
      </c>
      <c r="H36" s="49">
        <v>63545.442000000003</v>
      </c>
      <c r="I36" s="49">
        <v>58790.171999999999</v>
      </c>
      <c r="J36" s="49">
        <v>62044.663999999997</v>
      </c>
      <c r="K36" s="49">
        <v>67187.817999999999</v>
      </c>
      <c r="L36" s="49">
        <v>73144.03</v>
      </c>
      <c r="M36" s="49">
        <v>76070.494999999995</v>
      </c>
      <c r="N36" s="49">
        <v>68840.53</v>
      </c>
      <c r="O36" s="49">
        <v>69222.111000000004</v>
      </c>
      <c r="P36" s="49">
        <v>46207.92</v>
      </c>
      <c r="Q36" s="49">
        <v>71887.659</v>
      </c>
      <c r="R36" s="49">
        <v>58901.415999999997</v>
      </c>
      <c r="S36" s="49">
        <v>63908.875</v>
      </c>
      <c r="T36" s="49">
        <v>80965.974000000002</v>
      </c>
      <c r="U36" s="49">
        <v>76257.39</v>
      </c>
      <c r="V36" s="49">
        <v>64618.218999999997</v>
      </c>
      <c r="W36" s="49">
        <v>59870.35</v>
      </c>
      <c r="X36" s="49">
        <v>53996.527999999998</v>
      </c>
      <c r="Y36" s="49">
        <v>67506.728000000003</v>
      </c>
      <c r="Z36" s="49">
        <v>68559.596999999994</v>
      </c>
      <c r="AA36" s="49">
        <v>76324.97</v>
      </c>
      <c r="AB36" s="49">
        <v>59071.091999999997</v>
      </c>
      <c r="AC36" s="49">
        <v>59390.877999999997</v>
      </c>
      <c r="AD36" s="49">
        <v>63248.1</v>
      </c>
      <c r="AE36" s="49">
        <v>55323.368999999999</v>
      </c>
      <c r="AF36" s="49">
        <v>52941.339</v>
      </c>
      <c r="AG36" s="49">
        <v>55398.84</v>
      </c>
      <c r="AH36" s="49">
        <v>63246.207999999999</v>
      </c>
      <c r="AI36" s="47" t="s">
        <v>121</v>
      </c>
    </row>
    <row r="37" spans="1:35" x14ac:dyDescent="0.3">
      <c r="A37" s="209"/>
      <c r="B37" s="44" t="s">
        <v>141</v>
      </c>
      <c r="C37" s="48">
        <v>28040.476999999999</v>
      </c>
      <c r="D37" s="48">
        <v>27447.333999999999</v>
      </c>
      <c r="E37" s="48">
        <v>26523.743999999999</v>
      </c>
      <c r="F37" s="48">
        <v>24182.946</v>
      </c>
      <c r="G37" s="48">
        <v>26067.044999999998</v>
      </c>
      <c r="H37" s="48">
        <v>26787.971000000001</v>
      </c>
      <c r="I37" s="48">
        <v>24766.733</v>
      </c>
      <c r="J37" s="48">
        <v>25882.019</v>
      </c>
      <c r="K37" s="48">
        <v>26286.175999999999</v>
      </c>
      <c r="L37" s="48">
        <v>26625.331999999999</v>
      </c>
      <c r="M37" s="48">
        <v>33758.987999999998</v>
      </c>
      <c r="N37" s="48">
        <v>29157.706999999999</v>
      </c>
      <c r="O37" s="48">
        <v>25656.769</v>
      </c>
      <c r="P37" s="48">
        <v>23838.991999999998</v>
      </c>
      <c r="Q37" s="48">
        <v>24389.613000000001</v>
      </c>
      <c r="R37" s="48">
        <v>24915.328000000001</v>
      </c>
      <c r="S37" s="48">
        <v>25117.992999999999</v>
      </c>
      <c r="T37" s="48">
        <v>26041.348000000002</v>
      </c>
      <c r="U37" s="48">
        <v>24589.418000000001</v>
      </c>
      <c r="V37" s="48">
        <v>26151.026999999998</v>
      </c>
      <c r="W37" s="48">
        <v>26934.422999999999</v>
      </c>
      <c r="X37" s="48">
        <v>26540.59</v>
      </c>
      <c r="Y37" s="48">
        <v>24112.945</v>
      </c>
      <c r="Z37" s="48">
        <v>24659.4</v>
      </c>
      <c r="AA37" s="48">
        <v>25967.599999999999</v>
      </c>
      <c r="AB37" s="46">
        <v>21140</v>
      </c>
      <c r="AC37" s="46">
        <v>21441</v>
      </c>
      <c r="AD37" s="46">
        <v>21794</v>
      </c>
      <c r="AE37" s="46">
        <v>22112</v>
      </c>
      <c r="AF37" s="46">
        <v>21652</v>
      </c>
      <c r="AG37" s="46">
        <v>20755</v>
      </c>
      <c r="AH37" s="46">
        <v>22525</v>
      </c>
      <c r="AI37" s="46" t="s">
        <v>121</v>
      </c>
    </row>
    <row r="38" spans="1:35" x14ac:dyDescent="0.3">
      <c r="A38" s="209"/>
      <c r="B38" s="50" t="s">
        <v>142</v>
      </c>
      <c r="C38" s="49">
        <v>26346.476999999999</v>
      </c>
      <c r="D38" s="47">
        <v>25646</v>
      </c>
      <c r="E38" s="49">
        <v>24698.41</v>
      </c>
      <c r="F38" s="49">
        <v>22346.278999999999</v>
      </c>
      <c r="G38" s="49">
        <v>24341.712</v>
      </c>
      <c r="H38" s="49">
        <v>25140.475999999999</v>
      </c>
      <c r="I38" s="49">
        <v>23004.065999999999</v>
      </c>
      <c r="J38" s="49">
        <v>24035.351999999999</v>
      </c>
      <c r="K38" s="49">
        <v>24413.508999999998</v>
      </c>
      <c r="L38" s="49">
        <v>24777.998</v>
      </c>
      <c r="M38" s="49">
        <v>32166.758000000002</v>
      </c>
      <c r="N38" s="49">
        <v>27584.913</v>
      </c>
      <c r="O38" s="49">
        <v>23878.581999999999</v>
      </c>
      <c r="P38" s="49">
        <v>22314.111000000001</v>
      </c>
      <c r="Q38" s="49">
        <v>22817.832999999999</v>
      </c>
      <c r="R38" s="49">
        <v>22970.350999999999</v>
      </c>
      <c r="S38" s="49">
        <v>23077.014999999999</v>
      </c>
      <c r="T38" s="49">
        <v>24198.014999999999</v>
      </c>
      <c r="U38" s="49">
        <v>22567.418000000001</v>
      </c>
      <c r="V38" s="49">
        <v>23631.694</v>
      </c>
      <c r="W38" s="49">
        <v>23903.756000000001</v>
      </c>
      <c r="X38" s="49">
        <v>22529.922999999999</v>
      </c>
      <c r="Y38" s="49">
        <v>20356.277999999998</v>
      </c>
      <c r="Z38" s="49">
        <v>20049.400000000001</v>
      </c>
      <c r="AA38" s="49">
        <v>21155.599999999999</v>
      </c>
      <c r="AB38" s="47">
        <v>16555</v>
      </c>
      <c r="AC38" s="47">
        <v>16619</v>
      </c>
      <c r="AD38" s="47">
        <v>16773</v>
      </c>
      <c r="AE38" s="47">
        <v>17005</v>
      </c>
      <c r="AF38" s="47">
        <v>16815</v>
      </c>
      <c r="AG38" s="47">
        <v>15875</v>
      </c>
      <c r="AH38" s="47">
        <v>17195</v>
      </c>
      <c r="AI38" s="47" t="s">
        <v>121</v>
      </c>
    </row>
    <row r="39" spans="1:35" x14ac:dyDescent="0.3">
      <c r="A39" s="209"/>
      <c r="B39" s="50" t="s">
        <v>143</v>
      </c>
      <c r="C39" s="46">
        <v>1694</v>
      </c>
      <c r="D39" s="48">
        <v>1801.3330000000001</v>
      </c>
      <c r="E39" s="48">
        <v>1825.3330000000001</v>
      </c>
      <c r="F39" s="48">
        <v>1836.6669999999999</v>
      </c>
      <c r="G39" s="48">
        <v>1725.3330000000001</v>
      </c>
      <c r="H39" s="48">
        <v>1647.4949999999999</v>
      </c>
      <c r="I39" s="48">
        <v>1762.6669999999999</v>
      </c>
      <c r="J39" s="48">
        <v>1846.6669999999999</v>
      </c>
      <c r="K39" s="48">
        <v>1872.6669999999999</v>
      </c>
      <c r="L39" s="48">
        <v>1847.3330000000001</v>
      </c>
      <c r="M39" s="48">
        <v>1592.23</v>
      </c>
      <c r="N39" s="48">
        <v>1572.7940000000001</v>
      </c>
      <c r="O39" s="48">
        <v>1778.1869999999999</v>
      </c>
      <c r="P39" s="48">
        <v>1524.8810000000001</v>
      </c>
      <c r="Q39" s="48">
        <v>1571.78</v>
      </c>
      <c r="R39" s="48">
        <v>1944.9770000000001</v>
      </c>
      <c r="S39" s="48">
        <v>2040.9780000000001</v>
      </c>
      <c r="T39" s="48">
        <v>1843.3330000000001</v>
      </c>
      <c r="U39" s="46">
        <v>2022</v>
      </c>
      <c r="V39" s="48">
        <v>2519.3330000000001</v>
      </c>
      <c r="W39" s="48">
        <v>3030.6669999999999</v>
      </c>
      <c r="X39" s="48">
        <v>4010.6669999999999</v>
      </c>
      <c r="Y39" s="48">
        <v>3756.6669999999999</v>
      </c>
      <c r="Z39" s="46">
        <v>4610</v>
      </c>
      <c r="AA39" s="46">
        <v>4812</v>
      </c>
      <c r="AB39" s="46">
        <v>4585</v>
      </c>
      <c r="AC39" s="46">
        <v>4822</v>
      </c>
      <c r="AD39" s="46">
        <v>5021</v>
      </c>
      <c r="AE39" s="46">
        <v>5107</v>
      </c>
      <c r="AF39" s="46">
        <v>4837</v>
      </c>
      <c r="AG39" s="46">
        <v>4880</v>
      </c>
      <c r="AH39" s="46">
        <v>5330</v>
      </c>
      <c r="AI39" s="46" t="s">
        <v>121</v>
      </c>
    </row>
    <row r="40" spans="1:35" x14ac:dyDescent="0.3">
      <c r="A40" s="209"/>
      <c r="B40" s="50" t="s">
        <v>144</v>
      </c>
      <c r="C40" s="49">
        <v>740.28200000000004</v>
      </c>
      <c r="D40" s="49">
        <v>700.22900000000004</v>
      </c>
      <c r="E40" s="49">
        <v>713.976</v>
      </c>
      <c r="F40" s="49">
        <v>730.96199999999999</v>
      </c>
      <c r="G40" s="49">
        <v>754.60299999999995</v>
      </c>
      <c r="H40" s="49">
        <v>753.34199999999998</v>
      </c>
      <c r="I40" s="49">
        <v>703.43899999999996</v>
      </c>
      <c r="J40" s="49">
        <v>707.53300000000002</v>
      </c>
      <c r="K40" s="49">
        <v>678.20399999999995</v>
      </c>
      <c r="L40" s="49">
        <v>722.3</v>
      </c>
      <c r="M40" s="49">
        <v>767.245</v>
      </c>
      <c r="N40" s="49">
        <v>753.005</v>
      </c>
      <c r="O40" s="49">
        <v>783.19500000000005</v>
      </c>
      <c r="P40" s="49">
        <v>792.21400000000006</v>
      </c>
      <c r="Q40" s="49">
        <v>746.09100000000001</v>
      </c>
      <c r="R40" s="49">
        <v>678.50099999999998</v>
      </c>
      <c r="S40" s="49">
        <v>677.44100000000003</v>
      </c>
      <c r="T40" s="49">
        <v>641.46799999999996</v>
      </c>
      <c r="U40" s="49">
        <v>592.41700000000003</v>
      </c>
      <c r="V40" s="49">
        <v>525.34900000000005</v>
      </c>
      <c r="W40" s="49">
        <v>544.06100000000004</v>
      </c>
      <c r="X40" s="49">
        <v>591.65499999999997</v>
      </c>
      <c r="Y40" s="49">
        <v>570.80100000000004</v>
      </c>
      <c r="Z40" s="49">
        <v>633.04899999999998</v>
      </c>
      <c r="AA40" s="49">
        <v>651.70500000000004</v>
      </c>
      <c r="AB40" s="49">
        <v>609.10299999999995</v>
      </c>
      <c r="AC40" s="49">
        <v>663.96799999999996</v>
      </c>
      <c r="AD40" s="49">
        <v>658.72400000000005</v>
      </c>
      <c r="AE40" s="49">
        <v>724.11300000000006</v>
      </c>
      <c r="AF40" s="49">
        <v>649.77</v>
      </c>
      <c r="AG40" s="49">
        <v>625.53399999999999</v>
      </c>
      <c r="AH40" s="49">
        <v>629.94899999999996</v>
      </c>
      <c r="AI40" s="47" t="s">
        <v>121</v>
      </c>
    </row>
    <row r="41" spans="1:35" x14ac:dyDescent="0.3">
      <c r="A41" s="209"/>
      <c r="B41" s="50" t="s">
        <v>145</v>
      </c>
      <c r="C41" s="48">
        <v>619.88</v>
      </c>
      <c r="D41" s="48">
        <v>580.76599999999996</v>
      </c>
      <c r="E41" s="48">
        <v>585.65599999999995</v>
      </c>
      <c r="F41" s="48">
        <v>620.29999999999995</v>
      </c>
      <c r="G41" s="48">
        <v>622.93200000000002</v>
      </c>
      <c r="H41" s="48">
        <v>619.88</v>
      </c>
      <c r="I41" s="48">
        <v>557.58600000000001</v>
      </c>
      <c r="J41" s="48">
        <v>567.00300000000004</v>
      </c>
      <c r="K41" s="48">
        <v>543.10199999999998</v>
      </c>
      <c r="L41" s="48">
        <v>585.86599999999999</v>
      </c>
      <c r="M41" s="48">
        <v>625.94799999999998</v>
      </c>
      <c r="N41" s="48">
        <v>612.37699999999995</v>
      </c>
      <c r="O41" s="48">
        <v>629.745</v>
      </c>
      <c r="P41" s="48">
        <v>638.80499999999995</v>
      </c>
      <c r="Q41" s="48">
        <v>600.09299999999996</v>
      </c>
      <c r="R41" s="48">
        <v>574.255</v>
      </c>
      <c r="S41" s="48">
        <v>575.01</v>
      </c>
      <c r="T41" s="48">
        <v>513.44100000000003</v>
      </c>
      <c r="U41" s="48">
        <v>460.41300000000001</v>
      </c>
      <c r="V41" s="48">
        <v>420.77600000000001</v>
      </c>
      <c r="W41" s="48">
        <v>429.64699999999999</v>
      </c>
      <c r="X41" s="48">
        <v>454.30900000000003</v>
      </c>
      <c r="Y41" s="48">
        <v>431.94900000000001</v>
      </c>
      <c r="Z41" s="48">
        <v>470.81299999999999</v>
      </c>
      <c r="AA41" s="48">
        <v>497.065</v>
      </c>
      <c r="AB41" s="48">
        <v>486.10300000000001</v>
      </c>
      <c r="AC41" s="48">
        <v>501.959</v>
      </c>
      <c r="AD41" s="48">
        <v>506.596</v>
      </c>
      <c r="AE41" s="48">
        <v>571.08399999999995</v>
      </c>
      <c r="AF41" s="48">
        <v>480.483</v>
      </c>
      <c r="AG41" s="46">
        <v>461</v>
      </c>
      <c r="AH41" s="46">
        <v>461</v>
      </c>
      <c r="AI41" s="46" t="s">
        <v>121</v>
      </c>
    </row>
    <row r="42" spans="1:35" x14ac:dyDescent="0.3">
      <c r="A42" s="209"/>
      <c r="B42" s="50" t="s">
        <v>146</v>
      </c>
      <c r="C42" s="49">
        <v>78.484999999999999</v>
      </c>
      <c r="D42" s="49">
        <v>75.233000000000004</v>
      </c>
      <c r="E42" s="49">
        <v>81.893000000000001</v>
      </c>
      <c r="F42" s="49">
        <v>60.332999999999998</v>
      </c>
      <c r="G42" s="49">
        <v>79.527000000000001</v>
      </c>
      <c r="H42" s="49">
        <v>78.484999999999999</v>
      </c>
      <c r="I42" s="49">
        <v>84.372</v>
      </c>
      <c r="J42" s="49">
        <v>75.501999999999995</v>
      </c>
      <c r="K42" s="49">
        <v>67.031999999999996</v>
      </c>
      <c r="L42" s="49">
        <v>70.995999999999995</v>
      </c>
      <c r="M42" s="49">
        <v>68.379000000000005</v>
      </c>
      <c r="N42" s="49">
        <v>66.289000000000001</v>
      </c>
      <c r="O42" s="49">
        <v>73.653999999999996</v>
      </c>
      <c r="P42" s="49">
        <v>69.867000000000004</v>
      </c>
      <c r="Q42" s="49">
        <v>64.722999999999999</v>
      </c>
      <c r="R42" s="49">
        <v>23.053999999999998</v>
      </c>
      <c r="S42" s="49">
        <v>19.16</v>
      </c>
      <c r="T42" s="49">
        <v>39.756999999999998</v>
      </c>
      <c r="U42" s="49">
        <v>39.756999999999998</v>
      </c>
      <c r="V42" s="49">
        <v>18.907</v>
      </c>
      <c r="W42" s="49">
        <v>22.597000000000001</v>
      </c>
      <c r="X42" s="49">
        <v>47.307000000000002</v>
      </c>
      <c r="Y42" s="49">
        <v>41.228999999999999</v>
      </c>
      <c r="Z42" s="49">
        <v>69.126000000000005</v>
      </c>
      <c r="AA42" s="49">
        <v>58.512</v>
      </c>
      <c r="AB42" s="49">
        <v>19.11</v>
      </c>
      <c r="AC42" s="49">
        <v>55.040999999999997</v>
      </c>
      <c r="AD42" s="49">
        <v>39.072000000000003</v>
      </c>
      <c r="AE42" s="49">
        <v>40.758000000000003</v>
      </c>
      <c r="AF42" s="49">
        <v>51.3</v>
      </c>
      <c r="AG42" s="49">
        <v>47.3</v>
      </c>
      <c r="AH42" s="49">
        <v>46.902999999999999</v>
      </c>
      <c r="AI42" s="47" t="s">
        <v>121</v>
      </c>
    </row>
    <row r="43" spans="1:35" x14ac:dyDescent="0.3">
      <c r="A43" s="209"/>
      <c r="B43" s="50" t="s">
        <v>147</v>
      </c>
      <c r="C43" s="48">
        <v>41.917999999999999</v>
      </c>
      <c r="D43" s="48">
        <v>44.23</v>
      </c>
      <c r="E43" s="48">
        <v>46.427</v>
      </c>
      <c r="F43" s="48">
        <v>50.329000000000001</v>
      </c>
      <c r="G43" s="48">
        <v>52.145000000000003</v>
      </c>
      <c r="H43" s="48">
        <v>54.978000000000002</v>
      </c>
      <c r="I43" s="48">
        <v>61.481000000000002</v>
      </c>
      <c r="J43" s="48">
        <v>65.028999999999996</v>
      </c>
      <c r="K43" s="48">
        <v>68.070999999999998</v>
      </c>
      <c r="L43" s="48">
        <v>65.438000000000002</v>
      </c>
      <c r="M43" s="48">
        <v>72.918000000000006</v>
      </c>
      <c r="N43" s="48">
        <v>74.34</v>
      </c>
      <c r="O43" s="48">
        <v>79.796000000000006</v>
      </c>
      <c r="P43" s="48">
        <v>83.542000000000002</v>
      </c>
      <c r="Q43" s="48">
        <v>81.275000000000006</v>
      </c>
      <c r="R43" s="48">
        <v>81.192999999999998</v>
      </c>
      <c r="S43" s="48">
        <v>83.271000000000001</v>
      </c>
      <c r="T43" s="48">
        <v>88.27</v>
      </c>
      <c r="U43" s="48">
        <v>92.247</v>
      </c>
      <c r="V43" s="48">
        <v>85.665999999999997</v>
      </c>
      <c r="W43" s="48">
        <v>91.816999999999993</v>
      </c>
      <c r="X43" s="48">
        <v>90.039000000000001</v>
      </c>
      <c r="Y43" s="48">
        <v>97.623000000000005</v>
      </c>
      <c r="Z43" s="48">
        <v>93.11</v>
      </c>
      <c r="AA43" s="48">
        <v>96.128</v>
      </c>
      <c r="AB43" s="48">
        <v>103.89</v>
      </c>
      <c r="AC43" s="48">
        <v>106.968</v>
      </c>
      <c r="AD43" s="48">
        <v>113.056</v>
      </c>
      <c r="AE43" s="48">
        <v>112.271</v>
      </c>
      <c r="AF43" s="48">
        <v>117.98699999999999</v>
      </c>
      <c r="AG43" s="48">
        <v>117.23399999999999</v>
      </c>
      <c r="AH43" s="48">
        <v>122.04600000000001</v>
      </c>
      <c r="AI43" s="46" t="s">
        <v>121</v>
      </c>
    </row>
    <row r="44" spans="1:35" x14ac:dyDescent="0.3">
      <c r="A44" s="209"/>
      <c r="B44" s="50" t="s">
        <v>150</v>
      </c>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t="s">
        <v>121</v>
      </c>
    </row>
    <row r="45" spans="1:35" x14ac:dyDescent="0.3">
      <c r="A45" s="209"/>
      <c r="B45" s="50" t="s">
        <v>152</v>
      </c>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t="s">
        <v>121</v>
      </c>
    </row>
    <row r="46" spans="1:35" x14ac:dyDescent="0.3">
      <c r="A46" s="209"/>
      <c r="B46" s="50" t="s">
        <v>153</v>
      </c>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t="s">
        <v>121</v>
      </c>
    </row>
    <row r="47" spans="1:35" x14ac:dyDescent="0.3">
      <c r="A47" s="209"/>
      <c r="B47" s="50" t="s">
        <v>154</v>
      </c>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t="s">
        <v>121</v>
      </c>
    </row>
    <row r="48" spans="1:35" x14ac:dyDescent="0.3">
      <c r="A48" s="209"/>
      <c r="B48" s="50" t="s">
        <v>155</v>
      </c>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t="s">
        <v>121</v>
      </c>
    </row>
    <row r="49" spans="1:35" x14ac:dyDescent="0.3">
      <c r="A49" s="209"/>
      <c r="B49" s="50" t="s">
        <v>156</v>
      </c>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t="s">
        <v>121</v>
      </c>
    </row>
    <row r="50" spans="1:35" x14ac:dyDescent="0.3">
      <c r="A50" s="209"/>
      <c r="B50" s="44" t="s">
        <v>157</v>
      </c>
      <c r="C50" s="49">
        <v>13150.787</v>
      </c>
      <c r="D50" s="49">
        <v>10715.168</v>
      </c>
      <c r="E50" s="49">
        <v>7955.4290000000001</v>
      </c>
      <c r="F50" s="49">
        <v>5174.3440000000001</v>
      </c>
      <c r="G50" s="49">
        <v>3559.4850000000001</v>
      </c>
      <c r="H50" s="49">
        <v>2326.1219999999998</v>
      </c>
      <c r="I50" s="49">
        <v>1836.1020000000001</v>
      </c>
      <c r="J50" s="49">
        <v>740.74</v>
      </c>
      <c r="K50" s="49">
        <v>214.86600000000001</v>
      </c>
      <c r="L50" s="49">
        <v>233.41499999999999</v>
      </c>
      <c r="M50" s="49">
        <v>216.97900000000001</v>
      </c>
      <c r="N50" s="49">
        <v>173.56899999999999</v>
      </c>
      <c r="O50" s="49">
        <v>116.08199999999999</v>
      </c>
      <c r="P50" s="49">
        <v>98.111999999999995</v>
      </c>
      <c r="Q50" s="49">
        <v>97.875</v>
      </c>
      <c r="R50" s="49">
        <v>106.4</v>
      </c>
      <c r="S50" s="49">
        <v>127.8</v>
      </c>
      <c r="T50" s="49">
        <v>126.874</v>
      </c>
      <c r="U50" s="49">
        <v>112.97</v>
      </c>
      <c r="V50" s="49">
        <v>145.947</v>
      </c>
      <c r="W50" s="49">
        <v>155.256</v>
      </c>
      <c r="X50" s="49">
        <v>99.478999999999999</v>
      </c>
      <c r="Y50" s="49">
        <v>66.617000000000004</v>
      </c>
      <c r="Z50" s="49">
        <v>175.95400000000001</v>
      </c>
      <c r="AA50" s="49">
        <v>119.194</v>
      </c>
      <c r="AB50" s="49">
        <v>96.504000000000005</v>
      </c>
      <c r="AC50" s="49">
        <v>165.23500000000001</v>
      </c>
      <c r="AD50" s="49">
        <v>212.084</v>
      </c>
      <c r="AE50" s="49">
        <v>186.33099999999999</v>
      </c>
      <c r="AF50" s="49">
        <v>193.33699999999999</v>
      </c>
      <c r="AG50" s="49">
        <v>207.98400000000001</v>
      </c>
      <c r="AH50" s="49">
        <v>236.50800000000001</v>
      </c>
      <c r="AI50" s="49">
        <v>236.50800000000001</v>
      </c>
    </row>
    <row r="51" spans="1:35" x14ac:dyDescent="0.3">
      <c r="A51" s="209"/>
      <c r="B51" s="50" t="s">
        <v>158</v>
      </c>
      <c r="C51" s="46">
        <v>11370</v>
      </c>
      <c r="D51" s="46">
        <v>9747</v>
      </c>
      <c r="E51" s="46">
        <v>7288</v>
      </c>
      <c r="F51" s="46">
        <v>4543</v>
      </c>
      <c r="G51" s="46">
        <v>3118</v>
      </c>
      <c r="H51" s="46">
        <v>1967</v>
      </c>
      <c r="I51" s="46">
        <v>1460</v>
      </c>
      <c r="J51" s="46">
        <v>523</v>
      </c>
      <c r="K51" s="46">
        <v>21</v>
      </c>
      <c r="L51" s="46">
        <v>23</v>
      </c>
      <c r="M51" s="46">
        <v>31</v>
      </c>
      <c r="N51" s="46">
        <v>37</v>
      </c>
      <c r="O51" s="46">
        <v>21</v>
      </c>
      <c r="P51" s="46">
        <v>0</v>
      </c>
      <c r="Q51" s="46">
        <v>0</v>
      </c>
      <c r="R51" s="46">
        <v>0</v>
      </c>
      <c r="S51" s="46">
        <v>0</v>
      </c>
      <c r="T51" s="46">
        <v>0</v>
      </c>
      <c r="U51" s="46">
        <v>0</v>
      </c>
      <c r="V51" s="46">
        <v>0</v>
      </c>
      <c r="W51" s="46">
        <v>0</v>
      </c>
      <c r="X51" s="46">
        <v>0</v>
      </c>
      <c r="Y51" s="46">
        <v>0</v>
      </c>
      <c r="Z51" s="48">
        <v>0.97</v>
      </c>
      <c r="AA51" s="48">
        <v>0.443</v>
      </c>
      <c r="AB51" s="48">
        <v>3.3580000000000001</v>
      </c>
      <c r="AC51" s="48">
        <v>14.237</v>
      </c>
      <c r="AD51" s="48">
        <v>15.138</v>
      </c>
      <c r="AE51" s="48">
        <v>23.119</v>
      </c>
      <c r="AF51" s="48">
        <v>24.420999999999999</v>
      </c>
      <c r="AG51" s="48">
        <v>21.734000000000002</v>
      </c>
      <c r="AH51" s="48">
        <v>12.631</v>
      </c>
      <c r="AI51" s="46" t="s">
        <v>121</v>
      </c>
    </row>
    <row r="52" spans="1:35" x14ac:dyDescent="0.3">
      <c r="A52" s="209"/>
      <c r="B52" s="50" t="s">
        <v>159</v>
      </c>
      <c r="C52" s="49">
        <v>1780.787</v>
      </c>
      <c r="D52" s="49">
        <v>968.16800000000001</v>
      </c>
      <c r="E52" s="49">
        <v>667.42899999999997</v>
      </c>
      <c r="F52" s="49">
        <v>631.34400000000005</v>
      </c>
      <c r="G52" s="49">
        <v>441.48500000000001</v>
      </c>
      <c r="H52" s="49">
        <v>359.12200000000001</v>
      </c>
      <c r="I52" s="49">
        <v>376.10199999999998</v>
      </c>
      <c r="J52" s="49">
        <v>217.74</v>
      </c>
      <c r="K52" s="49">
        <v>193.86600000000001</v>
      </c>
      <c r="L52" s="49">
        <v>210.41499999999999</v>
      </c>
      <c r="M52" s="49">
        <v>185.97900000000001</v>
      </c>
      <c r="N52" s="49">
        <v>136.56899999999999</v>
      </c>
      <c r="O52" s="49">
        <v>95.081999999999994</v>
      </c>
      <c r="P52" s="49">
        <v>98.111999999999995</v>
      </c>
      <c r="Q52" s="49">
        <v>97.875</v>
      </c>
      <c r="R52" s="49">
        <v>106.4</v>
      </c>
      <c r="S52" s="49">
        <v>127.8</v>
      </c>
      <c r="T52" s="49">
        <v>126.874</v>
      </c>
      <c r="U52" s="49">
        <v>112.97</v>
      </c>
      <c r="V52" s="49">
        <v>145.947</v>
      </c>
      <c r="W52" s="49">
        <v>155.256</v>
      </c>
      <c r="X52" s="49">
        <v>99.478999999999999</v>
      </c>
      <c r="Y52" s="49">
        <v>66.617000000000004</v>
      </c>
      <c r="Z52" s="49">
        <v>174.98400000000001</v>
      </c>
      <c r="AA52" s="49">
        <v>118.751</v>
      </c>
      <c r="AB52" s="49">
        <v>93.146000000000001</v>
      </c>
      <c r="AC52" s="49">
        <v>150.99799999999999</v>
      </c>
      <c r="AD52" s="49">
        <v>196.946</v>
      </c>
      <c r="AE52" s="49">
        <v>163.21199999999999</v>
      </c>
      <c r="AF52" s="49">
        <v>168.91499999999999</v>
      </c>
      <c r="AG52" s="49">
        <v>186.25</v>
      </c>
      <c r="AH52" s="49">
        <v>223.87700000000001</v>
      </c>
      <c r="AI52" s="47" t="s">
        <v>121</v>
      </c>
    </row>
    <row r="53" spans="1:35" x14ac:dyDescent="0.3">
      <c r="A53" s="209"/>
      <c r="B53" s="50" t="s">
        <v>160</v>
      </c>
      <c r="C53" s="48">
        <v>0.91100000000000003</v>
      </c>
      <c r="D53" s="48">
        <v>0.68899999999999995</v>
      </c>
      <c r="E53" s="48">
        <v>0.54300000000000004</v>
      </c>
      <c r="F53" s="46">
        <v>0</v>
      </c>
      <c r="G53" s="46">
        <v>0</v>
      </c>
      <c r="H53" s="46">
        <v>0</v>
      </c>
      <c r="I53" s="46">
        <v>0</v>
      </c>
      <c r="J53" s="46">
        <v>0</v>
      </c>
      <c r="K53" s="46">
        <v>0</v>
      </c>
      <c r="L53" s="46">
        <v>0</v>
      </c>
      <c r="M53" s="46">
        <v>0</v>
      </c>
      <c r="N53" s="46">
        <v>0</v>
      </c>
      <c r="O53" s="46">
        <v>0</v>
      </c>
      <c r="P53" s="46">
        <v>0</v>
      </c>
      <c r="Q53" s="46">
        <v>0</v>
      </c>
      <c r="R53" s="46">
        <v>0</v>
      </c>
      <c r="S53" s="46">
        <v>0</v>
      </c>
      <c r="T53" s="46">
        <v>0</v>
      </c>
      <c r="U53" s="46">
        <v>0</v>
      </c>
      <c r="V53" s="46">
        <v>0</v>
      </c>
      <c r="W53" s="46">
        <v>0</v>
      </c>
      <c r="X53" s="46">
        <v>0</v>
      </c>
      <c r="Y53" s="46">
        <v>0</v>
      </c>
      <c r="Z53" s="46">
        <v>0</v>
      </c>
      <c r="AA53" s="46">
        <v>0</v>
      </c>
      <c r="AB53" s="46">
        <v>0</v>
      </c>
      <c r="AC53" s="46">
        <v>0</v>
      </c>
      <c r="AD53" s="46">
        <v>0</v>
      </c>
      <c r="AE53" s="46">
        <v>0</v>
      </c>
      <c r="AF53" s="46">
        <v>0</v>
      </c>
      <c r="AG53" s="46">
        <v>0</v>
      </c>
      <c r="AH53" s="46">
        <v>0</v>
      </c>
      <c r="AI53" s="46" t="s">
        <v>121</v>
      </c>
    </row>
    <row r="54" spans="1:35" x14ac:dyDescent="0.3">
      <c r="A54" s="209"/>
      <c r="B54" s="50" t="s">
        <v>161</v>
      </c>
      <c r="C54" s="47">
        <v>0</v>
      </c>
      <c r="D54" s="47">
        <v>0</v>
      </c>
      <c r="E54" s="47">
        <v>0</v>
      </c>
      <c r="F54" s="47">
        <v>0</v>
      </c>
      <c r="G54" s="47">
        <v>0</v>
      </c>
      <c r="H54" s="47">
        <v>0</v>
      </c>
      <c r="I54" s="47">
        <v>0</v>
      </c>
      <c r="J54" s="47">
        <v>0</v>
      </c>
      <c r="K54" s="47">
        <v>0</v>
      </c>
      <c r="L54" s="47">
        <v>0</v>
      </c>
      <c r="M54" s="47">
        <v>0</v>
      </c>
      <c r="N54" s="47">
        <v>0</v>
      </c>
      <c r="O54" s="47">
        <v>0</v>
      </c>
      <c r="P54" s="47">
        <v>0</v>
      </c>
      <c r="Q54" s="47">
        <v>0</v>
      </c>
      <c r="R54" s="47">
        <v>0</v>
      </c>
      <c r="S54" s="47">
        <v>0</v>
      </c>
      <c r="T54" s="47">
        <v>0</v>
      </c>
      <c r="U54" s="47">
        <v>0</v>
      </c>
      <c r="V54" s="47">
        <v>0</v>
      </c>
      <c r="W54" s="47">
        <v>0</v>
      </c>
      <c r="X54" s="47">
        <v>0</v>
      </c>
      <c r="Y54" s="47">
        <v>0</v>
      </c>
      <c r="Z54" s="47">
        <v>0</v>
      </c>
      <c r="AA54" s="47">
        <v>0</v>
      </c>
      <c r="AB54" s="47">
        <v>0</v>
      </c>
      <c r="AC54" s="47">
        <v>0</v>
      </c>
      <c r="AD54" s="47">
        <v>0</v>
      </c>
      <c r="AE54" s="47">
        <v>0</v>
      </c>
      <c r="AF54" s="47">
        <v>0</v>
      </c>
      <c r="AG54" s="47">
        <v>0</v>
      </c>
      <c r="AH54" s="47">
        <v>0</v>
      </c>
      <c r="AI54" s="47" t="s">
        <v>121</v>
      </c>
    </row>
    <row r="55" spans="1:35" x14ac:dyDescent="0.3">
      <c r="A55" s="209"/>
      <c r="B55" s="50" t="s">
        <v>162</v>
      </c>
      <c r="C55" s="48">
        <v>1.766</v>
      </c>
      <c r="D55" s="48">
        <v>2.0430000000000001</v>
      </c>
      <c r="E55" s="46">
        <v>0</v>
      </c>
      <c r="F55" s="46">
        <v>0</v>
      </c>
      <c r="G55" s="46">
        <v>0</v>
      </c>
      <c r="H55" s="46">
        <v>0</v>
      </c>
      <c r="I55" s="46">
        <v>0</v>
      </c>
      <c r="J55" s="46">
        <v>0</v>
      </c>
      <c r="K55" s="46">
        <v>0</v>
      </c>
      <c r="L55" s="46">
        <v>0</v>
      </c>
      <c r="M55" s="46">
        <v>0</v>
      </c>
      <c r="N55" s="46">
        <v>0</v>
      </c>
      <c r="O55" s="46">
        <v>0</v>
      </c>
      <c r="P55" s="46">
        <v>0</v>
      </c>
      <c r="Q55" s="46">
        <v>0</v>
      </c>
      <c r="R55" s="46">
        <v>0</v>
      </c>
      <c r="S55" s="46">
        <v>0</v>
      </c>
      <c r="T55" s="46">
        <v>0</v>
      </c>
      <c r="U55" s="46">
        <v>0</v>
      </c>
      <c r="V55" s="46">
        <v>0</v>
      </c>
      <c r="W55" s="46">
        <v>0</v>
      </c>
      <c r="X55" s="46">
        <v>0</v>
      </c>
      <c r="Y55" s="46">
        <v>0</v>
      </c>
      <c r="Z55" s="46">
        <v>0</v>
      </c>
      <c r="AA55" s="46">
        <v>0</v>
      </c>
      <c r="AB55" s="46">
        <v>0</v>
      </c>
      <c r="AC55" s="46">
        <v>0</v>
      </c>
      <c r="AD55" s="46">
        <v>0</v>
      </c>
      <c r="AE55" s="46">
        <v>0</v>
      </c>
      <c r="AF55" s="46">
        <v>0</v>
      </c>
      <c r="AG55" s="46">
        <v>0</v>
      </c>
      <c r="AH55" s="46">
        <v>0</v>
      </c>
      <c r="AI55" s="46" t="s">
        <v>121</v>
      </c>
    </row>
    <row r="56" spans="1:35" x14ac:dyDescent="0.3">
      <c r="A56" s="209"/>
      <c r="B56" s="50" t="s">
        <v>163</v>
      </c>
      <c r="C56" s="49">
        <v>42.826000000000001</v>
      </c>
      <c r="D56" s="49">
        <v>48.981999999999999</v>
      </c>
      <c r="E56" s="49">
        <v>29.376000000000001</v>
      </c>
      <c r="F56" s="49">
        <v>24.283999999999999</v>
      </c>
      <c r="G56" s="47">
        <v>0</v>
      </c>
      <c r="H56" s="47">
        <v>0</v>
      </c>
      <c r="I56" s="47">
        <v>0</v>
      </c>
      <c r="J56" s="47">
        <v>0</v>
      </c>
      <c r="K56" s="47">
        <v>0</v>
      </c>
      <c r="L56" s="47">
        <v>0</v>
      </c>
      <c r="M56" s="47">
        <v>0</v>
      </c>
      <c r="N56" s="47">
        <v>0</v>
      </c>
      <c r="O56" s="47">
        <v>0</v>
      </c>
      <c r="P56" s="47">
        <v>0</v>
      </c>
      <c r="Q56" s="47">
        <v>0</v>
      </c>
      <c r="R56" s="47">
        <v>0</v>
      </c>
      <c r="S56" s="47">
        <v>0</v>
      </c>
      <c r="T56" s="47">
        <v>0</v>
      </c>
      <c r="U56" s="47">
        <v>0</v>
      </c>
      <c r="V56" s="47">
        <v>0</v>
      </c>
      <c r="W56" s="47">
        <v>0</v>
      </c>
      <c r="X56" s="47">
        <v>0</v>
      </c>
      <c r="Y56" s="47">
        <v>0</v>
      </c>
      <c r="Z56" s="47">
        <v>0</v>
      </c>
      <c r="AA56" s="47">
        <v>0</v>
      </c>
      <c r="AB56" s="47">
        <v>0</v>
      </c>
      <c r="AC56" s="47">
        <v>0</v>
      </c>
      <c r="AD56" s="47">
        <v>0</v>
      </c>
      <c r="AE56" s="47">
        <v>0</v>
      </c>
      <c r="AF56" s="47">
        <v>0</v>
      </c>
      <c r="AG56" s="47">
        <v>0</v>
      </c>
      <c r="AH56" s="47">
        <v>0</v>
      </c>
      <c r="AI56" s="47" t="s">
        <v>121</v>
      </c>
    </row>
    <row r="57" spans="1:35" x14ac:dyDescent="0.3">
      <c r="A57" s="209"/>
      <c r="B57" s="50" t="s">
        <v>164</v>
      </c>
      <c r="C57" s="46">
        <v>0</v>
      </c>
      <c r="D57" s="46">
        <v>0</v>
      </c>
      <c r="E57" s="46">
        <v>0</v>
      </c>
      <c r="F57" s="46">
        <v>0</v>
      </c>
      <c r="G57" s="46">
        <v>0</v>
      </c>
      <c r="H57" s="46">
        <v>0</v>
      </c>
      <c r="I57" s="46">
        <v>0</v>
      </c>
      <c r="J57" s="46">
        <v>0</v>
      </c>
      <c r="K57" s="46">
        <v>0</v>
      </c>
      <c r="L57" s="46">
        <v>0</v>
      </c>
      <c r="M57" s="46">
        <v>0</v>
      </c>
      <c r="N57" s="46">
        <v>0</v>
      </c>
      <c r="O57" s="46">
        <v>0</v>
      </c>
      <c r="P57" s="46">
        <v>0</v>
      </c>
      <c r="Q57" s="46">
        <v>0</v>
      </c>
      <c r="R57" s="46">
        <v>0</v>
      </c>
      <c r="S57" s="46">
        <v>0</v>
      </c>
      <c r="T57" s="46">
        <v>0</v>
      </c>
      <c r="U57" s="46">
        <v>0</v>
      </c>
      <c r="V57" s="46">
        <v>0</v>
      </c>
      <c r="W57" s="46">
        <v>0</v>
      </c>
      <c r="X57" s="46">
        <v>0</v>
      </c>
      <c r="Y57" s="46">
        <v>0</v>
      </c>
      <c r="Z57" s="46">
        <v>0</v>
      </c>
      <c r="AA57" s="46">
        <v>0</v>
      </c>
      <c r="AB57" s="46">
        <v>0</v>
      </c>
      <c r="AC57" s="46">
        <v>0</v>
      </c>
      <c r="AD57" s="46">
        <v>0</v>
      </c>
      <c r="AE57" s="46">
        <v>0</v>
      </c>
      <c r="AF57" s="46">
        <v>0</v>
      </c>
      <c r="AG57" s="46">
        <v>0</v>
      </c>
      <c r="AH57" s="46">
        <v>0</v>
      </c>
      <c r="AI57" s="46" t="s">
        <v>121</v>
      </c>
    </row>
    <row r="58" spans="1:35" x14ac:dyDescent="0.3">
      <c r="A58" s="209"/>
      <c r="B58" s="50" t="s">
        <v>165</v>
      </c>
      <c r="C58" s="49">
        <v>44.197000000000003</v>
      </c>
      <c r="D58" s="49">
        <v>34.548999999999999</v>
      </c>
      <c r="E58" s="49">
        <v>7.82</v>
      </c>
      <c r="F58" s="49">
        <v>6.06</v>
      </c>
      <c r="G58" s="49">
        <v>9.484</v>
      </c>
      <c r="H58" s="49">
        <v>10.99</v>
      </c>
      <c r="I58" s="49">
        <v>9.4039999999999999</v>
      </c>
      <c r="J58" s="49">
        <v>9.1720000000000006</v>
      </c>
      <c r="K58" s="49">
        <v>7.9420000000000002</v>
      </c>
      <c r="L58" s="49">
        <v>7.6310000000000002</v>
      </c>
      <c r="M58" s="49">
        <v>7.8529999999999998</v>
      </c>
      <c r="N58" s="49">
        <v>7.6580000000000004</v>
      </c>
      <c r="O58" s="49">
        <v>5.1820000000000004</v>
      </c>
      <c r="P58" s="49">
        <v>5.0119999999999996</v>
      </c>
      <c r="Q58" s="49">
        <v>4.4749999999999996</v>
      </c>
      <c r="R58" s="47">
        <v>0</v>
      </c>
      <c r="S58" s="47">
        <v>0</v>
      </c>
      <c r="T58" s="47">
        <v>0</v>
      </c>
      <c r="U58" s="47"/>
      <c r="V58" s="47"/>
      <c r="W58" s="47"/>
      <c r="X58" s="47"/>
      <c r="Y58" s="47"/>
      <c r="Z58" s="47"/>
      <c r="AA58" s="47"/>
      <c r="AB58" s="47"/>
      <c r="AC58" s="47"/>
      <c r="AD58" s="47"/>
      <c r="AE58" s="47"/>
      <c r="AF58" s="47"/>
      <c r="AG58" s="47"/>
      <c r="AH58" s="47"/>
      <c r="AI58" s="47" t="s">
        <v>121</v>
      </c>
    </row>
    <row r="59" spans="1:35" x14ac:dyDescent="0.3">
      <c r="A59" s="209"/>
      <c r="B59" s="50" t="s">
        <v>167</v>
      </c>
      <c r="C59" s="48">
        <v>635.79999999999995</v>
      </c>
      <c r="D59" s="48">
        <v>183.3</v>
      </c>
      <c r="E59" s="46">
        <v>104</v>
      </c>
      <c r="F59" s="46">
        <v>151</v>
      </c>
      <c r="G59" s="46">
        <v>128</v>
      </c>
      <c r="H59" s="46">
        <v>131</v>
      </c>
      <c r="I59" s="46">
        <v>165</v>
      </c>
      <c r="J59" s="48">
        <v>93.7</v>
      </c>
      <c r="K59" s="48">
        <v>105.7</v>
      </c>
      <c r="L59" s="48">
        <v>127.4</v>
      </c>
      <c r="M59" s="48">
        <v>124.7</v>
      </c>
      <c r="N59" s="48">
        <v>93.5</v>
      </c>
      <c r="O59" s="48">
        <v>89.9</v>
      </c>
      <c r="P59" s="48">
        <v>93.1</v>
      </c>
      <c r="Q59" s="48">
        <v>93.4</v>
      </c>
      <c r="R59" s="48">
        <v>106.4</v>
      </c>
      <c r="S59" s="48">
        <v>127.8</v>
      </c>
      <c r="T59" s="48">
        <v>126.874</v>
      </c>
      <c r="U59" s="46"/>
      <c r="V59" s="46"/>
      <c r="W59" s="46"/>
      <c r="X59" s="46"/>
      <c r="Y59" s="46"/>
      <c r="Z59" s="46"/>
      <c r="AA59" s="46"/>
      <c r="AB59" s="46"/>
      <c r="AC59" s="46"/>
      <c r="AD59" s="46"/>
      <c r="AE59" s="46"/>
      <c r="AF59" s="46"/>
      <c r="AG59" s="46"/>
      <c r="AH59" s="46"/>
      <c r="AI59" s="46" t="s">
        <v>121</v>
      </c>
    </row>
    <row r="60" spans="1:35" x14ac:dyDescent="0.3">
      <c r="A60" s="209"/>
      <c r="B60" s="50" t="s">
        <v>168</v>
      </c>
      <c r="C60" s="49">
        <v>1048.7170000000001</v>
      </c>
      <c r="D60" s="49">
        <v>695.54499999999996</v>
      </c>
      <c r="E60" s="49">
        <v>525.69000000000005</v>
      </c>
      <c r="F60" s="47">
        <v>450</v>
      </c>
      <c r="G60" s="49">
        <v>304.00099999999998</v>
      </c>
      <c r="H60" s="49">
        <v>217.13200000000001</v>
      </c>
      <c r="I60" s="49">
        <v>201.69800000000001</v>
      </c>
      <c r="J60" s="49">
        <v>114.86799999999999</v>
      </c>
      <c r="K60" s="49">
        <v>80.224000000000004</v>
      </c>
      <c r="L60" s="49">
        <v>75.384</v>
      </c>
      <c r="M60" s="49">
        <v>53.426000000000002</v>
      </c>
      <c r="N60" s="49">
        <v>35.411000000000001</v>
      </c>
      <c r="O60" s="47">
        <v>0</v>
      </c>
      <c r="P60" s="47">
        <v>0</v>
      </c>
      <c r="Q60" s="47">
        <v>0</v>
      </c>
      <c r="R60" s="47">
        <v>0</v>
      </c>
      <c r="S60" s="47">
        <v>0</v>
      </c>
      <c r="T60" s="47">
        <v>0</v>
      </c>
      <c r="U60" s="47">
        <v>0</v>
      </c>
      <c r="V60" s="47">
        <v>0</v>
      </c>
      <c r="W60" s="47">
        <v>0</v>
      </c>
      <c r="X60" s="47">
        <v>0</v>
      </c>
      <c r="Y60" s="47">
        <v>0</v>
      </c>
      <c r="Z60" s="47">
        <v>0</v>
      </c>
      <c r="AA60" s="47">
        <v>0</v>
      </c>
      <c r="AB60" s="47">
        <v>0</v>
      </c>
      <c r="AC60" s="47">
        <v>0</v>
      </c>
      <c r="AD60" s="47">
        <v>0</v>
      </c>
      <c r="AE60" s="47">
        <v>0</v>
      </c>
      <c r="AF60" s="47">
        <v>0</v>
      </c>
      <c r="AG60" s="47">
        <v>0</v>
      </c>
      <c r="AH60" s="47">
        <v>0</v>
      </c>
      <c r="AI60" s="47" t="s">
        <v>121</v>
      </c>
    </row>
    <row r="61" spans="1:35" x14ac:dyDescent="0.3">
      <c r="A61" s="209"/>
      <c r="B61" s="50" t="s">
        <v>169</v>
      </c>
      <c r="C61" s="48">
        <v>6.57</v>
      </c>
      <c r="D61" s="48">
        <v>3.06</v>
      </c>
      <c r="E61" s="46">
        <v>0</v>
      </c>
      <c r="F61" s="46">
        <v>0</v>
      </c>
      <c r="G61" s="46">
        <v>0</v>
      </c>
      <c r="H61" s="46">
        <v>0</v>
      </c>
      <c r="I61" s="46">
        <v>0</v>
      </c>
      <c r="J61" s="46">
        <v>0</v>
      </c>
      <c r="K61" s="46">
        <v>0</v>
      </c>
      <c r="L61" s="46">
        <v>0</v>
      </c>
      <c r="M61" s="46">
        <v>0</v>
      </c>
      <c r="N61" s="46">
        <v>0</v>
      </c>
      <c r="O61" s="46">
        <v>0</v>
      </c>
      <c r="P61" s="46">
        <v>0</v>
      </c>
      <c r="Q61" s="46">
        <v>0</v>
      </c>
      <c r="R61" s="46">
        <v>0</v>
      </c>
      <c r="S61" s="46">
        <v>0</v>
      </c>
      <c r="T61" s="46">
        <v>0</v>
      </c>
      <c r="U61" s="46">
        <v>0</v>
      </c>
      <c r="V61" s="46">
        <v>0</v>
      </c>
      <c r="W61" s="46">
        <v>0</v>
      </c>
      <c r="X61" s="46">
        <v>0</v>
      </c>
      <c r="Y61" s="46">
        <v>0</v>
      </c>
      <c r="Z61" s="48">
        <v>93.616</v>
      </c>
      <c r="AA61" s="48">
        <v>32.341000000000001</v>
      </c>
      <c r="AB61" s="48">
        <v>28.669</v>
      </c>
      <c r="AC61" s="48">
        <v>58.616</v>
      </c>
      <c r="AD61" s="48">
        <v>57.78</v>
      </c>
      <c r="AE61" s="48">
        <v>47.859000000000002</v>
      </c>
      <c r="AF61" s="48">
        <v>58.177999999999997</v>
      </c>
      <c r="AG61" s="48">
        <v>47.7</v>
      </c>
      <c r="AH61" s="48">
        <v>79.222999999999999</v>
      </c>
      <c r="AI61" s="46" t="s">
        <v>121</v>
      </c>
    </row>
    <row r="62" spans="1:35" x14ac:dyDescent="0.3">
      <c r="A62" s="209"/>
      <c r="B62" s="50" t="s">
        <v>170</v>
      </c>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t="s">
        <v>121</v>
      </c>
    </row>
    <row r="63" spans="1:35" x14ac:dyDescent="0.3">
      <c r="A63" s="209"/>
      <c r="B63" s="44" t="s">
        <v>171</v>
      </c>
      <c r="C63" s="48">
        <v>440219.09100000001</v>
      </c>
      <c r="D63" s="48">
        <v>447366.32900000003</v>
      </c>
      <c r="E63" s="48">
        <v>416215.00699999998</v>
      </c>
      <c r="F63" s="48">
        <v>389414.91700000002</v>
      </c>
      <c r="G63" s="48">
        <v>414958.66499999998</v>
      </c>
      <c r="H63" s="48">
        <v>415457.83299999998</v>
      </c>
      <c r="I63" s="48">
        <v>384256.397</v>
      </c>
      <c r="J63" s="48">
        <v>394771.80300000001</v>
      </c>
      <c r="K63" s="48">
        <v>405122.27299999999</v>
      </c>
      <c r="L63" s="48">
        <v>423346.47399999999</v>
      </c>
      <c r="M63" s="48">
        <v>446912.32199999999</v>
      </c>
      <c r="N63" s="48">
        <v>442765.66399999999</v>
      </c>
      <c r="O63" s="48">
        <v>428354.64</v>
      </c>
      <c r="P63" s="48">
        <v>428723.94199999998</v>
      </c>
      <c r="Q63" s="48">
        <v>437533.196</v>
      </c>
      <c r="R63" s="48">
        <v>436185.08</v>
      </c>
      <c r="S63" s="48">
        <v>452201.92300000001</v>
      </c>
      <c r="T63" s="48">
        <v>466266.95</v>
      </c>
      <c r="U63" s="48">
        <v>445117.16600000003</v>
      </c>
      <c r="V63" s="48">
        <v>387623.12800000003</v>
      </c>
      <c r="W63" s="48">
        <v>378850.48</v>
      </c>
      <c r="X63" s="48">
        <v>396037.94</v>
      </c>
      <c r="Y63" s="48">
        <v>368994.03600000002</v>
      </c>
      <c r="Z63" s="48">
        <v>372392.26199999999</v>
      </c>
      <c r="AA63" s="48">
        <v>351551.68800000002</v>
      </c>
      <c r="AB63" s="48">
        <v>336623.826</v>
      </c>
      <c r="AC63" s="48">
        <v>339458.73800000001</v>
      </c>
      <c r="AD63" s="48">
        <v>355170.28899999999</v>
      </c>
      <c r="AE63" s="48">
        <v>372888.08</v>
      </c>
      <c r="AF63" s="48">
        <v>393262.94799999997</v>
      </c>
      <c r="AG63" s="48">
        <v>362814.49099999998</v>
      </c>
      <c r="AH63" s="48">
        <v>394539.51899999997</v>
      </c>
      <c r="AI63" s="48">
        <v>399685.69799999997</v>
      </c>
    </row>
    <row r="64" spans="1:35" x14ac:dyDescent="0.3">
      <c r="A64" s="209"/>
      <c r="B64" s="50" t="s">
        <v>172</v>
      </c>
      <c r="C64" s="49">
        <v>1152.942</v>
      </c>
      <c r="D64" s="49">
        <v>1133.17</v>
      </c>
      <c r="E64" s="49">
        <v>1110.4680000000001</v>
      </c>
      <c r="F64" s="49">
        <v>1082.816</v>
      </c>
      <c r="G64" s="49">
        <v>1158.1759999999999</v>
      </c>
      <c r="H64" s="49">
        <v>1091.354</v>
      </c>
      <c r="I64" s="49">
        <v>1128.7280000000001</v>
      </c>
      <c r="J64" s="49">
        <v>1048.894</v>
      </c>
      <c r="K64" s="49">
        <v>1141.144</v>
      </c>
      <c r="L64" s="49">
        <v>1155.9880000000001</v>
      </c>
      <c r="M64" s="49">
        <v>1151.8219999999999</v>
      </c>
      <c r="N64" s="49">
        <v>1147.6500000000001</v>
      </c>
      <c r="O64" s="49">
        <v>1106.44</v>
      </c>
      <c r="P64" s="49">
        <v>1074.0419999999999</v>
      </c>
      <c r="Q64" s="49">
        <v>1084.9960000000001</v>
      </c>
      <c r="R64" s="49">
        <v>1114.3800000000001</v>
      </c>
      <c r="S64" s="49">
        <v>1126.223</v>
      </c>
      <c r="T64" s="49">
        <v>1126.45</v>
      </c>
      <c r="U64" s="49">
        <v>1043.4000000000001</v>
      </c>
      <c r="V64" s="49">
        <v>894.81200000000001</v>
      </c>
      <c r="W64" s="49">
        <v>898.48</v>
      </c>
      <c r="X64" s="49">
        <v>878.14</v>
      </c>
      <c r="Y64" s="49">
        <v>914.53599999999994</v>
      </c>
      <c r="Z64" s="49">
        <v>2630.4870000000001</v>
      </c>
      <c r="AA64" s="49">
        <v>2201.5329999999999</v>
      </c>
      <c r="AB64" s="49">
        <v>4161.1210000000001</v>
      </c>
      <c r="AC64" s="49">
        <v>6676.3190000000004</v>
      </c>
      <c r="AD64" s="49">
        <v>7010.7510000000002</v>
      </c>
      <c r="AE64" s="49">
        <v>6011.5150000000003</v>
      </c>
      <c r="AF64" s="49">
        <v>6264.8810000000003</v>
      </c>
      <c r="AG64" s="49">
        <v>2404.8090000000002</v>
      </c>
      <c r="AH64" s="49">
        <v>2915.0410000000002</v>
      </c>
      <c r="AI64" s="47" t="s">
        <v>121</v>
      </c>
    </row>
    <row r="65" spans="1:35" x14ac:dyDescent="0.3">
      <c r="A65" s="209"/>
      <c r="B65" s="50" t="s">
        <v>173</v>
      </c>
      <c r="C65" s="46">
        <v>2319</v>
      </c>
      <c r="D65" s="46">
        <v>2366</v>
      </c>
      <c r="E65" s="46">
        <v>2293</v>
      </c>
      <c r="F65" s="46">
        <v>2287</v>
      </c>
      <c r="G65" s="46">
        <v>2175</v>
      </c>
      <c r="H65" s="48">
        <v>2498.3000000000002</v>
      </c>
      <c r="I65" s="46">
        <v>2436</v>
      </c>
      <c r="J65" s="48">
        <v>2643.2</v>
      </c>
      <c r="K65" s="46">
        <v>2477</v>
      </c>
      <c r="L65" s="46">
        <v>2107</v>
      </c>
      <c r="M65" s="46">
        <v>2228</v>
      </c>
      <c r="N65" s="48">
        <v>2050.3000000000002</v>
      </c>
      <c r="O65" s="46">
        <v>1824</v>
      </c>
      <c r="P65" s="46">
        <v>1438</v>
      </c>
      <c r="Q65" s="46">
        <v>1589</v>
      </c>
      <c r="R65" s="46">
        <v>1649</v>
      </c>
      <c r="S65" s="46">
        <v>1546</v>
      </c>
      <c r="T65" s="46">
        <v>1567</v>
      </c>
      <c r="U65" s="46">
        <v>1193</v>
      </c>
      <c r="V65" s="46">
        <v>1526</v>
      </c>
      <c r="W65" s="46">
        <v>2559</v>
      </c>
      <c r="X65" s="46">
        <v>3127</v>
      </c>
      <c r="Y65" s="46">
        <v>2096</v>
      </c>
      <c r="Z65" s="48">
        <v>2901.1170000000002</v>
      </c>
      <c r="AA65" s="48">
        <v>3135.4720000000002</v>
      </c>
      <c r="AB65" s="48">
        <v>3085.41</v>
      </c>
      <c r="AC65" s="48">
        <v>2903.6170000000002</v>
      </c>
      <c r="AD65" s="48">
        <v>3625.7060000000001</v>
      </c>
      <c r="AE65" s="48">
        <v>3609.4340000000002</v>
      </c>
      <c r="AF65" s="48">
        <v>3517.7420000000002</v>
      </c>
      <c r="AG65" s="48">
        <v>2970.8580000000002</v>
      </c>
      <c r="AH65" s="48">
        <v>1871.422</v>
      </c>
      <c r="AI65" s="46" t="s">
        <v>121</v>
      </c>
    </row>
    <row r="66" spans="1:35" x14ac:dyDescent="0.3">
      <c r="A66" s="209"/>
      <c r="B66" s="50" t="s">
        <v>174</v>
      </c>
      <c r="C66" s="49">
        <v>1.18</v>
      </c>
      <c r="D66" s="49">
        <v>1.0900000000000001</v>
      </c>
      <c r="E66" s="49">
        <v>0.9</v>
      </c>
      <c r="F66" s="49">
        <v>0.99</v>
      </c>
      <c r="G66" s="49">
        <v>0.92</v>
      </c>
      <c r="H66" s="49">
        <v>1.21</v>
      </c>
      <c r="I66" s="49">
        <v>1.53</v>
      </c>
      <c r="J66" s="49">
        <v>1.28</v>
      </c>
      <c r="K66" s="49">
        <v>2.2999999999999998</v>
      </c>
      <c r="L66" s="49">
        <v>1.8</v>
      </c>
      <c r="M66" s="49">
        <v>1.8</v>
      </c>
      <c r="N66" s="49">
        <v>1.7</v>
      </c>
      <c r="O66" s="49">
        <v>1.9</v>
      </c>
      <c r="P66" s="49">
        <v>4.2</v>
      </c>
      <c r="Q66" s="49">
        <v>4.8</v>
      </c>
      <c r="R66" s="49">
        <v>5.4</v>
      </c>
      <c r="S66" s="49">
        <v>5.7</v>
      </c>
      <c r="T66" s="49">
        <v>8.6999999999999993</v>
      </c>
      <c r="U66" s="49">
        <v>9.5</v>
      </c>
      <c r="V66" s="47">
        <v>11</v>
      </c>
      <c r="W66" s="49">
        <v>12.8</v>
      </c>
      <c r="X66" s="49">
        <v>8.9</v>
      </c>
      <c r="Y66" s="49">
        <v>8.1999999999999993</v>
      </c>
      <c r="Z66" s="49">
        <v>7.0810000000000004</v>
      </c>
      <c r="AA66" s="49">
        <v>7.28</v>
      </c>
      <c r="AB66" s="49">
        <v>7.5659999999999998</v>
      </c>
      <c r="AC66" s="49">
        <v>5.7140000000000004</v>
      </c>
      <c r="AD66" s="49">
        <v>6.5869999999999997</v>
      </c>
      <c r="AE66" s="49">
        <v>5.9180000000000001</v>
      </c>
      <c r="AF66" s="49">
        <v>5.758</v>
      </c>
      <c r="AG66" s="49">
        <v>5.4080000000000004</v>
      </c>
      <c r="AH66" s="49">
        <v>7.665</v>
      </c>
      <c r="AI66" s="47" t="s">
        <v>121</v>
      </c>
    </row>
    <row r="67" spans="1:35" x14ac:dyDescent="0.3">
      <c r="A67" s="209"/>
      <c r="B67" s="50" t="s">
        <v>175</v>
      </c>
      <c r="C67" s="48">
        <v>3155.9290000000001</v>
      </c>
      <c r="D67" s="48">
        <v>3041.4290000000001</v>
      </c>
      <c r="E67" s="48">
        <v>2963.8290000000002</v>
      </c>
      <c r="F67" s="48">
        <v>2769.6289999999999</v>
      </c>
      <c r="G67" s="48">
        <v>2771.8290000000002</v>
      </c>
      <c r="H67" s="48">
        <v>2664.8290000000002</v>
      </c>
      <c r="I67" s="48">
        <v>2516.4290000000001</v>
      </c>
      <c r="J67" s="48">
        <v>2377.7289999999998</v>
      </c>
      <c r="K67" s="48">
        <v>2117.9290000000001</v>
      </c>
      <c r="L67" s="48">
        <v>1922.7</v>
      </c>
      <c r="M67" s="48">
        <v>1905.2</v>
      </c>
      <c r="N67" s="48">
        <v>1903.229</v>
      </c>
      <c r="O67" s="48">
        <v>1758.2</v>
      </c>
      <c r="P67" s="48">
        <v>1526.9</v>
      </c>
      <c r="Q67" s="48">
        <v>1412.9</v>
      </c>
      <c r="R67" s="48">
        <v>1454.3</v>
      </c>
      <c r="S67" s="48">
        <v>1314.7</v>
      </c>
      <c r="T67" s="46">
        <v>1247</v>
      </c>
      <c r="U67" s="46">
        <v>1212</v>
      </c>
      <c r="V67" s="46">
        <v>1410</v>
      </c>
      <c r="W67" s="46">
        <v>1632</v>
      </c>
      <c r="X67" s="46">
        <v>1212</v>
      </c>
      <c r="Y67" s="46">
        <v>929</v>
      </c>
      <c r="Z67" s="48">
        <v>945.26599999999996</v>
      </c>
      <c r="AA67" s="46">
        <v>909</v>
      </c>
      <c r="AB67" s="48">
        <v>729.43899999999996</v>
      </c>
      <c r="AC67" s="48">
        <v>616.03899999999999</v>
      </c>
      <c r="AD67" s="48">
        <v>605.80200000000002</v>
      </c>
      <c r="AE67" s="48">
        <v>449.27100000000002</v>
      </c>
      <c r="AF67" s="48">
        <v>1248.9590000000001</v>
      </c>
      <c r="AG67" s="48">
        <v>1624.731</v>
      </c>
      <c r="AH67" s="48">
        <v>960.45799999999997</v>
      </c>
      <c r="AI67" s="46" t="s">
        <v>121</v>
      </c>
    </row>
    <row r="68" spans="1:35" x14ac:dyDescent="0.3">
      <c r="A68" s="209"/>
      <c r="B68" s="50" t="s">
        <v>176</v>
      </c>
      <c r="C68" s="47">
        <v>6569</v>
      </c>
      <c r="D68" s="47">
        <v>7501</v>
      </c>
      <c r="E68" s="47">
        <v>7362</v>
      </c>
      <c r="F68" s="47">
        <v>5671</v>
      </c>
      <c r="G68" s="47">
        <v>8022</v>
      </c>
      <c r="H68" s="47">
        <v>8487</v>
      </c>
      <c r="I68" s="47">
        <v>7927</v>
      </c>
      <c r="J68" s="47">
        <v>8114</v>
      </c>
      <c r="K68" s="47">
        <v>7812</v>
      </c>
      <c r="L68" s="47">
        <v>7620</v>
      </c>
      <c r="M68" s="47">
        <v>7539</v>
      </c>
      <c r="N68" s="47">
        <v>7869</v>
      </c>
      <c r="O68" s="47">
        <v>7100</v>
      </c>
      <c r="P68" s="47">
        <v>7694</v>
      </c>
      <c r="Q68" s="47">
        <v>7811</v>
      </c>
      <c r="R68" s="47">
        <v>8082</v>
      </c>
      <c r="S68" s="47">
        <v>8776</v>
      </c>
      <c r="T68" s="47">
        <v>6026</v>
      </c>
      <c r="U68" s="47">
        <v>6855</v>
      </c>
      <c r="V68" s="47">
        <v>5029</v>
      </c>
      <c r="W68" s="47">
        <v>5868</v>
      </c>
      <c r="X68" s="47">
        <v>5431</v>
      </c>
      <c r="Y68" s="47">
        <v>3921</v>
      </c>
      <c r="Z68" s="49">
        <v>6057.348</v>
      </c>
      <c r="AA68" s="49">
        <v>5810.027</v>
      </c>
      <c r="AB68" s="49">
        <v>6080.9179999999997</v>
      </c>
      <c r="AC68" s="49">
        <v>5471.6270000000004</v>
      </c>
      <c r="AD68" s="49">
        <v>5011.0169999999998</v>
      </c>
      <c r="AE68" s="49">
        <v>4965.4610000000002</v>
      </c>
      <c r="AF68" s="49">
        <v>5452.4780000000001</v>
      </c>
      <c r="AG68" s="49">
        <v>5502.0619999999999</v>
      </c>
      <c r="AH68" s="49">
        <v>5893.8590000000004</v>
      </c>
      <c r="AI68" s="47" t="s">
        <v>121</v>
      </c>
    </row>
    <row r="69" spans="1:35" x14ac:dyDescent="0.3">
      <c r="A69" s="209"/>
      <c r="B69" s="50" t="s">
        <v>177</v>
      </c>
      <c r="C69" s="48">
        <v>15054.8</v>
      </c>
      <c r="D69" s="48">
        <v>14438.4</v>
      </c>
      <c r="E69" s="48">
        <v>13013.4</v>
      </c>
      <c r="F69" s="48">
        <v>12388.4</v>
      </c>
      <c r="G69" s="48">
        <v>15003.7</v>
      </c>
      <c r="H69" s="48">
        <v>15070.4</v>
      </c>
      <c r="I69" s="48">
        <v>15393.9</v>
      </c>
      <c r="J69" s="48">
        <v>16299.6</v>
      </c>
      <c r="K69" s="46">
        <v>16951</v>
      </c>
      <c r="L69" s="46">
        <v>17095</v>
      </c>
      <c r="M69" s="46">
        <v>17673</v>
      </c>
      <c r="N69" s="48">
        <v>16818.400000000001</v>
      </c>
      <c r="O69" s="46">
        <v>17161</v>
      </c>
      <c r="P69" s="46">
        <v>17477</v>
      </c>
      <c r="Q69" s="46">
        <v>17870</v>
      </c>
      <c r="R69" s="46">
        <v>16490</v>
      </c>
      <c r="S69" s="46">
        <v>16029</v>
      </c>
      <c r="T69" s="46">
        <v>16982</v>
      </c>
      <c r="U69" s="46">
        <v>11536</v>
      </c>
      <c r="V69" s="46">
        <v>11653</v>
      </c>
      <c r="W69" s="46">
        <v>12395</v>
      </c>
      <c r="X69" s="46">
        <v>14897</v>
      </c>
      <c r="Y69" s="46">
        <v>13902</v>
      </c>
      <c r="Z69" s="48">
        <v>13287.509</v>
      </c>
      <c r="AA69" s="48">
        <v>12263.866</v>
      </c>
      <c r="AB69" s="48">
        <v>11166.293</v>
      </c>
      <c r="AC69" s="48">
        <v>11146.874</v>
      </c>
      <c r="AD69" s="48">
        <v>13594.556</v>
      </c>
      <c r="AE69" s="48">
        <v>10748.873</v>
      </c>
      <c r="AF69" s="48">
        <v>11674.436</v>
      </c>
      <c r="AG69" s="48">
        <v>10111.538</v>
      </c>
      <c r="AH69" s="48">
        <v>12435.643</v>
      </c>
      <c r="AI69" s="46" t="s">
        <v>121</v>
      </c>
    </row>
    <row r="70" spans="1:35" x14ac:dyDescent="0.3">
      <c r="A70" s="209"/>
      <c r="B70" s="50" t="s">
        <v>178</v>
      </c>
      <c r="C70" s="49">
        <v>7092.1</v>
      </c>
      <c r="D70" s="49">
        <v>6958.8</v>
      </c>
      <c r="E70" s="47">
        <v>6762</v>
      </c>
      <c r="F70" s="47">
        <v>6882</v>
      </c>
      <c r="G70" s="47">
        <v>6818</v>
      </c>
      <c r="H70" s="47">
        <v>7133</v>
      </c>
      <c r="I70" s="47">
        <v>6807</v>
      </c>
      <c r="J70" s="47">
        <v>7012</v>
      </c>
      <c r="K70" s="49">
        <v>7235.7</v>
      </c>
      <c r="L70" s="47">
        <v>7075</v>
      </c>
      <c r="M70" s="47">
        <v>7139</v>
      </c>
      <c r="N70" s="47">
        <v>7377</v>
      </c>
      <c r="O70" s="47">
        <v>7221</v>
      </c>
      <c r="P70" s="47">
        <v>7051</v>
      </c>
      <c r="Q70" s="47">
        <v>7664</v>
      </c>
      <c r="R70" s="47">
        <v>7924</v>
      </c>
      <c r="S70" s="47">
        <v>8079</v>
      </c>
      <c r="T70" s="47">
        <v>8277</v>
      </c>
      <c r="U70" s="49">
        <v>7485.1660000000002</v>
      </c>
      <c r="V70" s="49">
        <v>5339.0159999999996</v>
      </c>
      <c r="W70" s="47">
        <v>6076</v>
      </c>
      <c r="X70" s="47">
        <v>6827</v>
      </c>
      <c r="Y70" s="47">
        <v>5929</v>
      </c>
      <c r="Z70" s="49">
        <v>4874.8879999999999</v>
      </c>
      <c r="AA70" s="49">
        <v>4817.732</v>
      </c>
      <c r="AB70" s="49">
        <v>4522.22</v>
      </c>
      <c r="AC70" s="49">
        <v>4451.3</v>
      </c>
      <c r="AD70" s="49">
        <v>4610.07</v>
      </c>
      <c r="AE70" s="49">
        <v>4734.6239999999998</v>
      </c>
      <c r="AF70" s="49">
        <v>1181.18</v>
      </c>
      <c r="AG70" s="49">
        <v>1023.102</v>
      </c>
      <c r="AH70" s="49">
        <v>1199.02</v>
      </c>
      <c r="AI70" s="47" t="s">
        <v>121</v>
      </c>
    </row>
    <row r="71" spans="1:35" x14ac:dyDescent="0.3">
      <c r="A71" s="209"/>
      <c r="B71" s="50" t="s">
        <v>179</v>
      </c>
      <c r="C71" s="48">
        <v>403712.4</v>
      </c>
      <c r="D71" s="48">
        <v>410796.7</v>
      </c>
      <c r="E71" s="48">
        <v>381696.8</v>
      </c>
      <c r="F71" s="48">
        <v>357214.8</v>
      </c>
      <c r="G71" s="48">
        <v>377975.8</v>
      </c>
      <c r="H71" s="48">
        <v>377408.1</v>
      </c>
      <c r="I71" s="46">
        <v>346821</v>
      </c>
      <c r="J71" s="48">
        <v>355680.7</v>
      </c>
      <c r="K71" s="48">
        <v>366317.6</v>
      </c>
      <c r="L71" s="48">
        <v>384907.1</v>
      </c>
      <c r="M71" s="48">
        <v>408192.2</v>
      </c>
      <c r="N71" s="48">
        <v>404463.8</v>
      </c>
      <c r="O71" s="48">
        <v>391168.9</v>
      </c>
      <c r="P71" s="48">
        <v>391100.5</v>
      </c>
      <c r="Q71" s="48">
        <v>398737.2</v>
      </c>
      <c r="R71" s="48">
        <v>398072.8</v>
      </c>
      <c r="S71" s="46">
        <v>413986</v>
      </c>
      <c r="T71" s="46">
        <v>430031</v>
      </c>
      <c r="U71" s="46">
        <v>414398</v>
      </c>
      <c r="V71" s="48">
        <v>360554.3</v>
      </c>
      <c r="W71" s="48">
        <v>348170.2</v>
      </c>
      <c r="X71" s="48">
        <v>362419.9</v>
      </c>
      <c r="Y71" s="48">
        <v>340110.3</v>
      </c>
      <c r="Z71" s="48">
        <v>340259.24400000001</v>
      </c>
      <c r="AA71" s="48">
        <v>320866.80900000001</v>
      </c>
      <c r="AB71" s="48">
        <v>305310.25099999999</v>
      </c>
      <c r="AC71" s="48">
        <v>306669.18</v>
      </c>
      <c r="AD71" s="48">
        <v>319107.08500000002</v>
      </c>
      <c r="AE71" s="48">
        <v>340912.36</v>
      </c>
      <c r="AF71" s="48">
        <v>362562.58299999998</v>
      </c>
      <c r="AG71" s="48">
        <v>338032.14799999999</v>
      </c>
      <c r="AH71" s="48">
        <v>367814.147</v>
      </c>
      <c r="AI71" s="46" t="s">
        <v>121</v>
      </c>
    </row>
    <row r="72" spans="1:35" x14ac:dyDescent="0.3">
      <c r="A72" s="209"/>
      <c r="B72" s="50" t="s">
        <v>180</v>
      </c>
      <c r="C72" s="49">
        <v>1161.74</v>
      </c>
      <c r="D72" s="49">
        <v>1129.74</v>
      </c>
      <c r="E72" s="49">
        <v>1012.61</v>
      </c>
      <c r="F72" s="49">
        <v>1118.2819999999999</v>
      </c>
      <c r="G72" s="49">
        <v>1033.24</v>
      </c>
      <c r="H72" s="49">
        <v>1103.6400000000001</v>
      </c>
      <c r="I72" s="49">
        <v>1224.81</v>
      </c>
      <c r="J72" s="49">
        <v>1594.4</v>
      </c>
      <c r="K72" s="49">
        <v>1067.5999999999999</v>
      </c>
      <c r="L72" s="49">
        <v>1461.886</v>
      </c>
      <c r="M72" s="49">
        <v>1082.3</v>
      </c>
      <c r="N72" s="49">
        <v>1134.586</v>
      </c>
      <c r="O72" s="49">
        <v>1013.2</v>
      </c>
      <c r="P72" s="49">
        <v>1358.3</v>
      </c>
      <c r="Q72" s="49">
        <v>1359.3</v>
      </c>
      <c r="R72" s="49">
        <v>1393.2</v>
      </c>
      <c r="S72" s="49">
        <v>1339.3</v>
      </c>
      <c r="T72" s="49">
        <v>1001.8</v>
      </c>
      <c r="U72" s="49">
        <v>1385.1</v>
      </c>
      <c r="V72" s="47">
        <v>1206</v>
      </c>
      <c r="W72" s="47">
        <v>1239</v>
      </c>
      <c r="X72" s="47">
        <v>1237</v>
      </c>
      <c r="Y72" s="47">
        <v>1184</v>
      </c>
      <c r="Z72" s="49">
        <v>1429.3219999999999</v>
      </c>
      <c r="AA72" s="49">
        <v>1539.9690000000001</v>
      </c>
      <c r="AB72" s="49">
        <v>1560.6079999999999</v>
      </c>
      <c r="AC72" s="49">
        <v>1518.068</v>
      </c>
      <c r="AD72" s="49">
        <v>1598.7149999999999</v>
      </c>
      <c r="AE72" s="49">
        <v>1450.624</v>
      </c>
      <c r="AF72" s="49">
        <v>1354.931</v>
      </c>
      <c r="AG72" s="49">
        <v>1139.835</v>
      </c>
      <c r="AH72" s="49">
        <v>1442.2629999999999</v>
      </c>
      <c r="AI72" s="47" t="s">
        <v>121</v>
      </c>
    </row>
    <row r="73" spans="1:35" x14ac:dyDescent="0.3">
      <c r="A73" s="209"/>
      <c r="B73" s="50" t="s">
        <v>181</v>
      </c>
      <c r="C73" s="46" t="s">
        <v>121</v>
      </c>
      <c r="D73" s="46" t="s">
        <v>121</v>
      </c>
      <c r="E73" s="46" t="s">
        <v>121</v>
      </c>
      <c r="F73" s="46" t="s">
        <v>121</v>
      </c>
      <c r="G73" s="46" t="s">
        <v>121</v>
      </c>
      <c r="H73" s="46" t="s">
        <v>121</v>
      </c>
      <c r="I73" s="46" t="s">
        <v>121</v>
      </c>
      <c r="J73" s="46" t="s">
        <v>121</v>
      </c>
      <c r="K73" s="46" t="s">
        <v>121</v>
      </c>
      <c r="L73" s="46" t="s">
        <v>121</v>
      </c>
      <c r="M73" s="46" t="s">
        <v>121</v>
      </c>
      <c r="N73" s="46" t="s">
        <v>121</v>
      </c>
      <c r="O73" s="46" t="s">
        <v>121</v>
      </c>
      <c r="P73" s="46" t="s">
        <v>121</v>
      </c>
      <c r="Q73" s="46" t="s">
        <v>121</v>
      </c>
      <c r="R73" s="46" t="s">
        <v>121</v>
      </c>
      <c r="S73" s="46" t="s">
        <v>121</v>
      </c>
      <c r="T73" s="46" t="s">
        <v>121</v>
      </c>
      <c r="U73" s="46" t="s">
        <v>121</v>
      </c>
      <c r="V73" s="46" t="s">
        <v>121</v>
      </c>
      <c r="W73" s="46" t="s">
        <v>121</v>
      </c>
      <c r="X73" s="46" t="s">
        <v>121</v>
      </c>
      <c r="Y73" s="46" t="s">
        <v>121</v>
      </c>
      <c r="Z73" s="46" t="s">
        <v>121</v>
      </c>
      <c r="AA73" s="46" t="s">
        <v>121</v>
      </c>
      <c r="AB73" s="46" t="s">
        <v>121</v>
      </c>
      <c r="AC73" s="46" t="s">
        <v>121</v>
      </c>
      <c r="AD73" s="46" t="s">
        <v>121</v>
      </c>
      <c r="AE73" s="46" t="s">
        <v>121</v>
      </c>
      <c r="AF73" s="46" t="s">
        <v>121</v>
      </c>
      <c r="AG73" s="46" t="s">
        <v>121</v>
      </c>
      <c r="AH73" s="46" t="s">
        <v>121</v>
      </c>
      <c r="AI73" s="46" t="s">
        <v>121</v>
      </c>
    </row>
    <row r="74" spans="1:35" x14ac:dyDescent="0.3">
      <c r="A74" s="209"/>
      <c r="B74" s="44" t="s">
        <v>182</v>
      </c>
      <c r="C74" s="49">
        <v>18837.599999999999</v>
      </c>
      <c r="D74" s="49">
        <v>18416.400000000001</v>
      </c>
      <c r="E74" s="49">
        <v>17220.2</v>
      </c>
      <c r="F74" s="49">
        <v>16157.4</v>
      </c>
      <c r="G74" s="49">
        <v>15024.4</v>
      </c>
      <c r="H74" s="49">
        <v>14090.4</v>
      </c>
      <c r="I74" s="49">
        <v>12991.8</v>
      </c>
      <c r="J74" s="49">
        <v>11164.8</v>
      </c>
      <c r="K74" s="49">
        <v>9601.6</v>
      </c>
      <c r="L74" s="49">
        <v>8883.6</v>
      </c>
      <c r="M74" s="49">
        <v>7023.4</v>
      </c>
      <c r="N74" s="49">
        <v>5542.2</v>
      </c>
      <c r="O74" s="49">
        <v>4810.3999999999996</v>
      </c>
      <c r="P74" s="49">
        <v>4729.3999999999996</v>
      </c>
      <c r="Q74" s="49">
        <v>3114.4</v>
      </c>
      <c r="R74" s="49">
        <v>2616.1999999999998</v>
      </c>
      <c r="S74" s="49">
        <v>2550.4</v>
      </c>
      <c r="T74" s="49">
        <v>2277.6</v>
      </c>
      <c r="U74" s="49">
        <v>2021.6</v>
      </c>
      <c r="V74" s="49">
        <v>1774.8</v>
      </c>
      <c r="W74" s="49">
        <v>1778.6</v>
      </c>
      <c r="X74" s="49">
        <v>1494.7639999999999</v>
      </c>
      <c r="Y74" s="49">
        <v>1499.6969999999999</v>
      </c>
      <c r="Z74" s="49">
        <v>1360.8720000000001</v>
      </c>
      <c r="AA74" s="49">
        <v>1081.163</v>
      </c>
      <c r="AB74" s="49">
        <v>847.05799999999999</v>
      </c>
      <c r="AC74" s="49">
        <v>832.03300000000002</v>
      </c>
      <c r="AD74" s="49">
        <v>770.60500000000002</v>
      </c>
      <c r="AE74" s="49">
        <v>782.90599999999995</v>
      </c>
      <c r="AF74" s="49">
        <v>732.78800000000001</v>
      </c>
      <c r="AG74" s="49">
        <v>659.87900000000002</v>
      </c>
      <c r="AH74" s="49">
        <v>690.28</v>
      </c>
      <c r="AI74" s="49">
        <v>652.61199999999997</v>
      </c>
    </row>
    <row r="75" spans="1:35" x14ac:dyDescent="0.3">
      <c r="A75" s="209"/>
      <c r="B75" s="50" t="s">
        <v>183</v>
      </c>
      <c r="C75" s="46">
        <v>13532</v>
      </c>
      <c r="D75" s="46">
        <v>12876</v>
      </c>
      <c r="E75" s="46">
        <v>11827</v>
      </c>
      <c r="F75" s="46">
        <v>10669</v>
      </c>
      <c r="G75" s="46">
        <v>9428</v>
      </c>
      <c r="H75" s="46">
        <v>8918</v>
      </c>
      <c r="I75" s="46">
        <v>8553</v>
      </c>
      <c r="J75" s="46">
        <v>7316</v>
      </c>
      <c r="K75" s="46">
        <v>6112</v>
      </c>
      <c r="L75" s="46">
        <v>5690</v>
      </c>
      <c r="M75" s="46">
        <v>4101</v>
      </c>
      <c r="N75" s="46">
        <v>2671</v>
      </c>
      <c r="O75" s="46">
        <v>2068</v>
      </c>
      <c r="P75" s="46">
        <v>2243</v>
      </c>
      <c r="Q75" s="46">
        <v>872</v>
      </c>
      <c r="R75" s="46">
        <v>617</v>
      </c>
      <c r="S75" s="46">
        <v>452</v>
      </c>
      <c r="T75" s="46">
        <v>422</v>
      </c>
      <c r="U75" s="46">
        <v>277</v>
      </c>
      <c r="V75" s="46">
        <v>147</v>
      </c>
      <c r="W75" s="46">
        <v>261</v>
      </c>
      <c r="X75" s="46">
        <v>149</v>
      </c>
      <c r="Y75" s="46">
        <v>290</v>
      </c>
      <c r="Z75" s="46">
        <v>313</v>
      </c>
      <c r="AA75" s="46">
        <v>300</v>
      </c>
      <c r="AB75" s="46">
        <v>0</v>
      </c>
      <c r="AC75" s="46">
        <v>0</v>
      </c>
      <c r="AD75" s="46">
        <v>0</v>
      </c>
      <c r="AE75" s="46">
        <v>0</v>
      </c>
      <c r="AF75" s="46">
        <v>0</v>
      </c>
      <c r="AG75" s="46">
        <v>0</v>
      </c>
      <c r="AH75" s="46">
        <v>0</v>
      </c>
      <c r="AI75" s="46" t="s">
        <v>121</v>
      </c>
    </row>
    <row r="76" spans="1:35" x14ac:dyDescent="0.3">
      <c r="A76" s="209"/>
      <c r="B76" s="50" t="s">
        <v>184</v>
      </c>
      <c r="C76" s="47">
        <v>2333</v>
      </c>
      <c r="D76" s="47">
        <v>1966</v>
      </c>
      <c r="E76" s="47">
        <v>1578</v>
      </c>
      <c r="F76" s="47">
        <v>1675</v>
      </c>
      <c r="G76" s="47">
        <v>1420</v>
      </c>
      <c r="H76" s="47">
        <v>1401</v>
      </c>
      <c r="I76" s="47">
        <v>798</v>
      </c>
      <c r="J76" s="47">
        <v>1030</v>
      </c>
      <c r="K76" s="47">
        <v>737</v>
      </c>
      <c r="L76" s="47">
        <v>560</v>
      </c>
      <c r="M76" s="47">
        <v>297</v>
      </c>
      <c r="N76" s="47">
        <v>324</v>
      </c>
      <c r="O76" s="47">
        <v>148</v>
      </c>
      <c r="P76" s="47">
        <v>9</v>
      </c>
      <c r="Q76" s="47">
        <v>0</v>
      </c>
      <c r="R76" s="47">
        <v>0</v>
      </c>
      <c r="S76" s="47">
        <v>0</v>
      </c>
      <c r="T76" s="47">
        <v>0</v>
      </c>
      <c r="U76" s="47">
        <v>0</v>
      </c>
      <c r="V76" s="47">
        <v>0</v>
      </c>
      <c r="W76" s="47">
        <v>0</v>
      </c>
      <c r="X76" s="47">
        <v>0</v>
      </c>
      <c r="Y76" s="47">
        <v>0</v>
      </c>
      <c r="Z76" s="47">
        <v>0</v>
      </c>
      <c r="AA76" s="47">
        <v>0</v>
      </c>
      <c r="AB76" s="47">
        <v>0</v>
      </c>
      <c r="AC76" s="47">
        <v>0</v>
      </c>
      <c r="AD76" s="47">
        <v>0</v>
      </c>
      <c r="AE76" s="47">
        <v>0</v>
      </c>
      <c r="AF76" s="47">
        <v>0</v>
      </c>
      <c r="AG76" s="47">
        <v>0</v>
      </c>
      <c r="AH76" s="47">
        <v>0</v>
      </c>
      <c r="AI76" s="47" t="s">
        <v>121</v>
      </c>
    </row>
    <row r="77" spans="1:35" x14ac:dyDescent="0.3">
      <c r="A77" s="209"/>
      <c r="B77" s="50" t="s">
        <v>185</v>
      </c>
      <c r="C77" s="46">
        <v>11199</v>
      </c>
      <c r="D77" s="46">
        <v>10910</v>
      </c>
      <c r="E77" s="46">
        <v>10249</v>
      </c>
      <c r="F77" s="46">
        <v>8994</v>
      </c>
      <c r="G77" s="46">
        <v>8008</v>
      </c>
      <c r="H77" s="46">
        <v>7517</v>
      </c>
      <c r="I77" s="46">
        <v>7755</v>
      </c>
      <c r="J77" s="46">
        <v>6286</v>
      </c>
      <c r="K77" s="46">
        <v>5375</v>
      </c>
      <c r="L77" s="46">
        <v>5130</v>
      </c>
      <c r="M77" s="46">
        <v>3804</v>
      </c>
      <c r="N77" s="46">
        <v>2347</v>
      </c>
      <c r="O77" s="46">
        <v>1920</v>
      </c>
      <c r="P77" s="46">
        <v>2234</v>
      </c>
      <c r="Q77" s="46">
        <v>872</v>
      </c>
      <c r="R77" s="46">
        <v>617</v>
      </c>
      <c r="S77" s="46">
        <v>452</v>
      </c>
      <c r="T77" s="46">
        <v>422</v>
      </c>
      <c r="U77" s="46">
        <v>277</v>
      </c>
      <c r="V77" s="46">
        <v>147</v>
      </c>
      <c r="W77" s="46">
        <v>261</v>
      </c>
      <c r="X77" s="46">
        <v>149</v>
      </c>
      <c r="Y77" s="46">
        <v>290</v>
      </c>
      <c r="Z77" s="46">
        <v>313</v>
      </c>
      <c r="AA77" s="46">
        <v>300</v>
      </c>
      <c r="AB77" s="46">
        <v>0</v>
      </c>
      <c r="AC77" s="46">
        <v>0</v>
      </c>
      <c r="AD77" s="46">
        <v>0</v>
      </c>
      <c r="AE77" s="46">
        <v>0</v>
      </c>
      <c r="AF77" s="46">
        <v>0</v>
      </c>
      <c r="AG77" s="46">
        <v>0</v>
      </c>
      <c r="AH77" s="46">
        <v>0</v>
      </c>
      <c r="AI77" s="46" t="s">
        <v>121</v>
      </c>
    </row>
    <row r="78" spans="1:35" x14ac:dyDescent="0.3">
      <c r="A78" s="209"/>
      <c r="B78" s="50" t="s">
        <v>186</v>
      </c>
      <c r="C78" s="47">
        <v>0</v>
      </c>
      <c r="D78" s="47">
        <v>0</v>
      </c>
      <c r="E78" s="47">
        <v>0</v>
      </c>
      <c r="F78" s="47">
        <v>0</v>
      </c>
      <c r="G78" s="47">
        <v>0</v>
      </c>
      <c r="H78" s="47">
        <v>0</v>
      </c>
      <c r="I78" s="47">
        <v>0</v>
      </c>
      <c r="J78" s="47">
        <v>0</v>
      </c>
      <c r="K78" s="47">
        <v>0</v>
      </c>
      <c r="L78" s="47">
        <v>0</v>
      </c>
      <c r="M78" s="47">
        <v>0</v>
      </c>
      <c r="N78" s="47">
        <v>0</v>
      </c>
      <c r="O78" s="47">
        <v>0</v>
      </c>
      <c r="P78" s="47">
        <v>0</v>
      </c>
      <c r="Q78" s="47">
        <v>0</v>
      </c>
      <c r="R78" s="47">
        <v>0</v>
      </c>
      <c r="S78" s="47">
        <v>0</v>
      </c>
      <c r="T78" s="47">
        <v>0</v>
      </c>
      <c r="U78" s="47">
        <v>0</v>
      </c>
      <c r="V78" s="47">
        <v>0</v>
      </c>
      <c r="W78" s="47">
        <v>0</v>
      </c>
      <c r="X78" s="47">
        <v>0</v>
      </c>
      <c r="Y78" s="47">
        <v>0</v>
      </c>
      <c r="Z78" s="47">
        <v>0</v>
      </c>
      <c r="AA78" s="47">
        <v>0</v>
      </c>
      <c r="AB78" s="47">
        <v>0</v>
      </c>
      <c r="AC78" s="47">
        <v>0</v>
      </c>
      <c r="AD78" s="47">
        <v>0</v>
      </c>
      <c r="AE78" s="47">
        <v>0</v>
      </c>
      <c r="AF78" s="47">
        <v>0</v>
      </c>
      <c r="AG78" s="47">
        <v>0</v>
      </c>
      <c r="AH78" s="47">
        <v>0</v>
      </c>
      <c r="AI78" s="47" t="s">
        <v>121</v>
      </c>
    </row>
    <row r="79" spans="1:35" x14ac:dyDescent="0.3">
      <c r="A79" s="209"/>
      <c r="B79" s="50" t="s">
        <v>187</v>
      </c>
      <c r="C79" s="46">
        <v>0</v>
      </c>
      <c r="D79" s="46">
        <v>0</v>
      </c>
      <c r="E79" s="46">
        <v>0</v>
      </c>
      <c r="F79" s="46">
        <v>0</v>
      </c>
      <c r="G79" s="46">
        <v>0</v>
      </c>
      <c r="H79" s="46">
        <v>0</v>
      </c>
      <c r="I79" s="46">
        <v>0</v>
      </c>
      <c r="J79" s="46">
        <v>0</v>
      </c>
      <c r="K79" s="46">
        <v>0</v>
      </c>
      <c r="L79" s="46">
        <v>0</v>
      </c>
      <c r="M79" s="46">
        <v>0</v>
      </c>
      <c r="N79" s="46">
        <v>0</v>
      </c>
      <c r="O79" s="46">
        <v>0</v>
      </c>
      <c r="P79" s="46">
        <v>0</v>
      </c>
      <c r="Q79" s="46">
        <v>0</v>
      </c>
      <c r="R79" s="46">
        <v>0</v>
      </c>
      <c r="S79" s="46">
        <v>0</v>
      </c>
      <c r="T79" s="46">
        <v>0</v>
      </c>
      <c r="U79" s="46">
        <v>0</v>
      </c>
      <c r="V79" s="46">
        <v>0</v>
      </c>
      <c r="W79" s="46">
        <v>0</v>
      </c>
      <c r="X79" s="46">
        <v>0</v>
      </c>
      <c r="Y79" s="46">
        <v>0</v>
      </c>
      <c r="Z79" s="46">
        <v>0</v>
      </c>
      <c r="AA79" s="46">
        <v>0</v>
      </c>
      <c r="AB79" s="46">
        <v>0</v>
      </c>
      <c r="AC79" s="46">
        <v>0</v>
      </c>
      <c r="AD79" s="46">
        <v>0</v>
      </c>
      <c r="AE79" s="46">
        <v>0</v>
      </c>
      <c r="AF79" s="46">
        <v>0</v>
      </c>
      <c r="AG79" s="46">
        <v>0</v>
      </c>
      <c r="AH79" s="46">
        <v>0</v>
      </c>
      <c r="AI79" s="46" t="s">
        <v>121</v>
      </c>
    </row>
    <row r="80" spans="1:35" x14ac:dyDescent="0.3">
      <c r="A80" s="209"/>
      <c r="B80" s="50" t="s">
        <v>188</v>
      </c>
      <c r="C80" s="49">
        <v>5305.6</v>
      </c>
      <c r="D80" s="49">
        <v>5540.4</v>
      </c>
      <c r="E80" s="49">
        <v>5393.2</v>
      </c>
      <c r="F80" s="49">
        <v>5488.4</v>
      </c>
      <c r="G80" s="49">
        <v>5596.4</v>
      </c>
      <c r="H80" s="49">
        <v>5172.3999999999996</v>
      </c>
      <c r="I80" s="49">
        <v>4438.8</v>
      </c>
      <c r="J80" s="49">
        <v>3848.8</v>
      </c>
      <c r="K80" s="49">
        <v>3489.6</v>
      </c>
      <c r="L80" s="49">
        <v>3193.6</v>
      </c>
      <c r="M80" s="49">
        <v>2922.4</v>
      </c>
      <c r="N80" s="49">
        <v>2871.2</v>
      </c>
      <c r="O80" s="49">
        <v>2742.4</v>
      </c>
      <c r="P80" s="49">
        <v>2486.4</v>
      </c>
      <c r="Q80" s="49">
        <v>2242.4</v>
      </c>
      <c r="R80" s="49">
        <v>1999.2</v>
      </c>
      <c r="S80" s="49">
        <v>2098.4</v>
      </c>
      <c r="T80" s="49">
        <v>1855.6</v>
      </c>
      <c r="U80" s="49">
        <v>1744.6</v>
      </c>
      <c r="V80" s="49">
        <v>1627.8</v>
      </c>
      <c r="W80" s="49">
        <v>1517.6</v>
      </c>
      <c r="X80" s="49">
        <v>1345.7639999999999</v>
      </c>
      <c r="Y80" s="49">
        <v>1209.6969999999999</v>
      </c>
      <c r="Z80" s="49">
        <v>1047.8720000000001</v>
      </c>
      <c r="AA80" s="49">
        <v>781.16300000000001</v>
      </c>
      <c r="AB80" s="49">
        <v>847.05799999999999</v>
      </c>
      <c r="AC80" s="49">
        <v>832.03300000000002</v>
      </c>
      <c r="AD80" s="49">
        <v>770.60500000000002</v>
      </c>
      <c r="AE80" s="49">
        <v>782.90599999999995</v>
      </c>
      <c r="AF80" s="49">
        <v>732.78800000000001</v>
      </c>
      <c r="AG80" s="49">
        <v>659.87900000000002</v>
      </c>
      <c r="AH80" s="49">
        <v>690.28</v>
      </c>
      <c r="AI80" s="47" t="s">
        <v>121</v>
      </c>
    </row>
    <row r="81" spans="1:35" x14ac:dyDescent="0.3">
      <c r="A81" s="209"/>
      <c r="B81" s="50" t="s">
        <v>189</v>
      </c>
      <c r="C81" s="46">
        <v>3020</v>
      </c>
      <c r="D81" s="46">
        <v>2950</v>
      </c>
      <c r="E81" s="46">
        <v>2870</v>
      </c>
      <c r="F81" s="46">
        <v>2750</v>
      </c>
      <c r="G81" s="46">
        <v>2770</v>
      </c>
      <c r="H81" s="46">
        <v>2490</v>
      </c>
      <c r="I81" s="46">
        <v>2110</v>
      </c>
      <c r="J81" s="46">
        <v>1780</v>
      </c>
      <c r="K81" s="46">
        <v>1680</v>
      </c>
      <c r="L81" s="46">
        <v>1540</v>
      </c>
      <c r="M81" s="46">
        <v>1420</v>
      </c>
      <c r="N81" s="46">
        <v>1380</v>
      </c>
      <c r="O81" s="46">
        <v>1320</v>
      </c>
      <c r="P81" s="46">
        <v>1220</v>
      </c>
      <c r="Q81" s="46">
        <v>1140</v>
      </c>
      <c r="R81" s="46">
        <v>1080</v>
      </c>
      <c r="S81" s="46">
        <v>1060</v>
      </c>
      <c r="T81" s="46">
        <v>970</v>
      </c>
      <c r="U81" s="46">
        <v>975</v>
      </c>
      <c r="V81" s="46">
        <v>899</v>
      </c>
      <c r="W81" s="46">
        <v>896</v>
      </c>
      <c r="X81" s="46">
        <v>895</v>
      </c>
      <c r="Y81" s="46">
        <v>807</v>
      </c>
      <c r="Z81" s="46">
        <v>790</v>
      </c>
      <c r="AA81" s="46">
        <v>770</v>
      </c>
      <c r="AB81" s="46">
        <v>830</v>
      </c>
      <c r="AC81" s="46">
        <v>816</v>
      </c>
      <c r="AD81" s="46">
        <v>758</v>
      </c>
      <c r="AE81" s="46">
        <v>776</v>
      </c>
      <c r="AF81" s="46">
        <v>720</v>
      </c>
      <c r="AG81" s="46">
        <v>646</v>
      </c>
      <c r="AH81" s="48">
        <v>672.46600000000001</v>
      </c>
      <c r="AI81" s="46" t="s">
        <v>121</v>
      </c>
    </row>
    <row r="82" spans="1:35" x14ac:dyDescent="0.3">
      <c r="A82" s="209"/>
      <c r="B82" s="50" t="s">
        <v>190</v>
      </c>
      <c r="C82" s="49">
        <v>2285.6</v>
      </c>
      <c r="D82" s="49">
        <v>2590.4</v>
      </c>
      <c r="E82" s="49">
        <v>2523.1999999999998</v>
      </c>
      <c r="F82" s="49">
        <v>2738.4</v>
      </c>
      <c r="G82" s="49">
        <v>2826.4</v>
      </c>
      <c r="H82" s="49">
        <v>2682.4</v>
      </c>
      <c r="I82" s="49">
        <v>2328.8000000000002</v>
      </c>
      <c r="J82" s="49">
        <v>2068.8000000000002</v>
      </c>
      <c r="K82" s="49">
        <v>1809.6</v>
      </c>
      <c r="L82" s="49">
        <v>1653.6</v>
      </c>
      <c r="M82" s="49">
        <v>1502.4</v>
      </c>
      <c r="N82" s="49">
        <v>1491.2</v>
      </c>
      <c r="O82" s="49">
        <v>1422.4</v>
      </c>
      <c r="P82" s="49">
        <v>1266.4000000000001</v>
      </c>
      <c r="Q82" s="49">
        <v>1102.4000000000001</v>
      </c>
      <c r="R82" s="49">
        <v>919.2</v>
      </c>
      <c r="S82" s="49">
        <v>1038.4000000000001</v>
      </c>
      <c r="T82" s="49">
        <v>885.6</v>
      </c>
      <c r="U82" s="49">
        <v>769.6</v>
      </c>
      <c r="V82" s="49">
        <v>728.8</v>
      </c>
      <c r="W82" s="49">
        <v>621.6</v>
      </c>
      <c r="X82" s="49">
        <v>450.76400000000001</v>
      </c>
      <c r="Y82" s="49">
        <v>402.697</v>
      </c>
      <c r="Z82" s="49">
        <v>257.87200000000001</v>
      </c>
      <c r="AA82" s="49">
        <v>11.163</v>
      </c>
      <c r="AB82" s="49">
        <v>17.058</v>
      </c>
      <c r="AC82" s="49">
        <v>16.033000000000001</v>
      </c>
      <c r="AD82" s="49">
        <v>12.605</v>
      </c>
      <c r="AE82" s="49">
        <v>6.9059999999999997</v>
      </c>
      <c r="AF82" s="49">
        <v>12.788</v>
      </c>
      <c r="AG82" s="49">
        <v>13.879</v>
      </c>
      <c r="AH82" s="49">
        <v>17.814</v>
      </c>
      <c r="AI82" s="47" t="s">
        <v>121</v>
      </c>
    </row>
    <row r="83" spans="1:35" x14ac:dyDescent="0.3">
      <c r="A83" s="209"/>
      <c r="B83" s="50" t="s">
        <v>191</v>
      </c>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t="s">
        <v>121</v>
      </c>
    </row>
    <row r="84" spans="1:35" x14ac:dyDescent="0.3">
      <c r="A84" s="209"/>
      <c r="B84" s="50" t="s">
        <v>192</v>
      </c>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t="s">
        <v>121</v>
      </c>
    </row>
    <row r="85" spans="1:35" x14ac:dyDescent="0.3">
      <c r="A85" s="209"/>
      <c r="B85" s="50" t="s">
        <v>193</v>
      </c>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t="s">
        <v>121</v>
      </c>
    </row>
    <row r="86" spans="1:35" x14ac:dyDescent="0.3">
      <c r="A86" s="209"/>
      <c r="B86" s="50" t="s">
        <v>194</v>
      </c>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t="s">
        <v>121</v>
      </c>
    </row>
    <row r="87" spans="1:35" x14ac:dyDescent="0.3">
      <c r="A87" s="209"/>
      <c r="B87" s="50" t="s">
        <v>195</v>
      </c>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t="s">
        <v>121</v>
      </c>
    </row>
    <row r="88" spans="1:35" x14ac:dyDescent="0.3">
      <c r="A88" s="209"/>
      <c r="B88" s="50" t="s">
        <v>8</v>
      </c>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t="s">
        <v>121</v>
      </c>
    </row>
    <row r="89" spans="1:35" x14ac:dyDescent="0.3">
      <c r="A89" s="209"/>
      <c r="B89" s="50" t="s">
        <v>196</v>
      </c>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t="s">
        <v>121</v>
      </c>
    </row>
    <row r="90" spans="1:35" x14ac:dyDescent="0.3">
      <c r="A90" s="209"/>
      <c r="B90" s="50" t="s">
        <v>197</v>
      </c>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t="s">
        <v>121</v>
      </c>
    </row>
    <row r="91" spans="1:35" x14ac:dyDescent="0.3">
      <c r="A91" s="209"/>
      <c r="B91" s="50" t="s">
        <v>198</v>
      </c>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t="s">
        <v>121</v>
      </c>
    </row>
    <row r="92" spans="1:35" x14ac:dyDescent="0.3">
      <c r="A92" s="210"/>
      <c r="B92" s="50" t="s">
        <v>199</v>
      </c>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t="s">
        <v>121</v>
      </c>
    </row>
    <row r="93" spans="1:35" x14ac:dyDescent="0.3">
      <c r="A93" s="208" t="s">
        <v>200</v>
      </c>
      <c r="B93" s="44" t="s">
        <v>41</v>
      </c>
      <c r="C93" s="46"/>
      <c r="D93" s="46"/>
      <c r="E93" s="46"/>
      <c r="F93" s="46"/>
      <c r="G93" s="46"/>
      <c r="H93" s="46"/>
      <c r="I93" s="46"/>
      <c r="J93" s="46"/>
      <c r="K93" s="46"/>
      <c r="L93" s="46"/>
      <c r="M93" s="48">
        <v>347216.48100000003</v>
      </c>
      <c r="N93" s="48">
        <v>335118.99599999998</v>
      </c>
      <c r="O93" s="48">
        <v>337587.49699999997</v>
      </c>
      <c r="P93" s="48">
        <v>339590.41399999999</v>
      </c>
      <c r="Q93" s="48">
        <v>364805.89</v>
      </c>
      <c r="R93" s="48">
        <v>366389.36099999998</v>
      </c>
      <c r="S93" s="48">
        <v>367748.44900000002</v>
      </c>
      <c r="T93" s="48">
        <v>366177.12599999999</v>
      </c>
      <c r="U93" s="48">
        <v>370138.34899999999</v>
      </c>
      <c r="V93" s="48">
        <v>302336.484</v>
      </c>
      <c r="W93" s="48">
        <v>331943.22200000001</v>
      </c>
      <c r="X93" s="48">
        <v>382342.95600000001</v>
      </c>
      <c r="Y93" s="48">
        <v>373125.36800000002</v>
      </c>
      <c r="Z93" s="48">
        <v>373088.02399999998</v>
      </c>
      <c r="AA93" s="48">
        <v>366291.55699999997</v>
      </c>
      <c r="AB93" s="48">
        <v>370714.12900000002</v>
      </c>
      <c r="AC93" s="48">
        <v>370581.99400000001</v>
      </c>
      <c r="AD93" s="48">
        <v>379864.06</v>
      </c>
      <c r="AE93" s="48">
        <v>380990.34700000001</v>
      </c>
      <c r="AF93" s="48">
        <v>379219.22700000001</v>
      </c>
      <c r="AG93" s="48">
        <v>334964.91100000002</v>
      </c>
      <c r="AH93" s="48">
        <v>355379.75</v>
      </c>
      <c r="AI93" s="48">
        <v>353657.78399999999</v>
      </c>
    </row>
    <row r="94" spans="1:35" x14ac:dyDescent="0.3">
      <c r="A94" s="209"/>
      <c r="B94" s="44" t="s">
        <v>13</v>
      </c>
      <c r="C94" s="49">
        <v>36636.495000000003</v>
      </c>
      <c r="D94" s="49">
        <v>38941.593999999997</v>
      </c>
      <c r="E94" s="49">
        <v>38959.608</v>
      </c>
      <c r="F94" s="49">
        <v>39828.519</v>
      </c>
      <c r="G94" s="49">
        <v>44625.606</v>
      </c>
      <c r="H94" s="49">
        <v>44885.372000000003</v>
      </c>
      <c r="I94" s="49">
        <v>43095.095999999998</v>
      </c>
      <c r="J94" s="49">
        <v>45902.033000000003</v>
      </c>
      <c r="K94" s="49">
        <v>48547.883000000002</v>
      </c>
      <c r="L94" s="49">
        <v>51359.216</v>
      </c>
      <c r="M94" s="49">
        <v>51743.106</v>
      </c>
      <c r="N94" s="49">
        <v>49738.65</v>
      </c>
      <c r="O94" s="49">
        <v>51446.311000000002</v>
      </c>
      <c r="P94" s="49">
        <v>51857.845999999998</v>
      </c>
      <c r="Q94" s="49">
        <v>58773.034</v>
      </c>
      <c r="R94" s="49">
        <v>59266.491999999998</v>
      </c>
      <c r="S94" s="49">
        <v>57909.408000000003</v>
      </c>
      <c r="T94" s="49">
        <v>55727.461000000003</v>
      </c>
      <c r="U94" s="49">
        <v>61487.161999999997</v>
      </c>
      <c r="V94" s="49">
        <v>47994.889000000003</v>
      </c>
      <c r="W94" s="49">
        <v>49217.622000000003</v>
      </c>
      <c r="X94" s="49">
        <v>67366.519</v>
      </c>
      <c r="Y94" s="49">
        <v>63886.46</v>
      </c>
      <c r="Z94" s="49">
        <v>65194.510999999999</v>
      </c>
      <c r="AA94" s="49">
        <v>64134.381999999998</v>
      </c>
      <c r="AB94" s="49">
        <v>66145.452999999994</v>
      </c>
      <c r="AC94" s="49">
        <v>64955.171000000002</v>
      </c>
      <c r="AD94" s="49">
        <v>61975.366999999998</v>
      </c>
      <c r="AE94" s="49">
        <v>61802.504999999997</v>
      </c>
      <c r="AF94" s="49">
        <v>63363.732000000004</v>
      </c>
      <c r="AG94" s="49">
        <v>61647.864000000001</v>
      </c>
      <c r="AH94" s="49">
        <v>63679.654000000002</v>
      </c>
      <c r="AI94" s="49">
        <v>63986.296999999999</v>
      </c>
    </row>
    <row r="95" spans="1:35" x14ac:dyDescent="0.3">
      <c r="A95" s="209"/>
      <c r="B95" s="50" t="s">
        <v>120</v>
      </c>
      <c r="C95" s="48">
        <v>9982.5920000000006</v>
      </c>
      <c r="D95" s="48">
        <v>10877.005999999999</v>
      </c>
      <c r="E95" s="48">
        <v>10444.700000000001</v>
      </c>
      <c r="F95" s="48">
        <v>10912.142</v>
      </c>
      <c r="G95" s="48">
        <v>12097.735000000001</v>
      </c>
      <c r="H95" s="48">
        <v>11827.397999999999</v>
      </c>
      <c r="I95" s="48">
        <v>12039.645</v>
      </c>
      <c r="J95" s="48">
        <v>12152.214</v>
      </c>
      <c r="K95" s="48">
        <v>12425.218000000001</v>
      </c>
      <c r="L95" s="48">
        <v>12837.058999999999</v>
      </c>
      <c r="M95" s="48">
        <v>12948.278</v>
      </c>
      <c r="N95" s="48">
        <v>14085.675999999999</v>
      </c>
      <c r="O95" s="48">
        <v>14070.148999999999</v>
      </c>
      <c r="P95" s="48">
        <v>13706.321</v>
      </c>
      <c r="Q95" s="48">
        <v>14163.25</v>
      </c>
      <c r="R95" s="48">
        <v>13598.272000000001</v>
      </c>
      <c r="S95" s="48">
        <v>14351.03</v>
      </c>
      <c r="T95" s="48">
        <v>16682.496999999999</v>
      </c>
      <c r="U95" s="48">
        <v>16630.687000000002</v>
      </c>
      <c r="V95" s="48">
        <v>14786.578</v>
      </c>
      <c r="W95" s="48">
        <v>14133.481</v>
      </c>
      <c r="X95" s="48">
        <v>17944.262999999999</v>
      </c>
      <c r="Y95" s="48">
        <v>17048.34</v>
      </c>
      <c r="Z95" s="48">
        <v>18496.606</v>
      </c>
      <c r="AA95" s="48">
        <v>18603.305</v>
      </c>
      <c r="AB95" s="48">
        <v>18698.047999999999</v>
      </c>
      <c r="AC95" s="48">
        <v>20244.541000000001</v>
      </c>
      <c r="AD95" s="48">
        <v>19687.571</v>
      </c>
      <c r="AE95" s="48">
        <v>19228.873</v>
      </c>
      <c r="AF95" s="48">
        <v>19512.736000000001</v>
      </c>
      <c r="AG95" s="48">
        <v>19454.153999999999</v>
      </c>
      <c r="AH95" s="48">
        <v>19743.300999999999</v>
      </c>
      <c r="AI95" s="46" t="s">
        <v>121</v>
      </c>
    </row>
    <row r="96" spans="1:35" x14ac:dyDescent="0.3">
      <c r="A96" s="209"/>
      <c r="B96" s="50" t="s">
        <v>122</v>
      </c>
      <c r="C96" s="49">
        <v>1593.174</v>
      </c>
      <c r="D96" s="49">
        <v>1918.1079999999999</v>
      </c>
      <c r="E96" s="49">
        <v>1650.162</v>
      </c>
      <c r="F96" s="49">
        <v>1915.991</v>
      </c>
      <c r="G96" s="49">
        <v>2023.011</v>
      </c>
      <c r="H96" s="49">
        <v>1938.6880000000001</v>
      </c>
      <c r="I96" s="49">
        <v>2185.9720000000002</v>
      </c>
      <c r="J96" s="49">
        <v>2339.3710000000001</v>
      </c>
      <c r="K96" s="49">
        <v>2372.527</v>
      </c>
      <c r="L96" s="49">
        <v>2306.7399999999998</v>
      </c>
      <c r="M96" s="49">
        <v>2628.56</v>
      </c>
      <c r="N96" s="49">
        <v>2781.337</v>
      </c>
      <c r="O96" s="49">
        <v>2632.6379999999999</v>
      </c>
      <c r="P96" s="49">
        <v>2336.0970000000002</v>
      </c>
      <c r="Q96" s="49">
        <v>2611.5010000000002</v>
      </c>
      <c r="R96" s="49">
        <v>2471.56</v>
      </c>
      <c r="S96" s="49">
        <v>2445.9639999999999</v>
      </c>
      <c r="T96" s="49">
        <v>3655.82</v>
      </c>
      <c r="U96" s="49">
        <v>3444.8719999999998</v>
      </c>
      <c r="V96" s="49">
        <v>2583.2979999999998</v>
      </c>
      <c r="W96" s="49">
        <v>2725.989</v>
      </c>
      <c r="X96" s="49">
        <v>3890.7440000000001</v>
      </c>
      <c r="Y96" s="49">
        <v>3389.5909999999999</v>
      </c>
      <c r="Z96" s="49">
        <v>3558.6239999999998</v>
      </c>
      <c r="AA96" s="49">
        <v>3915.0520000000001</v>
      </c>
      <c r="AB96" s="49">
        <v>3988.31</v>
      </c>
      <c r="AC96" s="49">
        <v>4400.1729999999998</v>
      </c>
      <c r="AD96" s="49">
        <v>4461.0119999999997</v>
      </c>
      <c r="AE96" s="49">
        <v>4011.2849999999999</v>
      </c>
      <c r="AF96" s="49">
        <v>4153.5600000000004</v>
      </c>
      <c r="AG96" s="49">
        <v>4216.5169999999998</v>
      </c>
      <c r="AH96" s="49">
        <v>4131.5150000000003</v>
      </c>
      <c r="AI96" s="47" t="s">
        <v>121</v>
      </c>
    </row>
    <row r="97" spans="1:35" x14ac:dyDescent="0.3">
      <c r="A97" s="209"/>
      <c r="B97" s="50" t="s">
        <v>124</v>
      </c>
      <c r="C97" s="48">
        <v>509.459</v>
      </c>
      <c r="D97" s="48">
        <v>542.38099999999997</v>
      </c>
      <c r="E97" s="48">
        <v>311.49400000000003</v>
      </c>
      <c r="F97" s="48">
        <v>244.524</v>
      </c>
      <c r="G97" s="48">
        <v>349.74200000000002</v>
      </c>
      <c r="H97" s="48">
        <v>443.38499999999999</v>
      </c>
      <c r="I97" s="48">
        <v>321.18299999999999</v>
      </c>
      <c r="J97" s="48">
        <v>296.97800000000001</v>
      </c>
      <c r="K97" s="48">
        <v>371.27499999999998</v>
      </c>
      <c r="L97" s="48">
        <v>400.59899999999999</v>
      </c>
      <c r="M97" s="48">
        <v>324.51499999999999</v>
      </c>
      <c r="N97" s="48">
        <v>407.54599999999999</v>
      </c>
      <c r="O97" s="48">
        <v>329.858</v>
      </c>
      <c r="P97" s="48">
        <v>261.392</v>
      </c>
      <c r="Q97" s="48">
        <v>370.55599999999998</v>
      </c>
      <c r="R97" s="48">
        <v>249.66800000000001</v>
      </c>
      <c r="S97" s="48">
        <v>553.54700000000003</v>
      </c>
      <c r="T97" s="48">
        <v>557.79300000000001</v>
      </c>
      <c r="U97" s="48">
        <v>481.66500000000002</v>
      </c>
      <c r="V97" s="48">
        <v>348.59399999999999</v>
      </c>
      <c r="W97" s="48">
        <v>937.1</v>
      </c>
      <c r="X97" s="48">
        <v>964.77</v>
      </c>
      <c r="Y97" s="48">
        <v>993.423</v>
      </c>
      <c r="Z97" s="48">
        <v>1055.405</v>
      </c>
      <c r="AA97" s="48">
        <v>1017.1180000000001</v>
      </c>
      <c r="AB97" s="48">
        <v>1014.273</v>
      </c>
      <c r="AC97" s="48">
        <v>1064.7729999999999</v>
      </c>
      <c r="AD97" s="48">
        <v>1063.94</v>
      </c>
      <c r="AE97" s="48">
        <v>1039.835</v>
      </c>
      <c r="AF97" s="48">
        <v>1067.894</v>
      </c>
      <c r="AG97" s="48">
        <v>924.50400000000002</v>
      </c>
      <c r="AH97" s="48">
        <v>971.46100000000001</v>
      </c>
      <c r="AI97" s="46" t="s">
        <v>121</v>
      </c>
    </row>
    <row r="98" spans="1:35" x14ac:dyDescent="0.3">
      <c r="A98" s="209"/>
      <c r="B98" s="50" t="s">
        <v>125</v>
      </c>
      <c r="C98" s="49">
        <v>953.48400000000004</v>
      </c>
      <c r="D98" s="49">
        <v>1084.7360000000001</v>
      </c>
      <c r="E98" s="49">
        <v>1000.327</v>
      </c>
      <c r="F98" s="49">
        <v>996.11599999999999</v>
      </c>
      <c r="G98" s="49">
        <v>999.87400000000002</v>
      </c>
      <c r="H98" s="49">
        <v>1141.499</v>
      </c>
      <c r="I98" s="49">
        <v>1167.2090000000001</v>
      </c>
      <c r="J98" s="49">
        <v>1099.57</v>
      </c>
      <c r="K98" s="49">
        <v>1027.271</v>
      </c>
      <c r="L98" s="49">
        <v>1194.3320000000001</v>
      </c>
      <c r="M98" s="49">
        <v>1206.6980000000001</v>
      </c>
      <c r="N98" s="49">
        <v>1339.04</v>
      </c>
      <c r="O98" s="49">
        <v>1357.5</v>
      </c>
      <c r="P98" s="49">
        <v>1177.039</v>
      </c>
      <c r="Q98" s="49">
        <v>1217.636</v>
      </c>
      <c r="R98" s="49">
        <v>1148.1790000000001</v>
      </c>
      <c r="S98" s="49">
        <v>1227.1569999999999</v>
      </c>
      <c r="T98" s="49">
        <v>1427.8979999999999</v>
      </c>
      <c r="U98" s="49">
        <v>1363.201</v>
      </c>
      <c r="V98" s="49">
        <v>1044.963</v>
      </c>
      <c r="W98" s="49">
        <v>606.69500000000005</v>
      </c>
      <c r="X98" s="49">
        <v>815.202</v>
      </c>
      <c r="Y98" s="49">
        <v>640.50699999999995</v>
      </c>
      <c r="Z98" s="49">
        <v>725.15700000000004</v>
      </c>
      <c r="AA98" s="49">
        <v>683.577</v>
      </c>
      <c r="AB98" s="49">
        <v>574.49</v>
      </c>
      <c r="AC98" s="49">
        <v>606.46100000000001</v>
      </c>
      <c r="AD98" s="49">
        <v>581.24099999999999</v>
      </c>
      <c r="AE98" s="49">
        <v>589.20699999999999</v>
      </c>
      <c r="AF98" s="49">
        <v>546.39300000000003</v>
      </c>
      <c r="AG98" s="49">
        <v>484.57400000000001</v>
      </c>
      <c r="AH98" s="49">
        <v>518.78700000000003</v>
      </c>
      <c r="AI98" s="47" t="s">
        <v>121</v>
      </c>
    </row>
    <row r="99" spans="1:35" x14ac:dyDescent="0.3">
      <c r="A99" s="209"/>
      <c r="B99" s="50" t="s">
        <v>126</v>
      </c>
      <c r="C99" s="48">
        <v>131.88999999999999</v>
      </c>
      <c r="D99" s="48">
        <v>126.869</v>
      </c>
      <c r="E99" s="48">
        <v>144.79400000000001</v>
      </c>
      <c r="F99" s="48">
        <v>138.94</v>
      </c>
      <c r="G99" s="48">
        <v>177.41300000000001</v>
      </c>
      <c r="H99" s="48">
        <v>245.048</v>
      </c>
      <c r="I99" s="48">
        <v>177.494</v>
      </c>
      <c r="J99" s="48">
        <v>119.822</v>
      </c>
      <c r="K99" s="48">
        <v>114.443</v>
      </c>
      <c r="L99" s="48">
        <v>111.824</v>
      </c>
      <c r="M99" s="48">
        <v>162.82599999999999</v>
      </c>
      <c r="N99" s="48">
        <v>145.31700000000001</v>
      </c>
      <c r="O99" s="48">
        <v>125.825</v>
      </c>
      <c r="P99" s="48">
        <v>128.84299999999999</v>
      </c>
      <c r="Q99" s="48">
        <v>103.908</v>
      </c>
      <c r="R99" s="48">
        <v>105.83499999999999</v>
      </c>
      <c r="S99" s="48">
        <v>101.765</v>
      </c>
      <c r="T99" s="48">
        <v>128.96299999999999</v>
      </c>
      <c r="U99" s="48">
        <v>117.84</v>
      </c>
      <c r="V99" s="48">
        <v>91.052000000000007</v>
      </c>
      <c r="W99" s="48">
        <v>91.849000000000004</v>
      </c>
      <c r="X99" s="48">
        <v>104.47</v>
      </c>
      <c r="Y99" s="48">
        <v>101.58199999999999</v>
      </c>
      <c r="Z99" s="48">
        <v>113.827</v>
      </c>
      <c r="AA99" s="48">
        <v>112.13500000000001</v>
      </c>
      <c r="AB99" s="48">
        <v>112.53700000000001</v>
      </c>
      <c r="AC99" s="48">
        <v>133.28299999999999</v>
      </c>
      <c r="AD99" s="48">
        <v>194.715</v>
      </c>
      <c r="AE99" s="48">
        <v>156.30199999999999</v>
      </c>
      <c r="AF99" s="48">
        <v>149.989</v>
      </c>
      <c r="AG99" s="48">
        <v>151.26599999999999</v>
      </c>
      <c r="AH99" s="48">
        <v>193.49600000000001</v>
      </c>
      <c r="AI99" s="46" t="s">
        <v>121</v>
      </c>
    </row>
    <row r="100" spans="1:35" x14ac:dyDescent="0.3">
      <c r="A100" s="209"/>
      <c r="B100" s="50" t="s">
        <v>127</v>
      </c>
      <c r="C100" s="49">
        <v>68.415999999999997</v>
      </c>
      <c r="D100" s="49">
        <v>77.981999999999999</v>
      </c>
      <c r="E100" s="49">
        <v>77.876000000000005</v>
      </c>
      <c r="F100" s="49">
        <v>75.573999999999998</v>
      </c>
      <c r="G100" s="49">
        <v>77.415999999999997</v>
      </c>
      <c r="H100" s="49">
        <v>79.078999999999994</v>
      </c>
      <c r="I100" s="49">
        <v>82.063999999999993</v>
      </c>
      <c r="J100" s="49">
        <v>85.331000000000003</v>
      </c>
      <c r="K100" s="49">
        <v>90.245999999999995</v>
      </c>
      <c r="L100" s="49">
        <v>83.522999999999996</v>
      </c>
      <c r="M100" s="49">
        <v>85.692999999999998</v>
      </c>
      <c r="N100" s="49">
        <v>92.634</v>
      </c>
      <c r="O100" s="49">
        <v>100.035</v>
      </c>
      <c r="P100" s="49">
        <v>93.36</v>
      </c>
      <c r="Q100" s="49">
        <v>96.475999999999999</v>
      </c>
      <c r="R100" s="49">
        <v>86.272000000000006</v>
      </c>
      <c r="S100" s="49">
        <v>85.867000000000004</v>
      </c>
      <c r="T100" s="49">
        <v>85.022999999999996</v>
      </c>
      <c r="U100" s="49">
        <v>101.94199999999999</v>
      </c>
      <c r="V100" s="49">
        <v>99.346000000000004</v>
      </c>
      <c r="W100" s="49">
        <v>162.03100000000001</v>
      </c>
      <c r="X100" s="49">
        <v>211.95699999999999</v>
      </c>
      <c r="Y100" s="49">
        <v>213.827</v>
      </c>
      <c r="Z100" s="49">
        <v>209.34399999999999</v>
      </c>
      <c r="AA100" s="49">
        <v>218.304</v>
      </c>
      <c r="AB100" s="49">
        <v>231.34700000000001</v>
      </c>
      <c r="AC100" s="49">
        <v>243.52199999999999</v>
      </c>
      <c r="AD100" s="49">
        <v>263.298</v>
      </c>
      <c r="AE100" s="49">
        <v>262.74400000000003</v>
      </c>
      <c r="AF100" s="49">
        <v>268.09399999999999</v>
      </c>
      <c r="AG100" s="49">
        <v>284.666</v>
      </c>
      <c r="AH100" s="49">
        <v>311.52199999999999</v>
      </c>
      <c r="AI100" s="47" t="s">
        <v>121</v>
      </c>
    </row>
    <row r="101" spans="1:35" x14ac:dyDescent="0.3">
      <c r="A101" s="209"/>
      <c r="B101" s="50" t="s">
        <v>128</v>
      </c>
      <c r="C101" s="48">
        <v>604.81899999999996</v>
      </c>
      <c r="D101" s="48">
        <v>600.20000000000005</v>
      </c>
      <c r="E101" s="48">
        <v>791.221</v>
      </c>
      <c r="F101" s="48">
        <v>813.26300000000003</v>
      </c>
      <c r="G101" s="48">
        <v>1285.8219999999999</v>
      </c>
      <c r="H101" s="48">
        <v>1150.3869999999999</v>
      </c>
      <c r="I101" s="48">
        <v>1214.021</v>
      </c>
      <c r="J101" s="48">
        <v>1085.626</v>
      </c>
      <c r="K101" s="48">
        <v>1169.8710000000001</v>
      </c>
      <c r="L101" s="48">
        <v>1169.3889999999999</v>
      </c>
      <c r="M101" s="48">
        <v>714.05600000000004</v>
      </c>
      <c r="N101" s="48">
        <v>1271.8219999999999</v>
      </c>
      <c r="O101" s="48">
        <v>1243.309</v>
      </c>
      <c r="P101" s="48">
        <v>1278.789</v>
      </c>
      <c r="Q101" s="48">
        <v>728.67399999999998</v>
      </c>
      <c r="R101" s="48">
        <v>702.86199999999997</v>
      </c>
      <c r="S101" s="48">
        <v>777.27599999999995</v>
      </c>
      <c r="T101" s="48">
        <v>1000.602</v>
      </c>
      <c r="U101" s="48">
        <v>1253.49</v>
      </c>
      <c r="V101" s="48">
        <v>1882.1420000000001</v>
      </c>
      <c r="W101" s="48">
        <v>1753.7370000000001</v>
      </c>
      <c r="X101" s="48">
        <v>1851.855</v>
      </c>
      <c r="Y101" s="48">
        <v>1404.654</v>
      </c>
      <c r="Z101" s="48">
        <v>2211.41</v>
      </c>
      <c r="AA101" s="48">
        <v>2163.6089999999999</v>
      </c>
      <c r="AB101" s="48">
        <v>2205.498</v>
      </c>
      <c r="AC101" s="48">
        <v>2795.8620000000001</v>
      </c>
      <c r="AD101" s="48">
        <v>2235.5360000000001</v>
      </c>
      <c r="AE101" s="48">
        <v>2073.6680000000001</v>
      </c>
      <c r="AF101" s="48">
        <v>2342.3960000000002</v>
      </c>
      <c r="AG101" s="48">
        <v>2648.9780000000001</v>
      </c>
      <c r="AH101" s="48">
        <v>2591.145</v>
      </c>
      <c r="AI101" s="46" t="s">
        <v>121</v>
      </c>
    </row>
    <row r="102" spans="1:35" x14ac:dyDescent="0.3">
      <c r="A102" s="209"/>
      <c r="B102" s="50" t="s">
        <v>129</v>
      </c>
      <c r="C102" s="49">
        <v>2200.6669999999999</v>
      </c>
      <c r="D102" s="49">
        <v>2381.9639999999999</v>
      </c>
      <c r="E102" s="49">
        <v>2379.627</v>
      </c>
      <c r="F102" s="49">
        <v>2439.7800000000002</v>
      </c>
      <c r="G102" s="49">
        <v>2493.0079999999998</v>
      </c>
      <c r="H102" s="49">
        <v>2138.4070000000002</v>
      </c>
      <c r="I102" s="49">
        <v>2205.0459999999998</v>
      </c>
      <c r="J102" s="49">
        <v>2290.04</v>
      </c>
      <c r="K102" s="49">
        <v>2347.694</v>
      </c>
      <c r="L102" s="49">
        <v>2453.7629999999999</v>
      </c>
      <c r="M102" s="49">
        <v>2612.8119999999999</v>
      </c>
      <c r="N102" s="49">
        <v>2774.6559999999999</v>
      </c>
      <c r="O102" s="49">
        <v>2746.1129999999998</v>
      </c>
      <c r="P102" s="49">
        <v>2896.88</v>
      </c>
      <c r="Q102" s="49">
        <v>3231.1280000000002</v>
      </c>
      <c r="R102" s="49">
        <v>3108.1410000000001</v>
      </c>
      <c r="S102" s="49">
        <v>3260.04</v>
      </c>
      <c r="T102" s="49">
        <v>3477.8780000000002</v>
      </c>
      <c r="U102" s="49">
        <v>3622.3910000000001</v>
      </c>
      <c r="V102" s="49">
        <v>3198.846</v>
      </c>
      <c r="W102" s="49">
        <v>2524.6210000000001</v>
      </c>
      <c r="X102" s="49">
        <v>3304.0839999999998</v>
      </c>
      <c r="Y102" s="49">
        <v>3276.8879999999999</v>
      </c>
      <c r="Z102" s="49">
        <v>3363.942</v>
      </c>
      <c r="AA102" s="49">
        <v>3389.4490000000001</v>
      </c>
      <c r="AB102" s="49">
        <v>3362.5639999999999</v>
      </c>
      <c r="AC102" s="49">
        <v>3532.962</v>
      </c>
      <c r="AD102" s="49">
        <v>3512.64</v>
      </c>
      <c r="AE102" s="49">
        <v>3595.0050000000001</v>
      </c>
      <c r="AF102" s="49">
        <v>3536.3009999999999</v>
      </c>
      <c r="AG102" s="49">
        <v>3470.2730000000001</v>
      </c>
      <c r="AH102" s="49">
        <v>3501.6060000000002</v>
      </c>
      <c r="AI102" s="47" t="s">
        <v>121</v>
      </c>
    </row>
    <row r="103" spans="1:35" x14ac:dyDescent="0.3">
      <c r="A103" s="209"/>
      <c r="B103" s="50" t="s">
        <v>130</v>
      </c>
      <c r="C103" s="48">
        <v>2861.8850000000002</v>
      </c>
      <c r="D103" s="48">
        <v>3035.9259999999999</v>
      </c>
      <c r="E103" s="48">
        <v>2986.4380000000001</v>
      </c>
      <c r="F103" s="48">
        <v>3145.9180000000001</v>
      </c>
      <c r="G103" s="48">
        <v>3437.9270000000001</v>
      </c>
      <c r="H103" s="48">
        <v>3458.1419999999998</v>
      </c>
      <c r="I103" s="48">
        <v>3374.23</v>
      </c>
      <c r="J103" s="48">
        <v>3509.89</v>
      </c>
      <c r="K103" s="48">
        <v>3615.951</v>
      </c>
      <c r="L103" s="48">
        <v>3741.6419999999998</v>
      </c>
      <c r="M103" s="48">
        <v>3803.308</v>
      </c>
      <c r="N103" s="48">
        <v>3841.3820000000001</v>
      </c>
      <c r="O103" s="48">
        <v>4084.31</v>
      </c>
      <c r="P103" s="48">
        <v>4099.08</v>
      </c>
      <c r="Q103" s="48">
        <v>4381.098</v>
      </c>
      <c r="R103" s="48">
        <v>4382.6760000000004</v>
      </c>
      <c r="S103" s="48">
        <v>4524.5479999999998</v>
      </c>
      <c r="T103" s="48">
        <v>4848.9409999999998</v>
      </c>
      <c r="U103" s="48">
        <v>4761.9709999999995</v>
      </c>
      <c r="V103" s="48">
        <v>4151.3209999999999</v>
      </c>
      <c r="W103" s="48">
        <v>4086.4859999999999</v>
      </c>
      <c r="X103" s="48">
        <v>5362.0330000000004</v>
      </c>
      <c r="Y103" s="48">
        <v>5611.1540000000005</v>
      </c>
      <c r="Z103" s="48">
        <v>5839.23</v>
      </c>
      <c r="AA103" s="48">
        <v>5656.3940000000002</v>
      </c>
      <c r="AB103" s="48">
        <v>5803.1220000000003</v>
      </c>
      <c r="AC103" s="48">
        <v>6056.4939999999997</v>
      </c>
      <c r="AD103" s="48">
        <v>5941.3779999999997</v>
      </c>
      <c r="AE103" s="48">
        <v>5991.29</v>
      </c>
      <c r="AF103" s="48">
        <v>5938.9620000000004</v>
      </c>
      <c r="AG103" s="48">
        <v>5742.24</v>
      </c>
      <c r="AH103" s="48">
        <v>5892.2280000000001</v>
      </c>
      <c r="AI103" s="46" t="s">
        <v>121</v>
      </c>
    </row>
    <row r="104" spans="1:35" x14ac:dyDescent="0.3">
      <c r="A104" s="209"/>
      <c r="B104" s="50" t="s">
        <v>131</v>
      </c>
      <c r="C104" s="49">
        <v>212.70500000000001</v>
      </c>
      <c r="D104" s="49">
        <v>201.48699999999999</v>
      </c>
      <c r="E104" s="49">
        <v>208.07</v>
      </c>
      <c r="F104" s="49">
        <v>210.84399999999999</v>
      </c>
      <c r="G104" s="49">
        <v>251.37100000000001</v>
      </c>
      <c r="H104" s="49">
        <v>211.815</v>
      </c>
      <c r="I104" s="49">
        <v>206.375</v>
      </c>
      <c r="J104" s="49">
        <v>209.398</v>
      </c>
      <c r="K104" s="49">
        <v>209.85900000000001</v>
      </c>
      <c r="L104" s="49">
        <v>209.59100000000001</v>
      </c>
      <c r="M104" s="49">
        <v>231.44</v>
      </c>
      <c r="N104" s="49">
        <v>207.10900000000001</v>
      </c>
      <c r="O104" s="49">
        <v>208.27099999999999</v>
      </c>
      <c r="P104" s="49">
        <v>201.98400000000001</v>
      </c>
      <c r="Q104" s="49">
        <v>175.94300000000001</v>
      </c>
      <c r="R104" s="49">
        <v>160.56200000000001</v>
      </c>
      <c r="S104" s="49">
        <v>148.916</v>
      </c>
      <c r="T104" s="49">
        <v>169.06200000000001</v>
      </c>
      <c r="U104" s="49">
        <v>140.53899999999999</v>
      </c>
      <c r="V104" s="49">
        <v>128.857</v>
      </c>
      <c r="W104" s="49">
        <v>76.040999999999997</v>
      </c>
      <c r="X104" s="49">
        <v>76.558000000000007</v>
      </c>
      <c r="Y104" s="49">
        <v>67.745999999999995</v>
      </c>
      <c r="Z104" s="49">
        <v>68.591999999999999</v>
      </c>
      <c r="AA104" s="49">
        <v>75.331000000000003</v>
      </c>
      <c r="AB104" s="49">
        <v>74.813000000000002</v>
      </c>
      <c r="AC104" s="49">
        <v>67.712999999999994</v>
      </c>
      <c r="AD104" s="49">
        <v>70.88</v>
      </c>
      <c r="AE104" s="49">
        <v>71.959999999999994</v>
      </c>
      <c r="AF104" s="49">
        <v>63.366</v>
      </c>
      <c r="AG104" s="49">
        <v>67.067999999999998</v>
      </c>
      <c r="AH104" s="49">
        <v>81.114000000000004</v>
      </c>
      <c r="AI104" s="47" t="s">
        <v>121</v>
      </c>
    </row>
    <row r="105" spans="1:35" x14ac:dyDescent="0.3">
      <c r="A105" s="209"/>
      <c r="B105" s="50" t="s">
        <v>132</v>
      </c>
      <c r="C105" s="48">
        <v>846.09299999999996</v>
      </c>
      <c r="D105" s="48">
        <v>907.35199999999998</v>
      </c>
      <c r="E105" s="48">
        <v>894.69100000000003</v>
      </c>
      <c r="F105" s="48">
        <v>931.19200000000001</v>
      </c>
      <c r="G105" s="48">
        <v>1002.152</v>
      </c>
      <c r="H105" s="48">
        <v>1020.949</v>
      </c>
      <c r="I105" s="48">
        <v>1106.0509999999999</v>
      </c>
      <c r="J105" s="48">
        <v>1116.1890000000001</v>
      </c>
      <c r="K105" s="48">
        <v>1106.0820000000001</v>
      </c>
      <c r="L105" s="48">
        <v>1165.6559999999999</v>
      </c>
      <c r="M105" s="48">
        <v>1178.3710000000001</v>
      </c>
      <c r="N105" s="48">
        <v>1224.8330000000001</v>
      </c>
      <c r="O105" s="48">
        <v>1242.29</v>
      </c>
      <c r="P105" s="48">
        <v>1232.856</v>
      </c>
      <c r="Q105" s="48">
        <v>1246.33</v>
      </c>
      <c r="R105" s="48">
        <v>1182.519</v>
      </c>
      <c r="S105" s="48">
        <v>1225.951</v>
      </c>
      <c r="T105" s="48">
        <v>1330.518</v>
      </c>
      <c r="U105" s="48">
        <v>1342.7750000000001</v>
      </c>
      <c r="V105" s="48">
        <v>1258.1600000000001</v>
      </c>
      <c r="W105" s="48">
        <v>1168.931</v>
      </c>
      <c r="X105" s="48">
        <v>1362.5889999999999</v>
      </c>
      <c r="Y105" s="48">
        <v>1348.9680000000001</v>
      </c>
      <c r="Z105" s="48">
        <v>1351.0730000000001</v>
      </c>
      <c r="AA105" s="48">
        <v>1372.335</v>
      </c>
      <c r="AB105" s="48">
        <v>1331.0940000000001</v>
      </c>
      <c r="AC105" s="48">
        <v>1343.299</v>
      </c>
      <c r="AD105" s="48">
        <v>1362.93</v>
      </c>
      <c r="AE105" s="48">
        <v>1437.577</v>
      </c>
      <c r="AF105" s="48">
        <v>1445.7809999999999</v>
      </c>
      <c r="AG105" s="48">
        <v>1464.066</v>
      </c>
      <c r="AH105" s="48">
        <v>1550.4259999999999</v>
      </c>
      <c r="AI105" s="46" t="s">
        <v>121</v>
      </c>
    </row>
    <row r="106" spans="1:35" x14ac:dyDescent="0.3">
      <c r="A106" s="209"/>
      <c r="B106" s="50" t="s">
        <v>134</v>
      </c>
      <c r="C106" s="49">
        <v>20.652000000000001</v>
      </c>
      <c r="D106" s="49">
        <v>25.038</v>
      </c>
      <c r="E106" s="49">
        <v>19.207000000000001</v>
      </c>
      <c r="F106" s="49">
        <v>13.471</v>
      </c>
      <c r="G106" s="49">
        <v>22.459</v>
      </c>
      <c r="H106" s="49">
        <v>15.443</v>
      </c>
      <c r="I106" s="49">
        <v>27.404</v>
      </c>
      <c r="J106" s="49">
        <v>89.96</v>
      </c>
      <c r="K106" s="49">
        <v>53.158999999999999</v>
      </c>
      <c r="L106" s="49">
        <v>37.670999999999999</v>
      </c>
      <c r="M106" s="49">
        <v>48.497999999999998</v>
      </c>
      <c r="N106" s="49">
        <v>61.968000000000004</v>
      </c>
      <c r="O106" s="49">
        <v>77.804000000000002</v>
      </c>
      <c r="P106" s="49">
        <v>328.43200000000002</v>
      </c>
      <c r="Q106" s="49">
        <v>245.00800000000001</v>
      </c>
      <c r="R106" s="49">
        <v>84.814999999999998</v>
      </c>
      <c r="S106" s="49">
        <v>101.777</v>
      </c>
      <c r="T106" s="49">
        <v>115.71</v>
      </c>
      <c r="U106" s="49">
        <v>128.44800000000001</v>
      </c>
      <c r="V106" s="49">
        <v>78.513000000000005</v>
      </c>
      <c r="W106" s="49">
        <v>128.75399999999999</v>
      </c>
      <c r="X106" s="49">
        <v>317.18099999999998</v>
      </c>
      <c r="Y106" s="49">
        <v>132.095</v>
      </c>
      <c r="Z106" s="49">
        <v>93.055000000000007</v>
      </c>
      <c r="AA106" s="49">
        <v>102.803</v>
      </c>
      <c r="AB106" s="49">
        <v>102.307</v>
      </c>
      <c r="AC106" s="49">
        <v>107.217</v>
      </c>
      <c r="AD106" s="49">
        <v>139.495</v>
      </c>
      <c r="AE106" s="49">
        <v>161.023</v>
      </c>
      <c r="AF106" s="49">
        <v>162.07499999999999</v>
      </c>
      <c r="AG106" s="49">
        <v>201.16200000000001</v>
      </c>
      <c r="AH106" s="49">
        <v>274.64800000000002</v>
      </c>
      <c r="AI106" s="47" t="s">
        <v>121</v>
      </c>
    </row>
    <row r="107" spans="1:35" x14ac:dyDescent="0.3">
      <c r="A107" s="209"/>
      <c r="B107" s="50" t="s">
        <v>135</v>
      </c>
      <c r="C107" s="48">
        <v>3.1160000000000001</v>
      </c>
      <c r="D107" s="48">
        <v>6.0039999999999996</v>
      </c>
      <c r="E107" s="48">
        <v>3.9060000000000001</v>
      </c>
      <c r="F107" s="48">
        <v>0.26400000000000001</v>
      </c>
      <c r="G107" s="48">
        <v>0.86599999999999999</v>
      </c>
      <c r="H107" s="48">
        <v>1.3180000000000001</v>
      </c>
      <c r="I107" s="48">
        <v>3.415</v>
      </c>
      <c r="J107" s="48">
        <v>14.265000000000001</v>
      </c>
      <c r="K107" s="48">
        <v>20.297999999999998</v>
      </c>
      <c r="L107" s="48">
        <v>15.917</v>
      </c>
      <c r="M107" s="48">
        <v>18.649000000000001</v>
      </c>
      <c r="N107" s="48">
        <v>18.707999999999998</v>
      </c>
      <c r="O107" s="48">
        <v>21.771999999999998</v>
      </c>
      <c r="P107" s="48">
        <v>67.567999999999998</v>
      </c>
      <c r="Q107" s="48">
        <v>85.655000000000001</v>
      </c>
      <c r="R107" s="48">
        <v>17.358000000000001</v>
      </c>
      <c r="S107" s="48">
        <v>14.462</v>
      </c>
      <c r="T107" s="48">
        <v>38.969000000000001</v>
      </c>
      <c r="U107" s="48">
        <v>62.215000000000003</v>
      </c>
      <c r="V107" s="48">
        <v>24.419</v>
      </c>
      <c r="W107" s="48">
        <v>34.747999999999998</v>
      </c>
      <c r="X107" s="48">
        <v>77.036000000000001</v>
      </c>
      <c r="Y107" s="48">
        <v>60.378999999999998</v>
      </c>
      <c r="Z107" s="48">
        <v>28.795999999999999</v>
      </c>
      <c r="AA107" s="48">
        <v>28.001999999999999</v>
      </c>
      <c r="AB107" s="48">
        <v>36.393000000000001</v>
      </c>
      <c r="AC107" s="48">
        <v>33.734999999999999</v>
      </c>
      <c r="AD107" s="48">
        <v>37.040999999999997</v>
      </c>
      <c r="AE107" s="48">
        <v>55.808</v>
      </c>
      <c r="AF107" s="48">
        <v>55.064999999999998</v>
      </c>
      <c r="AG107" s="48">
        <v>90.846999999999994</v>
      </c>
      <c r="AH107" s="48">
        <v>107.182</v>
      </c>
      <c r="AI107" s="46" t="s">
        <v>121</v>
      </c>
    </row>
    <row r="108" spans="1:35" x14ac:dyDescent="0.3">
      <c r="A108" s="209"/>
      <c r="B108" s="50" t="s">
        <v>136</v>
      </c>
      <c r="C108" s="49">
        <v>3.1160000000000001</v>
      </c>
      <c r="D108" s="49">
        <v>6.0039999999999996</v>
      </c>
      <c r="E108" s="49">
        <v>3.9060000000000001</v>
      </c>
      <c r="F108" s="49">
        <v>0.26400000000000001</v>
      </c>
      <c r="G108" s="49">
        <v>0.86599999999999999</v>
      </c>
      <c r="H108" s="49">
        <v>1.3180000000000001</v>
      </c>
      <c r="I108" s="49">
        <v>3.415</v>
      </c>
      <c r="J108" s="49">
        <v>14.265000000000001</v>
      </c>
      <c r="K108" s="49">
        <v>20.297999999999998</v>
      </c>
      <c r="L108" s="49">
        <v>15.917</v>
      </c>
      <c r="M108" s="49">
        <v>18.649000000000001</v>
      </c>
      <c r="N108" s="49">
        <v>18.707999999999998</v>
      </c>
      <c r="O108" s="49">
        <v>21.771999999999998</v>
      </c>
      <c r="P108" s="49">
        <v>67.567999999999998</v>
      </c>
      <c r="Q108" s="49">
        <v>85.655000000000001</v>
      </c>
      <c r="R108" s="49">
        <v>17.358000000000001</v>
      </c>
      <c r="S108" s="49">
        <v>14.462</v>
      </c>
      <c r="T108" s="49">
        <v>38.969000000000001</v>
      </c>
      <c r="U108" s="49">
        <v>62.215000000000003</v>
      </c>
      <c r="V108" s="49">
        <v>24.419</v>
      </c>
      <c r="W108" s="49">
        <v>34.747999999999998</v>
      </c>
      <c r="X108" s="49">
        <v>77.036000000000001</v>
      </c>
      <c r="Y108" s="49">
        <v>60.378999999999998</v>
      </c>
      <c r="Z108" s="49">
        <v>28.795999999999999</v>
      </c>
      <c r="AA108" s="49">
        <v>28.001999999999999</v>
      </c>
      <c r="AB108" s="49">
        <v>36.393000000000001</v>
      </c>
      <c r="AC108" s="49">
        <v>33.734999999999999</v>
      </c>
      <c r="AD108" s="49">
        <v>37.040999999999997</v>
      </c>
      <c r="AE108" s="49">
        <v>55.808</v>
      </c>
      <c r="AF108" s="49">
        <v>55.064999999999998</v>
      </c>
      <c r="AG108" s="49">
        <v>90.846999999999994</v>
      </c>
      <c r="AH108" s="49">
        <v>107.182</v>
      </c>
      <c r="AI108" s="47" t="s">
        <v>121</v>
      </c>
    </row>
    <row r="109" spans="1:35" x14ac:dyDescent="0.3">
      <c r="A109" s="209"/>
      <c r="B109" s="50" t="s">
        <v>137</v>
      </c>
      <c r="C109" s="46" t="s">
        <v>121</v>
      </c>
      <c r="D109" s="46" t="s">
        <v>121</v>
      </c>
      <c r="E109" s="46" t="s">
        <v>121</v>
      </c>
      <c r="F109" s="46" t="s">
        <v>121</v>
      </c>
      <c r="G109" s="46" t="s">
        <v>121</v>
      </c>
      <c r="H109" s="46" t="s">
        <v>121</v>
      </c>
      <c r="I109" s="46" t="s">
        <v>121</v>
      </c>
      <c r="J109" s="46" t="s">
        <v>121</v>
      </c>
      <c r="K109" s="46" t="s">
        <v>121</v>
      </c>
      <c r="L109" s="46" t="s">
        <v>121</v>
      </c>
      <c r="M109" s="46" t="s">
        <v>121</v>
      </c>
      <c r="N109" s="46" t="s">
        <v>121</v>
      </c>
      <c r="O109" s="46" t="s">
        <v>121</v>
      </c>
      <c r="P109" s="46" t="s">
        <v>121</v>
      </c>
      <c r="Q109" s="46" t="s">
        <v>121</v>
      </c>
      <c r="R109" s="46" t="s">
        <v>121</v>
      </c>
      <c r="S109" s="46" t="s">
        <v>121</v>
      </c>
      <c r="T109" s="46" t="s">
        <v>121</v>
      </c>
      <c r="U109" s="46" t="s">
        <v>121</v>
      </c>
      <c r="V109" s="46" t="s">
        <v>121</v>
      </c>
      <c r="W109" s="46" t="s">
        <v>121</v>
      </c>
      <c r="X109" s="46" t="s">
        <v>121</v>
      </c>
      <c r="Y109" s="46" t="s">
        <v>121</v>
      </c>
      <c r="Z109" s="46" t="s">
        <v>121</v>
      </c>
      <c r="AA109" s="46" t="s">
        <v>121</v>
      </c>
      <c r="AB109" s="46" t="s">
        <v>121</v>
      </c>
      <c r="AC109" s="46" t="s">
        <v>121</v>
      </c>
      <c r="AD109" s="46" t="s">
        <v>121</v>
      </c>
      <c r="AE109" s="46" t="s">
        <v>121</v>
      </c>
      <c r="AF109" s="46" t="s">
        <v>121</v>
      </c>
      <c r="AG109" s="46" t="s">
        <v>121</v>
      </c>
      <c r="AH109" s="46" t="s">
        <v>121</v>
      </c>
      <c r="AI109" s="46" t="s">
        <v>121</v>
      </c>
    </row>
    <row r="110" spans="1:35" x14ac:dyDescent="0.3">
      <c r="A110" s="209"/>
      <c r="B110" s="50" t="s">
        <v>138</v>
      </c>
      <c r="C110" s="49">
        <v>17.536000000000001</v>
      </c>
      <c r="D110" s="49">
        <v>19.033999999999999</v>
      </c>
      <c r="E110" s="49">
        <v>15.302</v>
      </c>
      <c r="F110" s="49">
        <v>13.207000000000001</v>
      </c>
      <c r="G110" s="49">
        <v>21.593</v>
      </c>
      <c r="H110" s="49">
        <v>14.124000000000001</v>
      </c>
      <c r="I110" s="49">
        <v>23.99</v>
      </c>
      <c r="J110" s="49">
        <v>75.694999999999993</v>
      </c>
      <c r="K110" s="49">
        <v>32.860999999999997</v>
      </c>
      <c r="L110" s="49">
        <v>21.753</v>
      </c>
      <c r="M110" s="49">
        <v>29.847999999999999</v>
      </c>
      <c r="N110" s="49">
        <v>43.26</v>
      </c>
      <c r="O110" s="49">
        <v>56.031999999999996</v>
      </c>
      <c r="P110" s="49">
        <v>260.86399999999998</v>
      </c>
      <c r="Q110" s="49">
        <v>159.35300000000001</v>
      </c>
      <c r="R110" s="49">
        <v>67.456999999999994</v>
      </c>
      <c r="S110" s="49">
        <v>87.314999999999998</v>
      </c>
      <c r="T110" s="49">
        <v>76.741</v>
      </c>
      <c r="U110" s="49">
        <v>66.233999999999995</v>
      </c>
      <c r="V110" s="49">
        <v>54.093000000000004</v>
      </c>
      <c r="W110" s="49">
        <v>94.006</v>
      </c>
      <c r="X110" s="49">
        <v>240.14500000000001</v>
      </c>
      <c r="Y110" s="49">
        <v>71.715999999999994</v>
      </c>
      <c r="Z110" s="49">
        <v>64.257999999999996</v>
      </c>
      <c r="AA110" s="49">
        <v>74.801000000000002</v>
      </c>
      <c r="AB110" s="49">
        <v>65.914000000000001</v>
      </c>
      <c r="AC110" s="49">
        <v>73.481999999999999</v>
      </c>
      <c r="AD110" s="49">
        <v>102.453</v>
      </c>
      <c r="AE110" s="49">
        <v>105.215</v>
      </c>
      <c r="AF110" s="49">
        <v>107.01</v>
      </c>
      <c r="AG110" s="49">
        <v>110.315</v>
      </c>
      <c r="AH110" s="49">
        <v>167.46600000000001</v>
      </c>
      <c r="AI110" s="47" t="s">
        <v>121</v>
      </c>
    </row>
    <row r="111" spans="1:35" x14ac:dyDescent="0.3">
      <c r="A111" s="209"/>
      <c r="B111" s="50" t="s">
        <v>139</v>
      </c>
      <c r="C111" s="48">
        <v>17.536000000000001</v>
      </c>
      <c r="D111" s="48">
        <v>19.033999999999999</v>
      </c>
      <c r="E111" s="48">
        <v>15.302</v>
      </c>
      <c r="F111" s="48">
        <v>13.207000000000001</v>
      </c>
      <c r="G111" s="48">
        <v>21.593</v>
      </c>
      <c r="H111" s="48">
        <v>14.124000000000001</v>
      </c>
      <c r="I111" s="48">
        <v>23.99</v>
      </c>
      <c r="J111" s="48">
        <v>75.694999999999993</v>
      </c>
      <c r="K111" s="48">
        <v>32.860999999999997</v>
      </c>
      <c r="L111" s="48">
        <v>21.753</v>
      </c>
      <c r="M111" s="48">
        <v>29.847999999999999</v>
      </c>
      <c r="N111" s="48">
        <v>43.26</v>
      </c>
      <c r="O111" s="48">
        <v>56.031999999999996</v>
      </c>
      <c r="P111" s="48">
        <v>260.86399999999998</v>
      </c>
      <c r="Q111" s="48">
        <v>159.35300000000001</v>
      </c>
      <c r="R111" s="48">
        <v>67.456999999999994</v>
      </c>
      <c r="S111" s="48">
        <v>87.314999999999998</v>
      </c>
      <c r="T111" s="48">
        <v>76.741</v>
      </c>
      <c r="U111" s="48">
        <v>66.233999999999995</v>
      </c>
      <c r="V111" s="48">
        <v>54.093000000000004</v>
      </c>
      <c r="W111" s="48">
        <v>94.006</v>
      </c>
      <c r="X111" s="48">
        <v>240.14500000000001</v>
      </c>
      <c r="Y111" s="48">
        <v>71.715999999999994</v>
      </c>
      <c r="Z111" s="48">
        <v>64.257999999999996</v>
      </c>
      <c r="AA111" s="48">
        <v>74.801000000000002</v>
      </c>
      <c r="AB111" s="48">
        <v>65.914000000000001</v>
      </c>
      <c r="AC111" s="48">
        <v>73.481999999999999</v>
      </c>
      <c r="AD111" s="48">
        <v>102.453</v>
      </c>
      <c r="AE111" s="48">
        <v>105.215</v>
      </c>
      <c r="AF111" s="48">
        <v>107.01</v>
      </c>
      <c r="AG111" s="48">
        <v>110.315</v>
      </c>
      <c r="AH111" s="48">
        <v>167.46600000000001</v>
      </c>
      <c r="AI111" s="46" t="s">
        <v>121</v>
      </c>
    </row>
    <row r="112" spans="1:35" x14ac:dyDescent="0.3">
      <c r="A112" s="209"/>
      <c r="B112" s="50" t="s">
        <v>140</v>
      </c>
      <c r="C112" s="47" t="s">
        <v>121</v>
      </c>
      <c r="D112" s="47" t="s">
        <v>121</v>
      </c>
      <c r="E112" s="47" t="s">
        <v>121</v>
      </c>
      <c r="F112" s="47" t="s">
        <v>121</v>
      </c>
      <c r="G112" s="47" t="s">
        <v>121</v>
      </c>
      <c r="H112" s="47" t="s">
        <v>121</v>
      </c>
      <c r="I112" s="47" t="s">
        <v>121</v>
      </c>
      <c r="J112" s="47" t="s">
        <v>121</v>
      </c>
      <c r="K112" s="47" t="s">
        <v>121</v>
      </c>
      <c r="L112" s="47" t="s">
        <v>121</v>
      </c>
      <c r="M112" s="47" t="s">
        <v>121</v>
      </c>
      <c r="N112" s="47" t="s">
        <v>121</v>
      </c>
      <c r="O112" s="47" t="s">
        <v>121</v>
      </c>
      <c r="P112" s="47" t="s">
        <v>121</v>
      </c>
      <c r="Q112" s="47" t="s">
        <v>121</v>
      </c>
      <c r="R112" s="47" t="s">
        <v>121</v>
      </c>
      <c r="S112" s="47" t="s">
        <v>121</v>
      </c>
      <c r="T112" s="47" t="s">
        <v>121</v>
      </c>
      <c r="U112" s="47" t="s">
        <v>121</v>
      </c>
      <c r="V112" s="47" t="s">
        <v>121</v>
      </c>
      <c r="W112" s="47" t="s">
        <v>121</v>
      </c>
      <c r="X112" s="47" t="s">
        <v>121</v>
      </c>
      <c r="Y112" s="47" t="s">
        <v>121</v>
      </c>
      <c r="Z112" s="47" t="s">
        <v>121</v>
      </c>
      <c r="AA112" s="47" t="s">
        <v>121</v>
      </c>
      <c r="AB112" s="47" t="s">
        <v>121</v>
      </c>
      <c r="AC112" s="47" t="s">
        <v>121</v>
      </c>
      <c r="AD112" s="47" t="s">
        <v>121</v>
      </c>
      <c r="AE112" s="47" t="s">
        <v>121</v>
      </c>
      <c r="AF112" s="47" t="s">
        <v>121</v>
      </c>
      <c r="AG112" s="47" t="s">
        <v>121</v>
      </c>
      <c r="AH112" s="47" t="s">
        <v>121</v>
      </c>
      <c r="AI112" s="47" t="s">
        <v>121</v>
      </c>
    </row>
    <row r="113" spans="1:35" x14ac:dyDescent="0.3">
      <c r="A113" s="209"/>
      <c r="B113" s="44" t="s">
        <v>141</v>
      </c>
      <c r="C113" s="48">
        <v>4743.1530000000002</v>
      </c>
      <c r="D113" s="48">
        <v>5097.7089999999998</v>
      </c>
      <c r="E113" s="48">
        <v>5024.0630000000001</v>
      </c>
      <c r="F113" s="48">
        <v>4329.8990000000003</v>
      </c>
      <c r="G113" s="48">
        <v>5399.2479999999996</v>
      </c>
      <c r="H113" s="48">
        <v>6021.1639999999998</v>
      </c>
      <c r="I113" s="48">
        <v>5339.4139999999998</v>
      </c>
      <c r="J113" s="48">
        <v>5939.26</v>
      </c>
      <c r="K113" s="48">
        <v>6497.3130000000001</v>
      </c>
      <c r="L113" s="48">
        <v>6712.4889999999996</v>
      </c>
      <c r="M113" s="48">
        <v>7231.0050000000001</v>
      </c>
      <c r="N113" s="48">
        <v>7224.585</v>
      </c>
      <c r="O113" s="48">
        <v>7000.55</v>
      </c>
      <c r="P113" s="48">
        <v>7708.4740000000002</v>
      </c>
      <c r="Q113" s="48">
        <v>8102.027</v>
      </c>
      <c r="R113" s="48">
        <v>8881.5959999999995</v>
      </c>
      <c r="S113" s="48">
        <v>6875.8940000000002</v>
      </c>
      <c r="T113" s="48">
        <v>6299.69</v>
      </c>
      <c r="U113" s="48">
        <v>6209.9409999999998</v>
      </c>
      <c r="V113" s="48">
        <v>4461.7960000000003</v>
      </c>
      <c r="W113" s="48">
        <v>7420.4930000000004</v>
      </c>
      <c r="X113" s="48">
        <v>7226.8810000000003</v>
      </c>
      <c r="Y113" s="48">
        <v>6686.26</v>
      </c>
      <c r="Z113" s="48">
        <v>6370.2120000000004</v>
      </c>
      <c r="AA113" s="48">
        <v>6793.6509999999998</v>
      </c>
      <c r="AB113" s="48">
        <v>6582.1329999999998</v>
      </c>
      <c r="AC113" s="48">
        <v>7196.2439999999997</v>
      </c>
      <c r="AD113" s="48">
        <v>7628.4080000000004</v>
      </c>
      <c r="AE113" s="48">
        <v>8113.1959999999999</v>
      </c>
      <c r="AF113" s="48">
        <v>8472.9689999999991</v>
      </c>
      <c r="AG113" s="48">
        <v>8019.46</v>
      </c>
      <c r="AH113" s="48">
        <v>8831.6530000000002</v>
      </c>
      <c r="AI113" s="46" t="s">
        <v>121</v>
      </c>
    </row>
    <row r="114" spans="1:35" x14ac:dyDescent="0.3">
      <c r="A114" s="209"/>
      <c r="B114" s="50" t="s">
        <v>142</v>
      </c>
      <c r="C114" s="49">
        <v>4114.0990000000002</v>
      </c>
      <c r="D114" s="49">
        <v>4474.5690000000004</v>
      </c>
      <c r="E114" s="49">
        <v>4377.165</v>
      </c>
      <c r="F114" s="49">
        <v>3708.9989999999998</v>
      </c>
      <c r="G114" s="49">
        <v>4730.6850000000004</v>
      </c>
      <c r="H114" s="49">
        <v>5305.9</v>
      </c>
      <c r="I114" s="49">
        <v>4581.4319999999998</v>
      </c>
      <c r="J114" s="49">
        <v>5120.5829999999996</v>
      </c>
      <c r="K114" s="49">
        <v>5517.3819999999996</v>
      </c>
      <c r="L114" s="49">
        <v>5743.25</v>
      </c>
      <c r="M114" s="49">
        <v>6172.7380000000003</v>
      </c>
      <c r="N114" s="49">
        <v>6159.0249999999996</v>
      </c>
      <c r="O114" s="49">
        <v>5927.7240000000002</v>
      </c>
      <c r="P114" s="49">
        <v>6565.2049999999999</v>
      </c>
      <c r="Q114" s="49">
        <v>6869.83</v>
      </c>
      <c r="R114" s="49">
        <v>7586.3680000000004</v>
      </c>
      <c r="S114" s="49">
        <v>5649.4780000000001</v>
      </c>
      <c r="T114" s="49">
        <v>4918.9449999999997</v>
      </c>
      <c r="U114" s="49">
        <v>4930.6949999999997</v>
      </c>
      <c r="V114" s="49">
        <v>3457.7289999999998</v>
      </c>
      <c r="W114" s="49">
        <v>7116.7129999999997</v>
      </c>
      <c r="X114" s="49">
        <v>6870.9440000000004</v>
      </c>
      <c r="Y114" s="49">
        <v>6351.098</v>
      </c>
      <c r="Z114" s="49">
        <v>6015.2759999999998</v>
      </c>
      <c r="AA114" s="49">
        <v>6368.6</v>
      </c>
      <c r="AB114" s="49">
        <v>6172.5590000000002</v>
      </c>
      <c r="AC114" s="49">
        <v>6727.5320000000002</v>
      </c>
      <c r="AD114" s="49">
        <v>7205.0349999999999</v>
      </c>
      <c r="AE114" s="49">
        <v>7637.5159999999996</v>
      </c>
      <c r="AF114" s="49">
        <v>8067.4369999999999</v>
      </c>
      <c r="AG114" s="49">
        <v>7649.5429999999997</v>
      </c>
      <c r="AH114" s="49">
        <v>8441.268</v>
      </c>
      <c r="AI114" s="47" t="s">
        <v>121</v>
      </c>
    </row>
    <row r="115" spans="1:35" x14ac:dyDescent="0.3">
      <c r="A115" s="209"/>
      <c r="B115" s="50" t="s">
        <v>143</v>
      </c>
      <c r="C115" s="48">
        <v>629.05399999999997</v>
      </c>
      <c r="D115" s="48">
        <v>623.14</v>
      </c>
      <c r="E115" s="48">
        <v>646.89800000000002</v>
      </c>
      <c r="F115" s="48">
        <v>620.90099999999995</v>
      </c>
      <c r="G115" s="48">
        <v>668.56200000000001</v>
      </c>
      <c r="H115" s="48">
        <v>715.26400000000001</v>
      </c>
      <c r="I115" s="48">
        <v>757.98199999999997</v>
      </c>
      <c r="J115" s="48">
        <v>818.67700000000002</v>
      </c>
      <c r="K115" s="48">
        <v>979.93100000000004</v>
      </c>
      <c r="L115" s="48">
        <v>969.23900000000003</v>
      </c>
      <c r="M115" s="48">
        <v>1058.2670000000001</v>
      </c>
      <c r="N115" s="48">
        <v>1065.56</v>
      </c>
      <c r="O115" s="48">
        <v>1072.827</v>
      </c>
      <c r="P115" s="48">
        <v>1143.268</v>
      </c>
      <c r="Q115" s="48">
        <v>1232.1969999999999</v>
      </c>
      <c r="R115" s="48">
        <v>1295.2280000000001</v>
      </c>
      <c r="S115" s="48">
        <v>1226.4159999999999</v>
      </c>
      <c r="T115" s="48">
        <v>1380.7449999999999</v>
      </c>
      <c r="U115" s="48">
        <v>1279.2460000000001</v>
      </c>
      <c r="V115" s="48">
        <v>1004.067</v>
      </c>
      <c r="W115" s="48">
        <v>303.77999999999997</v>
      </c>
      <c r="X115" s="48">
        <v>355.93700000000001</v>
      </c>
      <c r="Y115" s="48">
        <v>335.16199999999998</v>
      </c>
      <c r="Z115" s="48">
        <v>354.93599999999998</v>
      </c>
      <c r="AA115" s="48">
        <v>425.05099999999999</v>
      </c>
      <c r="AB115" s="48">
        <v>409.57400000000001</v>
      </c>
      <c r="AC115" s="48">
        <v>468.71199999999999</v>
      </c>
      <c r="AD115" s="48">
        <v>423.37299999999999</v>
      </c>
      <c r="AE115" s="48">
        <v>475.68099999999998</v>
      </c>
      <c r="AF115" s="48">
        <v>405.53199999999998</v>
      </c>
      <c r="AG115" s="48">
        <v>369.91699999999997</v>
      </c>
      <c r="AH115" s="48">
        <v>390.38499999999999</v>
      </c>
      <c r="AI115" s="46" t="s">
        <v>121</v>
      </c>
    </row>
    <row r="116" spans="1:35" x14ac:dyDescent="0.3">
      <c r="A116" s="209"/>
      <c r="B116" s="50" t="s">
        <v>144</v>
      </c>
      <c r="C116" s="49">
        <v>779.74699999999996</v>
      </c>
      <c r="D116" s="49">
        <v>779.21299999999997</v>
      </c>
      <c r="E116" s="49">
        <v>789.48900000000003</v>
      </c>
      <c r="F116" s="49">
        <v>738.30499999999995</v>
      </c>
      <c r="G116" s="49">
        <v>777.08799999999997</v>
      </c>
      <c r="H116" s="49">
        <v>809.02099999999996</v>
      </c>
      <c r="I116" s="49">
        <v>863.06600000000003</v>
      </c>
      <c r="J116" s="49">
        <v>830.00400000000002</v>
      </c>
      <c r="K116" s="49">
        <v>902.63400000000001</v>
      </c>
      <c r="L116" s="49">
        <v>895.45699999999999</v>
      </c>
      <c r="M116" s="49">
        <v>878.99699999999996</v>
      </c>
      <c r="N116" s="49">
        <v>946.35500000000002</v>
      </c>
      <c r="O116" s="49">
        <v>950.87900000000002</v>
      </c>
      <c r="P116" s="49">
        <v>975.74199999999996</v>
      </c>
      <c r="Q116" s="49">
        <v>1028.8009999999999</v>
      </c>
      <c r="R116" s="49">
        <v>1054.2360000000001</v>
      </c>
      <c r="S116" s="49">
        <v>1044.98</v>
      </c>
      <c r="T116" s="49">
        <v>1035.692</v>
      </c>
      <c r="U116" s="49">
        <v>1033.7</v>
      </c>
      <c r="V116" s="49">
        <v>970.55700000000002</v>
      </c>
      <c r="W116" s="49">
        <v>989.875</v>
      </c>
      <c r="X116" s="49">
        <v>1236.5340000000001</v>
      </c>
      <c r="Y116" s="49">
        <v>1270.6020000000001</v>
      </c>
      <c r="Z116" s="49">
        <v>1280.32</v>
      </c>
      <c r="AA116" s="49">
        <v>1262.0440000000001</v>
      </c>
      <c r="AB116" s="49">
        <v>1261.2639999999999</v>
      </c>
      <c r="AC116" s="49">
        <v>1282.1379999999999</v>
      </c>
      <c r="AD116" s="49">
        <v>1305.5999999999999</v>
      </c>
      <c r="AE116" s="49">
        <v>1310.6189999999999</v>
      </c>
      <c r="AF116" s="49">
        <v>1320.415</v>
      </c>
      <c r="AG116" s="49">
        <v>1312.509</v>
      </c>
      <c r="AH116" s="49">
        <v>1444.588</v>
      </c>
      <c r="AI116" s="47" t="s">
        <v>121</v>
      </c>
    </row>
    <row r="117" spans="1:35" x14ac:dyDescent="0.3">
      <c r="A117" s="209"/>
      <c r="B117" s="50" t="s">
        <v>145</v>
      </c>
      <c r="C117" s="48">
        <v>569.22</v>
      </c>
      <c r="D117" s="48">
        <v>569.11599999999999</v>
      </c>
      <c r="E117" s="48">
        <v>575.71</v>
      </c>
      <c r="F117" s="48">
        <v>541.30899999999997</v>
      </c>
      <c r="G117" s="48">
        <v>577.90300000000002</v>
      </c>
      <c r="H117" s="48">
        <v>590.90800000000002</v>
      </c>
      <c r="I117" s="48">
        <v>636.60199999999998</v>
      </c>
      <c r="J117" s="48">
        <v>604.40599999999995</v>
      </c>
      <c r="K117" s="48">
        <v>645.90499999999997</v>
      </c>
      <c r="L117" s="48">
        <v>642.29499999999996</v>
      </c>
      <c r="M117" s="48">
        <v>642.06200000000001</v>
      </c>
      <c r="N117" s="48">
        <v>686.30100000000004</v>
      </c>
      <c r="O117" s="48">
        <v>695.16099999999994</v>
      </c>
      <c r="P117" s="48">
        <v>696.90700000000004</v>
      </c>
      <c r="Q117" s="48">
        <v>737.31500000000005</v>
      </c>
      <c r="R117" s="48">
        <v>744.48500000000001</v>
      </c>
      <c r="S117" s="48">
        <v>748.774</v>
      </c>
      <c r="T117" s="48">
        <v>737.43499999999995</v>
      </c>
      <c r="U117" s="48">
        <v>739.06799999999998</v>
      </c>
      <c r="V117" s="48">
        <v>678.40700000000004</v>
      </c>
      <c r="W117" s="48">
        <v>687.399</v>
      </c>
      <c r="X117" s="48">
        <v>909.298</v>
      </c>
      <c r="Y117" s="48">
        <v>866.26499999999999</v>
      </c>
      <c r="Z117" s="48">
        <v>887.04399999999998</v>
      </c>
      <c r="AA117" s="48">
        <v>872.01800000000003</v>
      </c>
      <c r="AB117" s="48">
        <v>861.96</v>
      </c>
      <c r="AC117" s="48">
        <v>871.17200000000003</v>
      </c>
      <c r="AD117" s="48">
        <v>884.50400000000002</v>
      </c>
      <c r="AE117" s="48">
        <v>879.72400000000005</v>
      </c>
      <c r="AF117" s="48">
        <v>880.971</v>
      </c>
      <c r="AG117" s="48">
        <v>864.77499999999998</v>
      </c>
      <c r="AH117" s="48">
        <v>928.54499999999996</v>
      </c>
      <c r="AI117" s="46" t="s">
        <v>121</v>
      </c>
    </row>
    <row r="118" spans="1:35" x14ac:dyDescent="0.3">
      <c r="A118" s="209"/>
      <c r="B118" s="50" t="s">
        <v>146</v>
      </c>
      <c r="C118" s="49">
        <v>210.52799999999999</v>
      </c>
      <c r="D118" s="49">
        <v>210.09700000000001</v>
      </c>
      <c r="E118" s="49">
        <v>213.779</v>
      </c>
      <c r="F118" s="49">
        <v>196.99700000000001</v>
      </c>
      <c r="G118" s="49">
        <v>199.18600000000001</v>
      </c>
      <c r="H118" s="49">
        <v>218.113</v>
      </c>
      <c r="I118" s="49">
        <v>226.464</v>
      </c>
      <c r="J118" s="49">
        <v>225.59800000000001</v>
      </c>
      <c r="K118" s="49">
        <v>256.72899999999998</v>
      </c>
      <c r="L118" s="49">
        <v>253.16300000000001</v>
      </c>
      <c r="M118" s="49">
        <v>236.935</v>
      </c>
      <c r="N118" s="49">
        <v>260.05399999999997</v>
      </c>
      <c r="O118" s="49">
        <v>255.71799999999999</v>
      </c>
      <c r="P118" s="49">
        <v>278.83499999999998</v>
      </c>
      <c r="Q118" s="49">
        <v>291.48500000000001</v>
      </c>
      <c r="R118" s="49">
        <v>309.75099999999998</v>
      </c>
      <c r="S118" s="49">
        <v>296.20600000000002</v>
      </c>
      <c r="T118" s="49">
        <v>298.25700000000001</v>
      </c>
      <c r="U118" s="49">
        <v>294.63200000000001</v>
      </c>
      <c r="V118" s="49">
        <v>292.14999999999998</v>
      </c>
      <c r="W118" s="49">
        <v>302.476</v>
      </c>
      <c r="X118" s="49">
        <v>327.23599999999999</v>
      </c>
      <c r="Y118" s="49">
        <v>404.33699999999999</v>
      </c>
      <c r="Z118" s="49">
        <v>393.27699999999999</v>
      </c>
      <c r="AA118" s="49">
        <v>390.02600000000001</v>
      </c>
      <c r="AB118" s="49">
        <v>399.30399999999997</v>
      </c>
      <c r="AC118" s="49">
        <v>410.96600000000001</v>
      </c>
      <c r="AD118" s="49">
        <v>421.096</v>
      </c>
      <c r="AE118" s="49">
        <v>430.89499999999998</v>
      </c>
      <c r="AF118" s="49">
        <v>439.44400000000002</v>
      </c>
      <c r="AG118" s="49">
        <v>447.73399999999998</v>
      </c>
      <c r="AH118" s="49">
        <v>516.04300000000001</v>
      </c>
      <c r="AI118" s="47" t="s">
        <v>121</v>
      </c>
    </row>
    <row r="119" spans="1:35" x14ac:dyDescent="0.3">
      <c r="A119" s="209"/>
      <c r="B119" s="50" t="s">
        <v>147</v>
      </c>
      <c r="C119" s="46" t="s">
        <v>121</v>
      </c>
      <c r="D119" s="46" t="s">
        <v>121</v>
      </c>
      <c r="E119" s="46" t="s">
        <v>121</v>
      </c>
      <c r="F119" s="46" t="s">
        <v>121</v>
      </c>
      <c r="G119" s="46" t="s">
        <v>121</v>
      </c>
      <c r="H119" s="46" t="s">
        <v>121</v>
      </c>
      <c r="I119" s="46" t="s">
        <v>121</v>
      </c>
      <c r="J119" s="46" t="s">
        <v>121</v>
      </c>
      <c r="K119" s="46" t="s">
        <v>121</v>
      </c>
      <c r="L119" s="46" t="s">
        <v>121</v>
      </c>
      <c r="M119" s="46" t="s">
        <v>121</v>
      </c>
      <c r="N119" s="46" t="s">
        <v>121</v>
      </c>
      <c r="O119" s="46" t="s">
        <v>121</v>
      </c>
      <c r="P119" s="46" t="s">
        <v>121</v>
      </c>
      <c r="Q119" s="46" t="s">
        <v>121</v>
      </c>
      <c r="R119" s="46" t="s">
        <v>121</v>
      </c>
      <c r="S119" s="46" t="s">
        <v>121</v>
      </c>
      <c r="T119" s="46" t="s">
        <v>121</v>
      </c>
      <c r="U119" s="46" t="s">
        <v>121</v>
      </c>
      <c r="V119" s="46" t="s">
        <v>121</v>
      </c>
      <c r="W119" s="46" t="s">
        <v>121</v>
      </c>
      <c r="X119" s="46" t="s">
        <v>121</v>
      </c>
      <c r="Y119" s="46" t="s">
        <v>121</v>
      </c>
      <c r="Z119" s="46" t="s">
        <v>121</v>
      </c>
      <c r="AA119" s="46" t="s">
        <v>121</v>
      </c>
      <c r="AB119" s="46" t="s">
        <v>121</v>
      </c>
      <c r="AC119" s="46" t="s">
        <v>121</v>
      </c>
      <c r="AD119" s="46" t="s">
        <v>121</v>
      </c>
      <c r="AE119" s="46" t="s">
        <v>121</v>
      </c>
      <c r="AF119" s="46" t="s">
        <v>121</v>
      </c>
      <c r="AG119" s="46" t="s">
        <v>121</v>
      </c>
      <c r="AH119" s="46" t="s">
        <v>121</v>
      </c>
      <c r="AI119" s="46" t="s">
        <v>121</v>
      </c>
    </row>
    <row r="120" spans="1:35" x14ac:dyDescent="0.3">
      <c r="A120" s="209"/>
      <c r="B120" s="50" t="s">
        <v>150</v>
      </c>
      <c r="C120" s="49">
        <v>2646.0250000000001</v>
      </c>
      <c r="D120" s="49">
        <v>2914.6329999999998</v>
      </c>
      <c r="E120" s="49">
        <v>3179.4070000000002</v>
      </c>
      <c r="F120" s="49">
        <v>3064.0450000000001</v>
      </c>
      <c r="G120" s="49">
        <v>3421.6480000000001</v>
      </c>
      <c r="H120" s="49">
        <v>3474.8519999999999</v>
      </c>
      <c r="I120" s="49">
        <v>3126.779</v>
      </c>
      <c r="J120" s="49">
        <v>3133.7240000000002</v>
      </c>
      <c r="K120" s="49">
        <v>3341.413</v>
      </c>
      <c r="L120" s="49">
        <v>3510.1790000000001</v>
      </c>
      <c r="M120" s="49">
        <v>3536.72</v>
      </c>
      <c r="N120" s="49">
        <v>3360.7</v>
      </c>
      <c r="O120" s="49">
        <v>3219.8829999999998</v>
      </c>
      <c r="P120" s="49">
        <v>3186.0070000000001</v>
      </c>
      <c r="Q120" s="49">
        <v>3236.2269999999999</v>
      </c>
      <c r="R120" s="49">
        <v>3220.7139999999999</v>
      </c>
      <c r="S120" s="49">
        <v>3178.9340000000002</v>
      </c>
      <c r="T120" s="49">
        <v>3411.5149999999999</v>
      </c>
      <c r="U120" s="49">
        <v>3332.317</v>
      </c>
      <c r="V120" s="49">
        <v>2880.6640000000002</v>
      </c>
      <c r="W120" s="49">
        <v>3270.857</v>
      </c>
      <c r="X120" s="49">
        <v>3891.6010000000001</v>
      </c>
      <c r="Y120" s="49">
        <v>3982.3470000000002</v>
      </c>
      <c r="Z120" s="49">
        <v>4084.9850000000001</v>
      </c>
      <c r="AA120" s="49">
        <v>4267.085</v>
      </c>
      <c r="AB120" s="49">
        <v>4315.92</v>
      </c>
      <c r="AC120" s="49">
        <v>4194.0990000000002</v>
      </c>
      <c r="AD120" s="49">
        <v>4199.6390000000001</v>
      </c>
      <c r="AE120" s="49">
        <v>4115.41</v>
      </c>
      <c r="AF120" s="49">
        <v>4117.6639999999998</v>
      </c>
      <c r="AG120" s="49">
        <v>4016.163</v>
      </c>
      <c r="AH120" s="49">
        <v>4504.0680000000002</v>
      </c>
      <c r="AI120" s="47" t="s">
        <v>121</v>
      </c>
    </row>
    <row r="121" spans="1:35" x14ac:dyDescent="0.3">
      <c r="A121" s="209"/>
      <c r="B121" s="50" t="s">
        <v>152</v>
      </c>
      <c r="C121" s="48">
        <v>237.572</v>
      </c>
      <c r="D121" s="48">
        <v>278.24099999999999</v>
      </c>
      <c r="E121" s="48">
        <v>241.29900000000001</v>
      </c>
      <c r="F121" s="48">
        <v>201.45</v>
      </c>
      <c r="G121" s="48">
        <v>219.35</v>
      </c>
      <c r="H121" s="48">
        <v>205.929</v>
      </c>
      <c r="I121" s="48">
        <v>169.02500000000001</v>
      </c>
      <c r="J121" s="48">
        <v>115.876</v>
      </c>
      <c r="K121" s="48">
        <v>117.491</v>
      </c>
      <c r="L121" s="48">
        <v>125.688</v>
      </c>
      <c r="M121" s="48">
        <v>127.301</v>
      </c>
      <c r="N121" s="48">
        <v>83.524000000000001</v>
      </c>
      <c r="O121" s="48">
        <v>74.341999999999999</v>
      </c>
      <c r="P121" s="48">
        <v>67.543999999999997</v>
      </c>
      <c r="Q121" s="48">
        <v>74.597999999999999</v>
      </c>
      <c r="R121" s="48">
        <v>77.563999999999993</v>
      </c>
      <c r="S121" s="48">
        <v>31.158000000000001</v>
      </c>
      <c r="T121" s="48">
        <v>26.177</v>
      </c>
      <c r="U121" s="48">
        <v>28.57</v>
      </c>
      <c r="V121" s="48">
        <v>18.21</v>
      </c>
      <c r="W121" s="48">
        <v>57.960999999999999</v>
      </c>
      <c r="X121" s="48">
        <v>46.286000000000001</v>
      </c>
      <c r="Y121" s="48">
        <v>51.238999999999997</v>
      </c>
      <c r="Z121" s="48">
        <v>51.088999999999999</v>
      </c>
      <c r="AA121" s="48">
        <v>41.506</v>
      </c>
      <c r="AB121" s="48">
        <v>32.734999999999999</v>
      </c>
      <c r="AC121" s="48">
        <v>29.512</v>
      </c>
      <c r="AD121" s="48">
        <v>26.74</v>
      </c>
      <c r="AE121" s="48">
        <v>31.763999999999999</v>
      </c>
      <c r="AF121" s="48">
        <v>35.14</v>
      </c>
      <c r="AG121" s="48">
        <v>36.786999999999999</v>
      </c>
      <c r="AH121" s="48">
        <v>42.162999999999997</v>
      </c>
      <c r="AI121" s="46" t="s">
        <v>121</v>
      </c>
    </row>
    <row r="122" spans="1:35" x14ac:dyDescent="0.3">
      <c r="A122" s="209"/>
      <c r="B122" s="50" t="s">
        <v>153</v>
      </c>
      <c r="C122" s="49">
        <v>1109.2750000000001</v>
      </c>
      <c r="D122" s="49">
        <v>1162.585</v>
      </c>
      <c r="E122" s="49">
        <v>1160.3</v>
      </c>
      <c r="F122" s="49">
        <v>1145.4880000000001</v>
      </c>
      <c r="G122" s="49">
        <v>1207.1320000000001</v>
      </c>
      <c r="H122" s="49">
        <v>1225.8920000000001</v>
      </c>
      <c r="I122" s="49">
        <v>1104.431</v>
      </c>
      <c r="J122" s="49">
        <v>1075.5920000000001</v>
      </c>
      <c r="K122" s="49">
        <v>1157.569</v>
      </c>
      <c r="L122" s="49">
        <v>1201.2619999999999</v>
      </c>
      <c r="M122" s="49">
        <v>1206.7449999999999</v>
      </c>
      <c r="N122" s="49">
        <v>1080.1469999999999</v>
      </c>
      <c r="O122" s="49">
        <v>1093.2750000000001</v>
      </c>
      <c r="P122" s="49">
        <v>1141.508</v>
      </c>
      <c r="Q122" s="49">
        <v>1204.4290000000001</v>
      </c>
      <c r="R122" s="49">
        <v>1291.018</v>
      </c>
      <c r="S122" s="49">
        <v>1312.818</v>
      </c>
      <c r="T122" s="49">
        <v>1390.9680000000001</v>
      </c>
      <c r="U122" s="49">
        <v>1431.1969999999999</v>
      </c>
      <c r="V122" s="49">
        <v>1217.527</v>
      </c>
      <c r="W122" s="49">
        <v>1232.751</v>
      </c>
      <c r="X122" s="49">
        <v>1472.11</v>
      </c>
      <c r="Y122" s="49">
        <v>1532.4690000000001</v>
      </c>
      <c r="Z122" s="49">
        <v>1554.9580000000001</v>
      </c>
      <c r="AA122" s="49">
        <v>1618.1020000000001</v>
      </c>
      <c r="AB122" s="49">
        <v>1568.4190000000001</v>
      </c>
      <c r="AC122" s="49">
        <v>1516.777</v>
      </c>
      <c r="AD122" s="49">
        <v>1523.751</v>
      </c>
      <c r="AE122" s="49">
        <v>1557.55</v>
      </c>
      <c r="AF122" s="49">
        <v>1541.489</v>
      </c>
      <c r="AG122" s="49">
        <v>1427.2380000000001</v>
      </c>
      <c r="AH122" s="49">
        <v>1601.1949999999999</v>
      </c>
      <c r="AI122" s="47" t="s">
        <v>121</v>
      </c>
    </row>
    <row r="123" spans="1:35" x14ac:dyDescent="0.3">
      <c r="A123" s="209"/>
      <c r="B123" s="50" t="s">
        <v>154</v>
      </c>
      <c r="C123" s="48">
        <v>674.87900000000002</v>
      </c>
      <c r="D123" s="48">
        <v>844.12199999999996</v>
      </c>
      <c r="E123" s="48">
        <v>1106.4549999999999</v>
      </c>
      <c r="F123" s="48">
        <v>1115.732</v>
      </c>
      <c r="G123" s="48">
        <v>1277.444</v>
      </c>
      <c r="H123" s="48">
        <v>1391.163</v>
      </c>
      <c r="I123" s="48">
        <v>1403.8979999999999</v>
      </c>
      <c r="J123" s="48">
        <v>1468.2550000000001</v>
      </c>
      <c r="K123" s="48">
        <v>1616.7929999999999</v>
      </c>
      <c r="L123" s="48">
        <v>1784.7719999999999</v>
      </c>
      <c r="M123" s="48">
        <v>1828.41</v>
      </c>
      <c r="N123" s="48">
        <v>1839.896</v>
      </c>
      <c r="O123" s="48">
        <v>1712.0630000000001</v>
      </c>
      <c r="P123" s="48">
        <v>1655.673</v>
      </c>
      <c r="Q123" s="48">
        <v>1639.683</v>
      </c>
      <c r="R123" s="48">
        <v>1548.2260000000001</v>
      </c>
      <c r="S123" s="48">
        <v>1580.452</v>
      </c>
      <c r="T123" s="48">
        <v>1731.021</v>
      </c>
      <c r="U123" s="48">
        <v>1622.078</v>
      </c>
      <c r="V123" s="48">
        <v>1443.7570000000001</v>
      </c>
      <c r="W123" s="48">
        <v>1525.537</v>
      </c>
      <c r="X123" s="48">
        <v>1855.954</v>
      </c>
      <c r="Y123" s="48">
        <v>1872.941</v>
      </c>
      <c r="Z123" s="48">
        <v>1911.722</v>
      </c>
      <c r="AA123" s="48">
        <v>2009.3019999999999</v>
      </c>
      <c r="AB123" s="48">
        <v>2072.556</v>
      </c>
      <c r="AC123" s="48">
        <v>1975.912</v>
      </c>
      <c r="AD123" s="48">
        <v>1938.7260000000001</v>
      </c>
      <c r="AE123" s="48">
        <v>1836.998</v>
      </c>
      <c r="AF123" s="48">
        <v>1772.559</v>
      </c>
      <c r="AG123" s="48">
        <v>1713.93</v>
      </c>
      <c r="AH123" s="48">
        <v>1838.279</v>
      </c>
      <c r="AI123" s="46" t="s">
        <v>121</v>
      </c>
    </row>
    <row r="124" spans="1:35" x14ac:dyDescent="0.3">
      <c r="A124" s="209"/>
      <c r="B124" s="50" t="s">
        <v>155</v>
      </c>
      <c r="C124" s="49">
        <v>624.29899999999998</v>
      </c>
      <c r="D124" s="49">
        <v>629.68399999999997</v>
      </c>
      <c r="E124" s="49">
        <v>671.35199999999998</v>
      </c>
      <c r="F124" s="49">
        <v>601.375</v>
      </c>
      <c r="G124" s="49">
        <v>717.721</v>
      </c>
      <c r="H124" s="49">
        <v>651.86699999999996</v>
      </c>
      <c r="I124" s="49">
        <v>449.42500000000001</v>
      </c>
      <c r="J124" s="49">
        <v>474.00099999999998</v>
      </c>
      <c r="K124" s="49">
        <v>449.56</v>
      </c>
      <c r="L124" s="49">
        <v>398.45699999999999</v>
      </c>
      <c r="M124" s="49">
        <v>374.26400000000001</v>
      </c>
      <c r="N124" s="49">
        <v>357.13299999999998</v>
      </c>
      <c r="O124" s="49">
        <v>340.202</v>
      </c>
      <c r="P124" s="49">
        <v>321.28199999999998</v>
      </c>
      <c r="Q124" s="49">
        <v>317.51600000000002</v>
      </c>
      <c r="R124" s="49">
        <v>303.90699999999998</v>
      </c>
      <c r="S124" s="49">
        <v>254.506</v>
      </c>
      <c r="T124" s="49">
        <v>263.34899999999999</v>
      </c>
      <c r="U124" s="49">
        <v>250.47200000000001</v>
      </c>
      <c r="V124" s="49">
        <v>201.17</v>
      </c>
      <c r="W124" s="49">
        <v>454.60899999999998</v>
      </c>
      <c r="X124" s="49">
        <v>517.25199999999995</v>
      </c>
      <c r="Y124" s="49">
        <v>525.69799999999998</v>
      </c>
      <c r="Z124" s="49">
        <v>567.21699999999998</v>
      </c>
      <c r="AA124" s="49">
        <v>598.17499999999995</v>
      </c>
      <c r="AB124" s="49">
        <v>642.21</v>
      </c>
      <c r="AC124" s="49">
        <v>671.89800000000002</v>
      </c>
      <c r="AD124" s="49">
        <v>710.42200000000003</v>
      </c>
      <c r="AE124" s="49">
        <v>689.09799999999996</v>
      </c>
      <c r="AF124" s="49">
        <v>768.47699999999998</v>
      </c>
      <c r="AG124" s="49">
        <v>838.20899999999995</v>
      </c>
      <c r="AH124" s="49">
        <v>1022.432</v>
      </c>
      <c r="AI124" s="47" t="s">
        <v>121</v>
      </c>
    </row>
    <row r="125" spans="1:35" x14ac:dyDescent="0.3">
      <c r="A125" s="209"/>
      <c r="B125" s="50" t="s">
        <v>156</v>
      </c>
      <c r="C125" s="48">
        <v>18464.325000000001</v>
      </c>
      <c r="D125" s="48">
        <v>19247.994999999999</v>
      </c>
      <c r="E125" s="48">
        <v>19502.741999999998</v>
      </c>
      <c r="F125" s="48">
        <v>20770.656999999999</v>
      </c>
      <c r="G125" s="48">
        <v>22907.429</v>
      </c>
      <c r="H125" s="48">
        <v>22737.493999999999</v>
      </c>
      <c r="I125" s="48">
        <v>21698.786</v>
      </c>
      <c r="J125" s="48">
        <v>23756.87</v>
      </c>
      <c r="K125" s="48">
        <v>25328.146000000001</v>
      </c>
      <c r="L125" s="48">
        <v>27366.361000000001</v>
      </c>
      <c r="M125" s="48">
        <v>27099.608</v>
      </c>
      <c r="N125" s="48">
        <v>24059.366000000002</v>
      </c>
      <c r="O125" s="48">
        <v>26127.045999999998</v>
      </c>
      <c r="P125" s="48">
        <v>25952.870999999999</v>
      </c>
      <c r="Q125" s="48">
        <v>31997.722000000002</v>
      </c>
      <c r="R125" s="48">
        <v>32426.858</v>
      </c>
      <c r="S125" s="48">
        <v>32356.794000000002</v>
      </c>
      <c r="T125" s="48">
        <v>28182.357</v>
      </c>
      <c r="U125" s="48">
        <v>34152.069000000003</v>
      </c>
      <c r="V125" s="48">
        <v>24816.781999999999</v>
      </c>
      <c r="W125" s="48">
        <v>23274.161</v>
      </c>
      <c r="X125" s="48">
        <v>36750.059000000001</v>
      </c>
      <c r="Y125" s="48">
        <v>34766.815000000002</v>
      </c>
      <c r="Z125" s="48">
        <v>34869.332999999999</v>
      </c>
      <c r="AA125" s="48">
        <v>33105.493999999999</v>
      </c>
      <c r="AB125" s="48">
        <v>35185.781000000003</v>
      </c>
      <c r="AC125" s="48">
        <v>31930.932000000001</v>
      </c>
      <c r="AD125" s="48">
        <v>29014.654999999999</v>
      </c>
      <c r="AE125" s="48">
        <v>28873.384999999998</v>
      </c>
      <c r="AF125" s="48">
        <v>29777.873</v>
      </c>
      <c r="AG125" s="48">
        <v>28644.416000000001</v>
      </c>
      <c r="AH125" s="48">
        <v>28881.396000000001</v>
      </c>
      <c r="AI125" s="46" t="s">
        <v>121</v>
      </c>
    </row>
    <row r="126" spans="1:35" x14ac:dyDescent="0.3">
      <c r="A126" s="209"/>
      <c r="B126" s="44" t="s">
        <v>157</v>
      </c>
      <c r="C126" s="49">
        <v>45012.311999999998</v>
      </c>
      <c r="D126" s="49">
        <v>43875.646999999997</v>
      </c>
      <c r="E126" s="49">
        <v>43538.889000000003</v>
      </c>
      <c r="F126" s="49">
        <v>39587.112000000001</v>
      </c>
      <c r="G126" s="49">
        <v>47121.377</v>
      </c>
      <c r="H126" s="49">
        <v>51224.796999999999</v>
      </c>
      <c r="I126" s="49">
        <v>47669.169000000002</v>
      </c>
      <c r="J126" s="49">
        <v>51918.773000000001</v>
      </c>
      <c r="K126" s="49">
        <v>55403.508000000002</v>
      </c>
      <c r="L126" s="49">
        <v>56881.798999999999</v>
      </c>
      <c r="M126" s="49">
        <v>62210.373</v>
      </c>
      <c r="N126" s="49">
        <v>57810.728999999999</v>
      </c>
      <c r="O126" s="49">
        <v>58673.133999999998</v>
      </c>
      <c r="P126" s="49">
        <v>58300.474999999999</v>
      </c>
      <c r="Q126" s="49">
        <v>62695.760999999999</v>
      </c>
      <c r="R126" s="49">
        <v>59782.644</v>
      </c>
      <c r="S126" s="49">
        <v>63597.574000000001</v>
      </c>
      <c r="T126" s="49">
        <v>66171.213000000003</v>
      </c>
      <c r="U126" s="49">
        <v>61598.631000000001</v>
      </c>
      <c r="V126" s="49">
        <v>37984.858999999997</v>
      </c>
      <c r="W126" s="49">
        <v>49526.436000000002</v>
      </c>
      <c r="X126" s="49">
        <v>59905.002</v>
      </c>
      <c r="Y126" s="49">
        <v>57244.298000000003</v>
      </c>
      <c r="Z126" s="49">
        <v>58344.216</v>
      </c>
      <c r="AA126" s="49">
        <v>61284.432999999997</v>
      </c>
      <c r="AB126" s="49">
        <v>61132.165999999997</v>
      </c>
      <c r="AC126" s="49">
        <v>60528.173000000003</v>
      </c>
      <c r="AD126" s="49">
        <v>64640.061000000002</v>
      </c>
      <c r="AE126" s="49">
        <v>66065.850999999995</v>
      </c>
      <c r="AF126" s="49">
        <v>63446.978999999999</v>
      </c>
      <c r="AG126" s="49">
        <v>54155.94</v>
      </c>
      <c r="AH126" s="49">
        <v>61683.614000000001</v>
      </c>
      <c r="AI126" s="49">
        <v>57942.981</v>
      </c>
    </row>
    <row r="127" spans="1:35" x14ac:dyDescent="0.3">
      <c r="A127" s="209"/>
      <c r="B127" s="50" t="s">
        <v>158</v>
      </c>
      <c r="C127" s="48">
        <v>31355.991000000002</v>
      </c>
      <c r="D127" s="48">
        <v>30657.651999999998</v>
      </c>
      <c r="E127" s="48">
        <v>29624.291000000001</v>
      </c>
      <c r="F127" s="48">
        <v>27344.156999999999</v>
      </c>
      <c r="G127" s="48">
        <v>33416.495000000003</v>
      </c>
      <c r="H127" s="48">
        <v>34947.019</v>
      </c>
      <c r="I127" s="48">
        <v>31980.232</v>
      </c>
      <c r="J127" s="48">
        <v>36417.381999999998</v>
      </c>
      <c r="K127" s="48">
        <v>38021.981</v>
      </c>
      <c r="L127" s="48">
        <v>38622.212</v>
      </c>
      <c r="M127" s="48">
        <v>41634.074999999997</v>
      </c>
      <c r="N127" s="48">
        <v>37028.928999999996</v>
      </c>
      <c r="O127" s="48">
        <v>38879.165000000001</v>
      </c>
      <c r="P127" s="48">
        <v>38162.817999999999</v>
      </c>
      <c r="Q127" s="48">
        <v>41769.016000000003</v>
      </c>
      <c r="R127" s="48">
        <v>38074.873</v>
      </c>
      <c r="S127" s="48">
        <v>40832.47</v>
      </c>
      <c r="T127" s="48">
        <v>42305.962</v>
      </c>
      <c r="U127" s="48">
        <v>39168.101999999999</v>
      </c>
      <c r="V127" s="48">
        <v>23022.115000000002</v>
      </c>
      <c r="W127" s="48">
        <v>31571.796999999999</v>
      </c>
      <c r="X127" s="48">
        <v>33033.154000000002</v>
      </c>
      <c r="Y127" s="48">
        <v>31754.003000000001</v>
      </c>
      <c r="Z127" s="48">
        <v>33206.985000000001</v>
      </c>
      <c r="AA127" s="48">
        <v>35291.476000000002</v>
      </c>
      <c r="AB127" s="48">
        <v>34212.947</v>
      </c>
      <c r="AC127" s="48">
        <v>32729.3</v>
      </c>
      <c r="AD127" s="48">
        <v>36033.319000000003</v>
      </c>
      <c r="AE127" s="48">
        <v>35685.671999999999</v>
      </c>
      <c r="AF127" s="48">
        <v>32644.471000000001</v>
      </c>
      <c r="AG127" s="48">
        <v>26840.614000000001</v>
      </c>
      <c r="AH127" s="48">
        <v>31426.661</v>
      </c>
      <c r="AI127" s="46" t="s">
        <v>121</v>
      </c>
    </row>
    <row r="128" spans="1:35" x14ac:dyDescent="0.3">
      <c r="A128" s="209"/>
      <c r="B128" s="50" t="s">
        <v>159</v>
      </c>
      <c r="C128" s="49">
        <v>5965.5259999999998</v>
      </c>
      <c r="D128" s="49">
        <v>5786.8419999999996</v>
      </c>
      <c r="E128" s="49">
        <v>6346.5879999999997</v>
      </c>
      <c r="F128" s="49">
        <v>5510.4989999999998</v>
      </c>
      <c r="G128" s="49">
        <v>6213.125</v>
      </c>
      <c r="H128" s="49">
        <v>6980.5910000000003</v>
      </c>
      <c r="I128" s="49">
        <v>6808.2139999999999</v>
      </c>
      <c r="J128" s="49">
        <v>6534.4390000000003</v>
      </c>
      <c r="K128" s="49">
        <v>7123.027</v>
      </c>
      <c r="L128" s="49">
        <v>6723.5339999999997</v>
      </c>
      <c r="M128" s="49">
        <v>7741.8909999999996</v>
      </c>
      <c r="N128" s="49">
        <v>7707.0720000000001</v>
      </c>
      <c r="O128" s="49">
        <v>6750.13</v>
      </c>
      <c r="P128" s="49">
        <v>6874.8149999999996</v>
      </c>
      <c r="Q128" s="49">
        <v>6311.48</v>
      </c>
      <c r="R128" s="49">
        <v>6662.8609999999999</v>
      </c>
      <c r="S128" s="49">
        <v>6648.0020000000004</v>
      </c>
      <c r="T128" s="49">
        <v>6974.5450000000001</v>
      </c>
      <c r="U128" s="49">
        <v>6710.259</v>
      </c>
      <c r="V128" s="49">
        <v>4416.6729999999998</v>
      </c>
      <c r="W128" s="49">
        <v>5180.3940000000002</v>
      </c>
      <c r="X128" s="49">
        <v>6052.3059999999996</v>
      </c>
      <c r="Y128" s="49">
        <v>6114.1710000000003</v>
      </c>
      <c r="Z128" s="49">
        <v>5955.4989999999998</v>
      </c>
      <c r="AA128" s="49">
        <v>5945.0249999999996</v>
      </c>
      <c r="AB128" s="49">
        <v>6486.8509999999997</v>
      </c>
      <c r="AC128" s="49">
        <v>6182.6409999999996</v>
      </c>
      <c r="AD128" s="49">
        <v>6270.7619999999997</v>
      </c>
      <c r="AE128" s="49">
        <v>6187.1549999999997</v>
      </c>
      <c r="AF128" s="49">
        <v>6067.2349999999997</v>
      </c>
      <c r="AG128" s="49">
        <v>5582.085</v>
      </c>
      <c r="AH128" s="49">
        <v>5795.4740000000002</v>
      </c>
      <c r="AI128" s="47" t="s">
        <v>121</v>
      </c>
    </row>
    <row r="129" spans="1:35" x14ac:dyDescent="0.3">
      <c r="A129" s="209"/>
      <c r="B129" s="50" t="s">
        <v>160</v>
      </c>
      <c r="C129" s="48">
        <v>738.78200000000004</v>
      </c>
      <c r="D129" s="48">
        <v>727.41700000000003</v>
      </c>
      <c r="E129" s="48">
        <v>721.28800000000001</v>
      </c>
      <c r="F129" s="48">
        <v>663.10400000000004</v>
      </c>
      <c r="G129" s="48">
        <v>743.84500000000003</v>
      </c>
      <c r="H129" s="48">
        <v>785.65300000000002</v>
      </c>
      <c r="I129" s="48">
        <v>719.50599999999997</v>
      </c>
      <c r="J129" s="48">
        <v>813.91099999999994</v>
      </c>
      <c r="K129" s="48">
        <v>886.03</v>
      </c>
      <c r="L129" s="48">
        <v>852.38800000000003</v>
      </c>
      <c r="M129" s="48">
        <v>950.15200000000004</v>
      </c>
      <c r="N129" s="48">
        <v>887.16300000000001</v>
      </c>
      <c r="O129" s="48">
        <v>873.04</v>
      </c>
      <c r="P129" s="48">
        <v>867.55499999999995</v>
      </c>
      <c r="Q129" s="48">
        <v>908.66700000000003</v>
      </c>
      <c r="R129" s="48">
        <v>800.82799999999997</v>
      </c>
      <c r="S129" s="48">
        <v>843.61199999999997</v>
      </c>
      <c r="T129" s="48">
        <v>781.44200000000001</v>
      </c>
      <c r="U129" s="48">
        <v>758.47900000000004</v>
      </c>
      <c r="V129" s="48">
        <v>503.08699999999999</v>
      </c>
      <c r="W129" s="48">
        <v>616.94799999999998</v>
      </c>
      <c r="X129" s="48">
        <v>715.09400000000005</v>
      </c>
      <c r="Y129" s="48">
        <v>677.33900000000006</v>
      </c>
      <c r="Z129" s="48">
        <v>663.97400000000005</v>
      </c>
      <c r="AA129" s="48">
        <v>650.58199999999999</v>
      </c>
      <c r="AB129" s="48">
        <v>673.79700000000003</v>
      </c>
      <c r="AC129" s="48">
        <v>612.29300000000001</v>
      </c>
      <c r="AD129" s="48">
        <v>605.92999999999995</v>
      </c>
      <c r="AE129" s="48">
        <v>620.423</v>
      </c>
      <c r="AF129" s="48">
        <v>584.58399999999995</v>
      </c>
      <c r="AG129" s="48">
        <v>528.66099999999994</v>
      </c>
      <c r="AH129" s="48">
        <v>577.90800000000002</v>
      </c>
      <c r="AI129" s="46" t="s">
        <v>121</v>
      </c>
    </row>
    <row r="130" spans="1:35" x14ac:dyDescent="0.3">
      <c r="A130" s="209"/>
      <c r="B130" s="50" t="s">
        <v>161</v>
      </c>
      <c r="C130" s="49">
        <v>52.241999999999997</v>
      </c>
      <c r="D130" s="49">
        <v>45.207999999999998</v>
      </c>
      <c r="E130" s="49">
        <v>42.881</v>
      </c>
      <c r="F130" s="49">
        <v>49.197000000000003</v>
      </c>
      <c r="G130" s="49">
        <v>57.506</v>
      </c>
      <c r="H130" s="49">
        <v>83.662000000000006</v>
      </c>
      <c r="I130" s="49">
        <v>57.261000000000003</v>
      </c>
      <c r="J130" s="49">
        <v>67.706000000000003</v>
      </c>
      <c r="K130" s="49">
        <v>73.869</v>
      </c>
      <c r="L130" s="49">
        <v>71.962999999999994</v>
      </c>
      <c r="M130" s="49">
        <v>78.373999999999995</v>
      </c>
      <c r="N130" s="49">
        <v>78.478999999999999</v>
      </c>
      <c r="O130" s="49">
        <v>69.304000000000002</v>
      </c>
      <c r="P130" s="49">
        <v>58.75</v>
      </c>
      <c r="Q130" s="49">
        <v>56.13</v>
      </c>
      <c r="R130" s="49">
        <v>58.485999999999997</v>
      </c>
      <c r="S130" s="49">
        <v>67.668999999999997</v>
      </c>
      <c r="T130" s="49">
        <v>69.534999999999997</v>
      </c>
      <c r="U130" s="49">
        <v>65.144999999999996</v>
      </c>
      <c r="V130" s="49">
        <v>46.661000000000001</v>
      </c>
      <c r="W130" s="49">
        <v>52.298000000000002</v>
      </c>
      <c r="X130" s="49">
        <v>71.682000000000002</v>
      </c>
      <c r="Y130" s="49">
        <v>71.289000000000001</v>
      </c>
      <c r="Z130" s="49">
        <v>71.116</v>
      </c>
      <c r="AA130" s="49">
        <v>64.147000000000006</v>
      </c>
      <c r="AB130" s="49">
        <v>91.67</v>
      </c>
      <c r="AC130" s="49">
        <v>55.923000000000002</v>
      </c>
      <c r="AD130" s="49">
        <v>63.012</v>
      </c>
      <c r="AE130" s="49">
        <v>69.725999999999999</v>
      </c>
      <c r="AF130" s="49">
        <v>71.39</v>
      </c>
      <c r="AG130" s="49">
        <v>59.936</v>
      </c>
      <c r="AH130" s="49">
        <v>62.637999999999998</v>
      </c>
      <c r="AI130" s="47" t="s">
        <v>121</v>
      </c>
    </row>
    <row r="131" spans="1:35" x14ac:dyDescent="0.3">
      <c r="A131" s="209"/>
      <c r="B131" s="50" t="s">
        <v>162</v>
      </c>
      <c r="C131" s="48">
        <v>237.16300000000001</v>
      </c>
      <c r="D131" s="48">
        <v>231.23099999999999</v>
      </c>
      <c r="E131" s="48">
        <v>222.398</v>
      </c>
      <c r="F131" s="48">
        <v>204.78299999999999</v>
      </c>
      <c r="G131" s="48">
        <v>217.96100000000001</v>
      </c>
      <c r="H131" s="48">
        <v>256.185</v>
      </c>
      <c r="I131" s="48">
        <v>271.10899999999998</v>
      </c>
      <c r="J131" s="48">
        <v>269.22300000000001</v>
      </c>
      <c r="K131" s="48">
        <v>266.76499999999999</v>
      </c>
      <c r="L131" s="48">
        <v>284.57299999999998</v>
      </c>
      <c r="M131" s="48">
        <v>316.43200000000002</v>
      </c>
      <c r="N131" s="48">
        <v>281.822</v>
      </c>
      <c r="O131" s="48">
        <v>247.011</v>
      </c>
      <c r="P131" s="48">
        <v>128.40299999999999</v>
      </c>
      <c r="Q131" s="48">
        <v>136.02099999999999</v>
      </c>
      <c r="R131" s="48">
        <v>150.94800000000001</v>
      </c>
      <c r="S131" s="48">
        <v>141.08799999999999</v>
      </c>
      <c r="T131" s="48">
        <v>137.274</v>
      </c>
      <c r="U131" s="48">
        <v>118.72799999999999</v>
      </c>
      <c r="V131" s="48">
        <v>19.673999999999999</v>
      </c>
      <c r="W131" s="48">
        <v>27.068999999999999</v>
      </c>
      <c r="X131" s="48">
        <v>65.105000000000004</v>
      </c>
      <c r="Y131" s="48">
        <v>65.08</v>
      </c>
      <c r="Z131" s="48">
        <v>57.095999999999997</v>
      </c>
      <c r="AA131" s="48">
        <v>63.621000000000002</v>
      </c>
      <c r="AB131" s="48">
        <v>59.52</v>
      </c>
      <c r="AC131" s="48">
        <v>57.951000000000001</v>
      </c>
      <c r="AD131" s="48">
        <v>71.557000000000002</v>
      </c>
      <c r="AE131" s="48">
        <v>66.834999999999994</v>
      </c>
      <c r="AF131" s="48">
        <v>66.078000000000003</v>
      </c>
      <c r="AG131" s="48">
        <v>53.981000000000002</v>
      </c>
      <c r="AH131" s="48">
        <v>61.133000000000003</v>
      </c>
      <c r="AI131" s="46" t="s">
        <v>121</v>
      </c>
    </row>
    <row r="132" spans="1:35" x14ac:dyDescent="0.3">
      <c r="A132" s="209"/>
      <c r="B132" s="50" t="s">
        <v>163</v>
      </c>
      <c r="C132" s="49">
        <v>727.75199999999995</v>
      </c>
      <c r="D132" s="49">
        <v>757.649</v>
      </c>
      <c r="E132" s="49">
        <v>772.83399999999995</v>
      </c>
      <c r="F132" s="49">
        <v>691.79300000000001</v>
      </c>
      <c r="G132" s="49">
        <v>826.61500000000001</v>
      </c>
      <c r="H132" s="49">
        <v>829.06</v>
      </c>
      <c r="I132" s="49">
        <v>800.06</v>
      </c>
      <c r="J132" s="49">
        <v>830.53800000000001</v>
      </c>
      <c r="K132" s="49">
        <v>770.36</v>
      </c>
      <c r="L132" s="49">
        <v>811.44500000000005</v>
      </c>
      <c r="M132" s="49">
        <v>862.84199999999998</v>
      </c>
      <c r="N132" s="49">
        <v>784.28399999999999</v>
      </c>
      <c r="O132" s="49">
        <v>733.78300000000002</v>
      </c>
      <c r="P132" s="49">
        <v>655.82100000000003</v>
      </c>
      <c r="Q132" s="49">
        <v>673.68499999999995</v>
      </c>
      <c r="R132" s="49">
        <v>689.03099999999995</v>
      </c>
      <c r="S132" s="49">
        <v>534.70000000000005</v>
      </c>
      <c r="T132" s="49">
        <v>532.024</v>
      </c>
      <c r="U132" s="49">
        <v>498.548</v>
      </c>
      <c r="V132" s="49">
        <v>422.22500000000002</v>
      </c>
      <c r="W132" s="49">
        <v>409.54300000000001</v>
      </c>
      <c r="X132" s="49">
        <v>472.58199999999999</v>
      </c>
      <c r="Y132" s="49">
        <v>535.88400000000001</v>
      </c>
      <c r="Z132" s="49">
        <v>624.21699999999998</v>
      </c>
      <c r="AA132" s="49">
        <v>634.48699999999997</v>
      </c>
      <c r="AB132" s="49">
        <v>642.798</v>
      </c>
      <c r="AC132" s="49">
        <v>628.62400000000002</v>
      </c>
      <c r="AD132" s="49">
        <v>641.15499999999997</v>
      </c>
      <c r="AE132" s="49">
        <v>646.13199999999995</v>
      </c>
      <c r="AF132" s="49">
        <v>659.12699999999995</v>
      </c>
      <c r="AG132" s="49">
        <v>621.32000000000005</v>
      </c>
      <c r="AH132" s="49">
        <v>662.53899999999999</v>
      </c>
      <c r="AI132" s="47" t="s">
        <v>121</v>
      </c>
    </row>
    <row r="133" spans="1:35" x14ac:dyDescent="0.3">
      <c r="A133" s="209"/>
      <c r="B133" s="50" t="s">
        <v>164</v>
      </c>
      <c r="C133" s="48">
        <v>10.215</v>
      </c>
      <c r="D133" s="48">
        <v>9.0950000000000006</v>
      </c>
      <c r="E133" s="48">
        <v>9.6649999999999991</v>
      </c>
      <c r="F133" s="48">
        <v>9.5299999999999994</v>
      </c>
      <c r="G133" s="48">
        <v>18.170999999999999</v>
      </c>
      <c r="H133" s="48">
        <v>11.63</v>
      </c>
      <c r="I133" s="48">
        <v>9.6460000000000008</v>
      </c>
      <c r="J133" s="48">
        <v>11.747999999999999</v>
      </c>
      <c r="K133" s="48">
        <v>11.648999999999999</v>
      </c>
      <c r="L133" s="48">
        <v>9.8450000000000006</v>
      </c>
      <c r="M133" s="48">
        <v>10.398</v>
      </c>
      <c r="N133" s="48">
        <v>10.491</v>
      </c>
      <c r="O133" s="48">
        <v>10.375999999999999</v>
      </c>
      <c r="P133" s="48">
        <v>11.475</v>
      </c>
      <c r="Q133" s="48">
        <v>11.173999999999999</v>
      </c>
      <c r="R133" s="48">
        <v>10.622</v>
      </c>
      <c r="S133" s="48">
        <v>11.422000000000001</v>
      </c>
      <c r="T133" s="48">
        <v>8.9269999999999996</v>
      </c>
      <c r="U133" s="48">
        <v>7.5650000000000004</v>
      </c>
      <c r="V133" s="48">
        <v>6.617</v>
      </c>
      <c r="W133" s="48">
        <v>6.8410000000000002</v>
      </c>
      <c r="X133" s="48">
        <v>6.1870000000000003</v>
      </c>
      <c r="Y133" s="48">
        <v>5.9269999999999996</v>
      </c>
      <c r="Z133" s="48">
        <v>6.0540000000000003</v>
      </c>
      <c r="AA133" s="48">
        <v>6.5759999999999996</v>
      </c>
      <c r="AB133" s="48">
        <v>5.2930000000000001</v>
      </c>
      <c r="AC133" s="48">
        <v>5.8289999999999997</v>
      </c>
      <c r="AD133" s="48">
        <v>6.63</v>
      </c>
      <c r="AE133" s="48">
        <v>7.8650000000000002</v>
      </c>
      <c r="AF133" s="48">
        <v>6.1879999999999997</v>
      </c>
      <c r="AG133" s="48">
        <v>6.3369999999999997</v>
      </c>
      <c r="AH133" s="48">
        <v>5.2779999999999996</v>
      </c>
      <c r="AI133" s="46" t="s">
        <v>121</v>
      </c>
    </row>
    <row r="134" spans="1:35" x14ac:dyDescent="0.3">
      <c r="A134" s="209"/>
      <c r="B134" s="50" t="s">
        <v>165</v>
      </c>
      <c r="C134" s="49">
        <v>1.98</v>
      </c>
      <c r="D134" s="49">
        <v>5.62</v>
      </c>
      <c r="E134" s="49">
        <v>12.179</v>
      </c>
      <c r="F134" s="49">
        <v>7.8129999999999997</v>
      </c>
      <c r="G134" s="49">
        <v>16.45</v>
      </c>
      <c r="H134" s="49">
        <v>7.2949999999999999</v>
      </c>
      <c r="I134" s="49">
        <v>5.1340000000000003</v>
      </c>
      <c r="J134" s="49">
        <v>3.6669999999999998</v>
      </c>
      <c r="K134" s="49">
        <v>2.1619999999999999</v>
      </c>
      <c r="L134" s="49">
        <v>1.6459999999999999</v>
      </c>
      <c r="M134" s="49">
        <v>2.5830000000000002</v>
      </c>
      <c r="N134" s="49">
        <v>2.431</v>
      </c>
      <c r="O134" s="49">
        <v>2.4990000000000001</v>
      </c>
      <c r="P134" s="49">
        <v>2.919</v>
      </c>
      <c r="Q134" s="49">
        <v>2.4980000000000002</v>
      </c>
      <c r="R134" s="49">
        <v>1.3480000000000001</v>
      </c>
      <c r="S134" s="49">
        <v>4.3529999999999998</v>
      </c>
      <c r="T134" s="49">
        <v>2.0910000000000002</v>
      </c>
      <c r="U134" s="49">
        <v>1.9810000000000001</v>
      </c>
      <c r="V134" s="49">
        <v>1.546</v>
      </c>
      <c r="W134" s="49">
        <v>6.21</v>
      </c>
      <c r="X134" s="49">
        <v>1.968</v>
      </c>
      <c r="Y134" s="49">
        <v>1.756</v>
      </c>
      <c r="Z134" s="49">
        <v>1.9330000000000001</v>
      </c>
      <c r="AA134" s="49">
        <v>2.1019999999999999</v>
      </c>
      <c r="AB134" s="49">
        <v>2.89</v>
      </c>
      <c r="AC134" s="49">
        <v>2.6960000000000002</v>
      </c>
      <c r="AD134" s="49">
        <v>2.2469999999999999</v>
      </c>
      <c r="AE134" s="49">
        <v>3.1589999999999998</v>
      </c>
      <c r="AF134" s="49">
        <v>2.4319999999999999</v>
      </c>
      <c r="AG134" s="49">
        <v>3.24</v>
      </c>
      <c r="AH134" s="49">
        <v>9.7729999999999997</v>
      </c>
      <c r="AI134" s="47" t="s">
        <v>121</v>
      </c>
    </row>
    <row r="135" spans="1:35" x14ac:dyDescent="0.3">
      <c r="A135" s="209"/>
      <c r="B135" s="50" t="s">
        <v>167</v>
      </c>
      <c r="C135" s="48">
        <v>2679.114</v>
      </c>
      <c r="D135" s="48">
        <v>2520.7550000000001</v>
      </c>
      <c r="E135" s="48">
        <v>2831.1309999999999</v>
      </c>
      <c r="F135" s="48">
        <v>2334.1039999999998</v>
      </c>
      <c r="G135" s="48">
        <v>2634.34</v>
      </c>
      <c r="H135" s="48">
        <v>2891.1179999999999</v>
      </c>
      <c r="I135" s="48">
        <v>3157.038</v>
      </c>
      <c r="J135" s="48">
        <v>2839.3139999999999</v>
      </c>
      <c r="K135" s="48">
        <v>3070.752</v>
      </c>
      <c r="L135" s="48">
        <v>3041.6889999999999</v>
      </c>
      <c r="M135" s="48">
        <v>3167.7759999999998</v>
      </c>
      <c r="N135" s="48">
        <v>3556.1210000000001</v>
      </c>
      <c r="O135" s="48">
        <v>3091.3159999999998</v>
      </c>
      <c r="P135" s="48">
        <v>3568.893</v>
      </c>
      <c r="Q135" s="48">
        <v>3235.806</v>
      </c>
      <c r="R135" s="48">
        <v>3682.114</v>
      </c>
      <c r="S135" s="48">
        <v>3689.9850000000001</v>
      </c>
      <c r="T135" s="48">
        <v>4082.5729999999999</v>
      </c>
      <c r="U135" s="48">
        <v>3762.3040000000001</v>
      </c>
      <c r="V135" s="48">
        <v>2771.7669999999998</v>
      </c>
      <c r="W135" s="48">
        <v>3128.232</v>
      </c>
      <c r="X135" s="48">
        <v>3834.8679999999999</v>
      </c>
      <c r="Y135" s="48">
        <v>3839.0140000000001</v>
      </c>
      <c r="Z135" s="48">
        <v>3623.355</v>
      </c>
      <c r="AA135" s="48">
        <v>3899.01</v>
      </c>
      <c r="AB135" s="48">
        <v>4155.0150000000003</v>
      </c>
      <c r="AC135" s="48">
        <v>4004.3490000000002</v>
      </c>
      <c r="AD135" s="48">
        <v>4161.1360000000004</v>
      </c>
      <c r="AE135" s="48">
        <v>4135.6880000000001</v>
      </c>
      <c r="AF135" s="48">
        <v>3963.5320000000002</v>
      </c>
      <c r="AG135" s="48">
        <v>3739.5569999999998</v>
      </c>
      <c r="AH135" s="48">
        <v>3709.2150000000001</v>
      </c>
      <c r="AI135" s="46" t="s">
        <v>121</v>
      </c>
    </row>
    <row r="136" spans="1:35" x14ac:dyDescent="0.3">
      <c r="A136" s="209"/>
      <c r="B136" s="50" t="s">
        <v>168</v>
      </c>
      <c r="C136" s="49">
        <v>30.655999999999999</v>
      </c>
      <c r="D136" s="49">
        <v>29.73</v>
      </c>
      <c r="E136" s="49">
        <v>28.751999999999999</v>
      </c>
      <c r="F136" s="49">
        <v>31.239000000000001</v>
      </c>
      <c r="G136" s="49">
        <v>27.8</v>
      </c>
      <c r="H136" s="49">
        <v>29.571999999999999</v>
      </c>
      <c r="I136" s="49">
        <v>36.203000000000003</v>
      </c>
      <c r="J136" s="49">
        <v>28.405000000000001</v>
      </c>
      <c r="K136" s="49">
        <v>37.960999999999999</v>
      </c>
      <c r="L136" s="49">
        <v>33.654000000000003</v>
      </c>
      <c r="M136" s="49">
        <v>33.719000000000001</v>
      </c>
      <c r="N136" s="49">
        <v>32.534999999999997</v>
      </c>
      <c r="O136" s="49">
        <v>32.023000000000003</v>
      </c>
      <c r="P136" s="49">
        <v>41.369</v>
      </c>
      <c r="Q136" s="49">
        <v>42.518999999999998</v>
      </c>
      <c r="R136" s="49">
        <v>37.756999999999998</v>
      </c>
      <c r="S136" s="49">
        <v>45.999000000000002</v>
      </c>
      <c r="T136" s="49">
        <v>43.661999999999999</v>
      </c>
      <c r="U136" s="49">
        <v>29.739000000000001</v>
      </c>
      <c r="V136" s="49">
        <v>27.606000000000002</v>
      </c>
      <c r="W136" s="49">
        <v>26.978000000000002</v>
      </c>
      <c r="X136" s="49">
        <v>28.768000000000001</v>
      </c>
      <c r="Y136" s="49">
        <v>32.200000000000003</v>
      </c>
      <c r="Z136" s="49">
        <v>31.483000000000001</v>
      </c>
      <c r="AA136" s="49">
        <v>26.312999999999999</v>
      </c>
      <c r="AB136" s="49">
        <v>33.081000000000003</v>
      </c>
      <c r="AC136" s="49">
        <v>27.146999999999998</v>
      </c>
      <c r="AD136" s="49">
        <v>25.651</v>
      </c>
      <c r="AE136" s="49">
        <v>8.2010000000000005</v>
      </c>
      <c r="AF136" s="49">
        <v>9.4700000000000006</v>
      </c>
      <c r="AG136" s="49">
        <v>11.581</v>
      </c>
      <c r="AH136" s="49">
        <v>17.170000000000002</v>
      </c>
      <c r="AI136" s="47" t="s">
        <v>121</v>
      </c>
    </row>
    <row r="137" spans="1:35" x14ac:dyDescent="0.3">
      <c r="A137" s="209"/>
      <c r="B137" s="50" t="s">
        <v>169</v>
      </c>
      <c r="C137" s="48">
        <v>1487.6210000000001</v>
      </c>
      <c r="D137" s="48">
        <v>1460.1379999999999</v>
      </c>
      <c r="E137" s="48">
        <v>1705.46</v>
      </c>
      <c r="F137" s="48">
        <v>1518.9359999999999</v>
      </c>
      <c r="G137" s="48">
        <v>1670.4369999999999</v>
      </c>
      <c r="H137" s="48">
        <v>2086.4169999999999</v>
      </c>
      <c r="I137" s="48">
        <v>1752.2570000000001</v>
      </c>
      <c r="J137" s="48">
        <v>1669.9259999999999</v>
      </c>
      <c r="K137" s="48">
        <v>2003.479</v>
      </c>
      <c r="L137" s="48">
        <v>1616.3309999999999</v>
      </c>
      <c r="M137" s="48">
        <v>2319.616</v>
      </c>
      <c r="N137" s="48">
        <v>2073.7460000000001</v>
      </c>
      <c r="O137" s="48">
        <v>1690.777</v>
      </c>
      <c r="P137" s="48">
        <v>1539.6289999999999</v>
      </c>
      <c r="Q137" s="48">
        <v>1244.981</v>
      </c>
      <c r="R137" s="48">
        <v>1231.7280000000001</v>
      </c>
      <c r="S137" s="48">
        <v>1309.174</v>
      </c>
      <c r="T137" s="48">
        <v>1317.0170000000001</v>
      </c>
      <c r="U137" s="48">
        <v>1467.769</v>
      </c>
      <c r="V137" s="48">
        <v>617.49</v>
      </c>
      <c r="W137" s="48">
        <v>906.274</v>
      </c>
      <c r="X137" s="48">
        <v>856.053</v>
      </c>
      <c r="Y137" s="48">
        <v>885.68299999999999</v>
      </c>
      <c r="Z137" s="48">
        <v>876.27</v>
      </c>
      <c r="AA137" s="48">
        <v>598.18799999999999</v>
      </c>
      <c r="AB137" s="48">
        <v>822.78899999999999</v>
      </c>
      <c r="AC137" s="48">
        <v>787.82899999999995</v>
      </c>
      <c r="AD137" s="48">
        <v>693.44200000000001</v>
      </c>
      <c r="AE137" s="48">
        <v>629.12599999999998</v>
      </c>
      <c r="AF137" s="48">
        <v>704.43499999999995</v>
      </c>
      <c r="AG137" s="48">
        <v>557.471</v>
      </c>
      <c r="AH137" s="48">
        <v>689.81899999999996</v>
      </c>
      <c r="AI137" s="46" t="s">
        <v>121</v>
      </c>
    </row>
    <row r="138" spans="1:35" x14ac:dyDescent="0.3">
      <c r="A138" s="209"/>
      <c r="B138" s="50" t="s">
        <v>170</v>
      </c>
      <c r="C138" s="49">
        <v>7690.7950000000001</v>
      </c>
      <c r="D138" s="49">
        <v>7431.1530000000002</v>
      </c>
      <c r="E138" s="49">
        <v>7568.01</v>
      </c>
      <c r="F138" s="49">
        <v>6732.4560000000001</v>
      </c>
      <c r="G138" s="49">
        <v>7491.7569999999996</v>
      </c>
      <c r="H138" s="49">
        <v>9297.1869999999999</v>
      </c>
      <c r="I138" s="49">
        <v>8880.723</v>
      </c>
      <c r="J138" s="49">
        <v>8966.9519999999993</v>
      </c>
      <c r="K138" s="49">
        <v>10258.499</v>
      </c>
      <c r="L138" s="49">
        <v>11536.053</v>
      </c>
      <c r="M138" s="49">
        <v>12834.406999999999</v>
      </c>
      <c r="N138" s="49">
        <v>13074.727999999999</v>
      </c>
      <c r="O138" s="49">
        <v>13043.839</v>
      </c>
      <c r="P138" s="49">
        <v>13262.842000000001</v>
      </c>
      <c r="Q138" s="49">
        <v>14615.263999999999</v>
      </c>
      <c r="R138" s="49">
        <v>15044.91</v>
      </c>
      <c r="S138" s="49">
        <v>16117.102000000001</v>
      </c>
      <c r="T138" s="49">
        <v>16890.705000000002</v>
      </c>
      <c r="U138" s="49">
        <v>15720.27</v>
      </c>
      <c r="V138" s="49">
        <v>10546.071</v>
      </c>
      <c r="W138" s="49">
        <v>12774.245000000001</v>
      </c>
      <c r="X138" s="49">
        <v>20819.542000000001</v>
      </c>
      <c r="Y138" s="49">
        <v>19376.124</v>
      </c>
      <c r="Z138" s="49">
        <v>19181.732</v>
      </c>
      <c r="AA138" s="49">
        <v>20047.931</v>
      </c>
      <c r="AB138" s="49">
        <v>20432.367999999999</v>
      </c>
      <c r="AC138" s="49">
        <v>21616.232</v>
      </c>
      <c r="AD138" s="49">
        <v>22335.98</v>
      </c>
      <c r="AE138" s="49">
        <v>24193.024000000001</v>
      </c>
      <c r="AF138" s="49">
        <v>24735.273000000001</v>
      </c>
      <c r="AG138" s="49">
        <v>21733.241000000002</v>
      </c>
      <c r="AH138" s="49">
        <v>24461.478999999999</v>
      </c>
      <c r="AI138" s="47" t="s">
        <v>121</v>
      </c>
    </row>
    <row r="139" spans="1:35" x14ac:dyDescent="0.3">
      <c r="A139" s="209"/>
      <c r="B139" s="44" t="s">
        <v>171</v>
      </c>
      <c r="C139" s="48">
        <v>38324.080000000002</v>
      </c>
      <c r="D139" s="48">
        <v>36939.824999999997</v>
      </c>
      <c r="E139" s="48">
        <v>34840.142</v>
      </c>
      <c r="F139" s="48">
        <v>27830.595000000001</v>
      </c>
      <c r="G139" s="48">
        <v>32780.025999999998</v>
      </c>
      <c r="H139" s="48">
        <v>32150.374</v>
      </c>
      <c r="I139" s="48">
        <v>31260.348999999998</v>
      </c>
      <c r="J139" s="48">
        <v>32518.909</v>
      </c>
      <c r="K139" s="48">
        <v>35301.544999999998</v>
      </c>
      <c r="L139" s="48">
        <v>36965.624000000003</v>
      </c>
      <c r="M139" s="48">
        <v>39532.175999999999</v>
      </c>
      <c r="N139" s="48">
        <v>37540.114000000001</v>
      </c>
      <c r="O139" s="48">
        <v>36751.889000000003</v>
      </c>
      <c r="P139" s="48">
        <v>35774.773000000001</v>
      </c>
      <c r="Q139" s="48">
        <v>37596.046000000002</v>
      </c>
      <c r="R139" s="48">
        <v>37730.472999999998</v>
      </c>
      <c r="S139" s="48">
        <v>37987.489000000001</v>
      </c>
      <c r="T139" s="48">
        <v>39725.381000000001</v>
      </c>
      <c r="U139" s="48">
        <v>38401.082999999999</v>
      </c>
      <c r="V139" s="48">
        <v>29585.917000000001</v>
      </c>
      <c r="W139" s="48">
        <v>35946.705999999998</v>
      </c>
      <c r="X139" s="48">
        <v>44429.521999999997</v>
      </c>
      <c r="Y139" s="48">
        <v>45761.510999999999</v>
      </c>
      <c r="Z139" s="48">
        <v>45300.61</v>
      </c>
      <c r="AA139" s="48">
        <v>46452.23</v>
      </c>
      <c r="AB139" s="48">
        <v>44676.677000000003</v>
      </c>
      <c r="AC139" s="48">
        <v>46191.425000000003</v>
      </c>
      <c r="AD139" s="48">
        <v>48203.597999999998</v>
      </c>
      <c r="AE139" s="48">
        <v>49049.542999999998</v>
      </c>
      <c r="AF139" s="48">
        <v>50061.705000000002</v>
      </c>
      <c r="AG139" s="48">
        <v>49214.2</v>
      </c>
      <c r="AH139" s="48">
        <v>51666.317000000003</v>
      </c>
      <c r="AI139" s="48">
        <v>49202.394</v>
      </c>
    </row>
    <row r="140" spans="1:35" x14ac:dyDescent="0.3">
      <c r="A140" s="209"/>
      <c r="B140" s="50" t="s">
        <v>172</v>
      </c>
      <c r="C140" s="49">
        <v>765.56700000000001</v>
      </c>
      <c r="D140" s="49">
        <v>772.90599999999995</v>
      </c>
      <c r="E140" s="49">
        <v>772.851</v>
      </c>
      <c r="F140" s="49">
        <v>596.43200000000002</v>
      </c>
      <c r="G140" s="49">
        <v>780.375</v>
      </c>
      <c r="H140" s="49">
        <v>757.59299999999996</v>
      </c>
      <c r="I140" s="49">
        <v>680.798</v>
      </c>
      <c r="J140" s="49">
        <v>746.20399999999995</v>
      </c>
      <c r="K140" s="49">
        <v>818.84500000000003</v>
      </c>
      <c r="L140" s="49">
        <v>963.53499999999997</v>
      </c>
      <c r="M140" s="49">
        <v>1163.2629999999999</v>
      </c>
      <c r="N140" s="49">
        <v>1052.557</v>
      </c>
      <c r="O140" s="49">
        <v>842.76199999999994</v>
      </c>
      <c r="P140" s="49">
        <v>906.50300000000004</v>
      </c>
      <c r="Q140" s="49">
        <v>970.56700000000001</v>
      </c>
      <c r="R140" s="49">
        <v>1082.2</v>
      </c>
      <c r="S140" s="49">
        <v>1213.067</v>
      </c>
      <c r="T140" s="49">
        <v>1434.597</v>
      </c>
      <c r="U140" s="49">
        <v>1299.692</v>
      </c>
      <c r="V140" s="49">
        <v>921.87699999999995</v>
      </c>
      <c r="W140" s="49">
        <v>999.74</v>
      </c>
      <c r="X140" s="49">
        <v>1407.4349999999999</v>
      </c>
      <c r="Y140" s="49">
        <v>2115.5349999999999</v>
      </c>
      <c r="Z140" s="49">
        <v>1749.5050000000001</v>
      </c>
      <c r="AA140" s="49">
        <v>1497.4490000000001</v>
      </c>
      <c r="AB140" s="49">
        <v>1487.345</v>
      </c>
      <c r="AC140" s="49">
        <v>1519.17</v>
      </c>
      <c r="AD140" s="49">
        <v>1612.5039999999999</v>
      </c>
      <c r="AE140" s="49">
        <v>1683.588</v>
      </c>
      <c r="AF140" s="49">
        <v>1915.57</v>
      </c>
      <c r="AG140" s="49">
        <v>1749.163</v>
      </c>
      <c r="AH140" s="49">
        <v>2064.346</v>
      </c>
      <c r="AI140" s="47" t="s">
        <v>121</v>
      </c>
    </row>
    <row r="141" spans="1:35" x14ac:dyDescent="0.3">
      <c r="A141" s="209"/>
      <c r="B141" s="50" t="s">
        <v>173</v>
      </c>
      <c r="C141" s="48">
        <v>304.21600000000001</v>
      </c>
      <c r="D141" s="48">
        <v>299.411</v>
      </c>
      <c r="E141" s="48">
        <v>305.73</v>
      </c>
      <c r="F141" s="48">
        <v>817.18600000000004</v>
      </c>
      <c r="G141" s="48">
        <v>318.685</v>
      </c>
      <c r="H141" s="48">
        <v>325.08499999999998</v>
      </c>
      <c r="I141" s="48">
        <v>338.25200000000001</v>
      </c>
      <c r="J141" s="48">
        <v>378.30900000000003</v>
      </c>
      <c r="K141" s="48">
        <v>410.32799999999997</v>
      </c>
      <c r="L141" s="48">
        <v>463.94099999999997</v>
      </c>
      <c r="M141" s="48">
        <v>415.97399999999999</v>
      </c>
      <c r="N141" s="48">
        <v>611.822</v>
      </c>
      <c r="O141" s="48">
        <v>556.40800000000002</v>
      </c>
      <c r="P141" s="48">
        <v>502.399</v>
      </c>
      <c r="Q141" s="48">
        <v>617.63300000000004</v>
      </c>
      <c r="R141" s="48">
        <v>563.75</v>
      </c>
      <c r="S141" s="48">
        <v>546.16200000000003</v>
      </c>
      <c r="T141" s="48">
        <v>568.83699999999999</v>
      </c>
      <c r="U141" s="48">
        <v>569.09799999999996</v>
      </c>
      <c r="V141" s="48">
        <v>457.9</v>
      </c>
      <c r="W141" s="48">
        <v>797.44200000000001</v>
      </c>
      <c r="X141" s="48">
        <v>805.13300000000004</v>
      </c>
      <c r="Y141" s="48">
        <v>664.15</v>
      </c>
      <c r="Z141" s="48">
        <v>562.13800000000003</v>
      </c>
      <c r="AA141" s="48">
        <v>456.02699999999999</v>
      </c>
      <c r="AB141" s="48">
        <v>403.61399999999998</v>
      </c>
      <c r="AC141" s="48">
        <v>383.95400000000001</v>
      </c>
      <c r="AD141" s="48">
        <v>399.28199999999998</v>
      </c>
      <c r="AE141" s="48">
        <v>376.245</v>
      </c>
      <c r="AF141" s="48">
        <v>381.74200000000002</v>
      </c>
      <c r="AG141" s="48">
        <v>353.62200000000001</v>
      </c>
      <c r="AH141" s="48">
        <v>335.33300000000003</v>
      </c>
      <c r="AI141" s="46" t="s">
        <v>121</v>
      </c>
    </row>
    <row r="142" spans="1:35" x14ac:dyDescent="0.3">
      <c r="A142" s="209"/>
      <c r="B142" s="50" t="s">
        <v>174</v>
      </c>
      <c r="C142" s="49">
        <v>1.752</v>
      </c>
      <c r="D142" s="49">
        <v>1.905</v>
      </c>
      <c r="E142" s="49">
        <v>4.343</v>
      </c>
      <c r="F142" s="49">
        <v>15.224</v>
      </c>
      <c r="G142" s="49">
        <v>16.696999999999999</v>
      </c>
      <c r="H142" s="49">
        <v>21.254000000000001</v>
      </c>
      <c r="I142" s="49">
        <v>27.548999999999999</v>
      </c>
      <c r="J142" s="49">
        <v>27.501000000000001</v>
      </c>
      <c r="K142" s="49">
        <v>27.327999999999999</v>
      </c>
      <c r="L142" s="49">
        <v>33.134999999999998</v>
      </c>
      <c r="M142" s="49">
        <v>54.738999999999997</v>
      </c>
      <c r="N142" s="49">
        <v>44.851999999999997</v>
      </c>
      <c r="O142" s="49">
        <v>37.350999999999999</v>
      </c>
      <c r="P142" s="49">
        <v>36.512999999999998</v>
      </c>
      <c r="Q142" s="49">
        <v>40.976999999999997</v>
      </c>
      <c r="R142" s="49">
        <v>36.457000000000001</v>
      </c>
      <c r="S142" s="49">
        <v>42.823999999999998</v>
      </c>
      <c r="T142" s="49">
        <v>48.2</v>
      </c>
      <c r="U142" s="49">
        <v>43.637</v>
      </c>
      <c r="V142" s="49">
        <v>29.638000000000002</v>
      </c>
      <c r="W142" s="49">
        <v>33.743000000000002</v>
      </c>
      <c r="X142" s="49">
        <v>47.957999999999998</v>
      </c>
      <c r="Y142" s="49">
        <v>40.591999999999999</v>
      </c>
      <c r="Z142" s="49">
        <v>44.331000000000003</v>
      </c>
      <c r="AA142" s="49">
        <v>46.206000000000003</v>
      </c>
      <c r="AB142" s="49">
        <v>41.994</v>
      </c>
      <c r="AC142" s="49">
        <v>48.375999999999998</v>
      </c>
      <c r="AD142" s="49">
        <v>46.616999999999997</v>
      </c>
      <c r="AE142" s="49">
        <v>35.470999999999997</v>
      </c>
      <c r="AF142" s="49">
        <v>36.180999999999997</v>
      </c>
      <c r="AG142" s="49">
        <v>33.374000000000002</v>
      </c>
      <c r="AH142" s="49">
        <v>45.832000000000001</v>
      </c>
      <c r="AI142" s="47" t="s">
        <v>121</v>
      </c>
    </row>
    <row r="143" spans="1:35" x14ac:dyDescent="0.3">
      <c r="A143" s="209"/>
      <c r="B143" s="50" t="s">
        <v>175</v>
      </c>
      <c r="C143" s="48">
        <v>16052.218999999999</v>
      </c>
      <c r="D143" s="48">
        <v>13464.761</v>
      </c>
      <c r="E143" s="48">
        <v>11993.502</v>
      </c>
      <c r="F143" s="48">
        <v>9979.7160000000003</v>
      </c>
      <c r="G143" s="48">
        <v>13012.214</v>
      </c>
      <c r="H143" s="48">
        <v>13149.152</v>
      </c>
      <c r="I143" s="48">
        <v>12052.19</v>
      </c>
      <c r="J143" s="48">
        <v>11433.998</v>
      </c>
      <c r="K143" s="48">
        <v>12599.644</v>
      </c>
      <c r="L143" s="48">
        <v>12109.472</v>
      </c>
      <c r="M143" s="48">
        <v>12576.067999999999</v>
      </c>
      <c r="N143" s="48">
        <v>11247.291999999999</v>
      </c>
      <c r="O143" s="48">
        <v>10171.153</v>
      </c>
      <c r="P143" s="48">
        <v>10896.629000000001</v>
      </c>
      <c r="Q143" s="48">
        <v>10308.376</v>
      </c>
      <c r="R143" s="48">
        <v>9288.3459999999995</v>
      </c>
      <c r="S143" s="48">
        <v>7985.5060000000003</v>
      </c>
      <c r="T143" s="48">
        <v>8920.3719999999994</v>
      </c>
      <c r="U143" s="48">
        <v>8763.8250000000007</v>
      </c>
      <c r="V143" s="48">
        <v>5411.4430000000002</v>
      </c>
      <c r="W143" s="48">
        <v>8155.125</v>
      </c>
      <c r="X143" s="48">
        <v>10249.565000000001</v>
      </c>
      <c r="Y143" s="48">
        <v>11576.6</v>
      </c>
      <c r="Z143" s="48">
        <v>12089.485000000001</v>
      </c>
      <c r="AA143" s="48">
        <v>14126.368</v>
      </c>
      <c r="AB143" s="48">
        <v>14683.561</v>
      </c>
      <c r="AC143" s="48">
        <v>14563.804</v>
      </c>
      <c r="AD143" s="48">
        <v>15226.771000000001</v>
      </c>
      <c r="AE143" s="48">
        <v>15694.572</v>
      </c>
      <c r="AF143" s="48">
        <v>15075.449000000001</v>
      </c>
      <c r="AG143" s="48">
        <v>15381.97</v>
      </c>
      <c r="AH143" s="48">
        <v>14781.487999999999</v>
      </c>
      <c r="AI143" s="46" t="s">
        <v>121</v>
      </c>
    </row>
    <row r="144" spans="1:35" x14ac:dyDescent="0.3">
      <c r="A144" s="209"/>
      <c r="B144" s="50" t="s">
        <v>176</v>
      </c>
      <c r="C144" s="49">
        <v>188.16499999999999</v>
      </c>
      <c r="D144" s="49">
        <v>204.17400000000001</v>
      </c>
      <c r="E144" s="49">
        <v>232.44200000000001</v>
      </c>
      <c r="F144" s="49">
        <v>215.17599999999999</v>
      </c>
      <c r="G144" s="49">
        <v>320.60399999999998</v>
      </c>
      <c r="H144" s="49">
        <v>388.13900000000001</v>
      </c>
      <c r="I144" s="49">
        <v>469.92599999999999</v>
      </c>
      <c r="J144" s="49">
        <v>616.28899999999999</v>
      </c>
      <c r="K144" s="49">
        <v>566.59500000000003</v>
      </c>
      <c r="L144" s="49">
        <v>586.923</v>
      </c>
      <c r="M144" s="49">
        <v>545.04300000000001</v>
      </c>
      <c r="N144" s="49">
        <v>486.00799999999998</v>
      </c>
      <c r="O144" s="49">
        <v>602.37599999999998</v>
      </c>
      <c r="P144" s="49">
        <v>831.28</v>
      </c>
      <c r="Q144" s="49">
        <v>865.952</v>
      </c>
      <c r="R144" s="49">
        <v>1154.1179999999999</v>
      </c>
      <c r="S144" s="49">
        <v>1147.846</v>
      </c>
      <c r="T144" s="49">
        <v>593.15800000000002</v>
      </c>
      <c r="U144" s="49">
        <v>578.87900000000002</v>
      </c>
      <c r="V144" s="49">
        <v>520.11</v>
      </c>
      <c r="W144" s="49">
        <v>1026.8040000000001</v>
      </c>
      <c r="X144" s="49">
        <v>1597.316</v>
      </c>
      <c r="Y144" s="49">
        <v>705.53300000000002</v>
      </c>
      <c r="Z144" s="49">
        <v>1157.492</v>
      </c>
      <c r="AA144" s="49">
        <v>643.48800000000006</v>
      </c>
      <c r="AB144" s="49">
        <v>689.22900000000004</v>
      </c>
      <c r="AC144" s="49">
        <v>484.29399999999998</v>
      </c>
      <c r="AD144" s="49">
        <v>639.19799999999998</v>
      </c>
      <c r="AE144" s="49">
        <v>723.79100000000005</v>
      </c>
      <c r="AF144" s="49">
        <v>755.87900000000002</v>
      </c>
      <c r="AG144" s="49">
        <v>443.03500000000003</v>
      </c>
      <c r="AH144" s="49">
        <v>691.76</v>
      </c>
      <c r="AI144" s="47" t="s">
        <v>121</v>
      </c>
    </row>
    <row r="145" spans="1:35" x14ac:dyDescent="0.3">
      <c r="A145" s="209"/>
      <c r="B145" s="50" t="s">
        <v>177</v>
      </c>
      <c r="C145" s="48">
        <v>364.28899999999999</v>
      </c>
      <c r="D145" s="48">
        <v>428.04</v>
      </c>
      <c r="E145" s="48">
        <v>408.714</v>
      </c>
      <c r="F145" s="48">
        <v>476.76299999999998</v>
      </c>
      <c r="G145" s="48">
        <v>422.99099999999999</v>
      </c>
      <c r="H145" s="48">
        <v>382.37</v>
      </c>
      <c r="I145" s="48">
        <v>415.96800000000002</v>
      </c>
      <c r="J145" s="48">
        <v>373.39299999999997</v>
      </c>
      <c r="K145" s="48">
        <v>427.61</v>
      </c>
      <c r="L145" s="48">
        <v>411.43299999999999</v>
      </c>
      <c r="M145" s="48">
        <v>366.94</v>
      </c>
      <c r="N145" s="48">
        <v>428.512</v>
      </c>
      <c r="O145" s="48">
        <v>368.37200000000001</v>
      </c>
      <c r="P145" s="48">
        <v>430.17500000000001</v>
      </c>
      <c r="Q145" s="48">
        <v>544.072</v>
      </c>
      <c r="R145" s="48">
        <v>500.93700000000001</v>
      </c>
      <c r="S145" s="48">
        <v>786.05200000000002</v>
      </c>
      <c r="T145" s="48">
        <v>823.10500000000002</v>
      </c>
      <c r="U145" s="48">
        <v>706.31899999999996</v>
      </c>
      <c r="V145" s="48">
        <v>544.06299999999999</v>
      </c>
      <c r="W145" s="48">
        <v>496.99299999999999</v>
      </c>
      <c r="X145" s="48">
        <v>433.77600000000001</v>
      </c>
      <c r="Y145" s="48">
        <v>458.70499999999998</v>
      </c>
      <c r="Z145" s="48">
        <v>556.81600000000003</v>
      </c>
      <c r="AA145" s="48">
        <v>545.85900000000004</v>
      </c>
      <c r="AB145" s="48">
        <v>539.37800000000004</v>
      </c>
      <c r="AC145" s="48">
        <v>625.13800000000003</v>
      </c>
      <c r="AD145" s="48">
        <v>579.61500000000001</v>
      </c>
      <c r="AE145" s="48">
        <v>570.14400000000001</v>
      </c>
      <c r="AF145" s="48">
        <v>699.58100000000002</v>
      </c>
      <c r="AG145" s="48">
        <v>575.69899999999996</v>
      </c>
      <c r="AH145" s="48">
        <v>613.49599999999998</v>
      </c>
      <c r="AI145" s="46" t="s">
        <v>121</v>
      </c>
    </row>
    <row r="146" spans="1:35" x14ac:dyDescent="0.3">
      <c r="A146" s="209"/>
      <c r="B146" s="50" t="s">
        <v>178</v>
      </c>
      <c r="C146" s="49">
        <v>2423.846</v>
      </c>
      <c r="D146" s="49">
        <v>2269.8609999999999</v>
      </c>
      <c r="E146" s="49">
        <v>2213.748</v>
      </c>
      <c r="F146" s="49">
        <v>1974.279</v>
      </c>
      <c r="G146" s="49">
        <v>2193.3910000000001</v>
      </c>
      <c r="H146" s="49">
        <v>2229.9299999999998</v>
      </c>
      <c r="I146" s="49">
        <v>2253.2510000000002</v>
      </c>
      <c r="J146" s="49">
        <v>2447.7820000000002</v>
      </c>
      <c r="K146" s="49">
        <v>2596.8980000000001</v>
      </c>
      <c r="L146" s="49">
        <v>2703.279</v>
      </c>
      <c r="M146" s="49">
        <v>2804.5050000000001</v>
      </c>
      <c r="N146" s="49">
        <v>2884.7910000000002</v>
      </c>
      <c r="O146" s="49">
        <v>2935.6179999999999</v>
      </c>
      <c r="P146" s="49">
        <v>2940.16</v>
      </c>
      <c r="Q146" s="49">
        <v>3192.8939999999998</v>
      </c>
      <c r="R146" s="49">
        <v>3339.7379999999998</v>
      </c>
      <c r="S146" s="49">
        <v>2560.0540000000001</v>
      </c>
      <c r="T146" s="49">
        <v>2787.66</v>
      </c>
      <c r="U146" s="49">
        <v>2742.3919999999998</v>
      </c>
      <c r="V146" s="49">
        <v>1686.3050000000001</v>
      </c>
      <c r="W146" s="49">
        <v>3030.7979999999998</v>
      </c>
      <c r="X146" s="49">
        <v>3516.8</v>
      </c>
      <c r="Y146" s="49">
        <v>3311.9059999999999</v>
      </c>
      <c r="Z146" s="49">
        <v>3289.5569999999998</v>
      </c>
      <c r="AA146" s="49">
        <v>3201.9920000000002</v>
      </c>
      <c r="AB146" s="49">
        <v>2999.5459999999998</v>
      </c>
      <c r="AC146" s="49">
        <v>3004.9319999999998</v>
      </c>
      <c r="AD146" s="49">
        <v>3232.1289999999999</v>
      </c>
      <c r="AE146" s="49">
        <v>3356.8069999999998</v>
      </c>
      <c r="AF146" s="49">
        <v>3193.3069999999998</v>
      </c>
      <c r="AG146" s="49">
        <v>3094.509</v>
      </c>
      <c r="AH146" s="49">
        <v>3527.7579999999998</v>
      </c>
      <c r="AI146" s="47" t="s">
        <v>121</v>
      </c>
    </row>
    <row r="147" spans="1:35" x14ac:dyDescent="0.3">
      <c r="A147" s="209"/>
      <c r="B147" s="50" t="s">
        <v>179</v>
      </c>
      <c r="C147" s="48">
        <v>9597.2129999999997</v>
      </c>
      <c r="D147" s="48">
        <v>11044.966</v>
      </c>
      <c r="E147" s="48">
        <v>10229.234</v>
      </c>
      <c r="F147" s="48">
        <v>6799.0029999999997</v>
      </c>
      <c r="G147" s="48">
        <v>7754.7529999999997</v>
      </c>
      <c r="H147" s="48">
        <v>7049.2380000000003</v>
      </c>
      <c r="I147" s="48">
        <v>7588.152</v>
      </c>
      <c r="J147" s="48">
        <v>7960.7939999999999</v>
      </c>
      <c r="K147" s="48">
        <v>8701.3029999999999</v>
      </c>
      <c r="L147" s="48">
        <v>10234.732</v>
      </c>
      <c r="M147" s="48">
        <v>11001.977000000001</v>
      </c>
      <c r="N147" s="48">
        <v>10103.871999999999</v>
      </c>
      <c r="O147" s="48">
        <v>10970.120999999999</v>
      </c>
      <c r="P147" s="48">
        <v>9313.2929999999997</v>
      </c>
      <c r="Q147" s="48">
        <v>10676.69</v>
      </c>
      <c r="R147" s="48">
        <v>11420.582</v>
      </c>
      <c r="S147" s="48">
        <v>13479.813</v>
      </c>
      <c r="T147" s="48">
        <v>12801.548000000001</v>
      </c>
      <c r="U147" s="48">
        <v>12213.008</v>
      </c>
      <c r="V147" s="48">
        <v>11122.396000000001</v>
      </c>
      <c r="W147" s="48">
        <v>10176.044</v>
      </c>
      <c r="X147" s="48">
        <v>12535.761</v>
      </c>
      <c r="Y147" s="48">
        <v>12017.606</v>
      </c>
      <c r="Z147" s="48">
        <v>11954.266</v>
      </c>
      <c r="AA147" s="48">
        <v>12015.1</v>
      </c>
      <c r="AB147" s="48">
        <v>10541.218000000001</v>
      </c>
      <c r="AC147" s="48">
        <v>11849.375</v>
      </c>
      <c r="AD147" s="48">
        <v>12219.766</v>
      </c>
      <c r="AE147" s="48">
        <v>11528.036</v>
      </c>
      <c r="AF147" s="48">
        <v>12124.499</v>
      </c>
      <c r="AG147" s="48">
        <v>11858.718000000001</v>
      </c>
      <c r="AH147" s="48">
        <v>11816.286</v>
      </c>
      <c r="AI147" s="46" t="s">
        <v>121</v>
      </c>
    </row>
    <row r="148" spans="1:35" x14ac:dyDescent="0.3">
      <c r="A148" s="209"/>
      <c r="B148" s="50" t="s">
        <v>180</v>
      </c>
      <c r="C148" s="49">
        <v>3849.2449999999999</v>
      </c>
      <c r="D148" s="49">
        <v>3751.6950000000002</v>
      </c>
      <c r="E148" s="49">
        <v>3132.933</v>
      </c>
      <c r="F148" s="49">
        <v>2406.8150000000001</v>
      </c>
      <c r="G148" s="49">
        <v>3046.9870000000001</v>
      </c>
      <c r="H148" s="49">
        <v>2610.373</v>
      </c>
      <c r="I148" s="49">
        <v>2366.33</v>
      </c>
      <c r="J148" s="49">
        <v>2557.462</v>
      </c>
      <c r="K148" s="49">
        <v>2578.2280000000001</v>
      </c>
      <c r="L148" s="49">
        <v>2304.6889999999999</v>
      </c>
      <c r="M148" s="49">
        <v>2798.2159999999999</v>
      </c>
      <c r="N148" s="49">
        <v>3056.7730000000001</v>
      </c>
      <c r="O148" s="49">
        <v>2712.2220000000002</v>
      </c>
      <c r="P148" s="49">
        <v>2490.1390000000001</v>
      </c>
      <c r="Q148" s="49">
        <v>2769.3449999999998</v>
      </c>
      <c r="R148" s="49">
        <v>2541.6010000000001</v>
      </c>
      <c r="S148" s="49">
        <v>2375.9430000000002</v>
      </c>
      <c r="T148" s="49">
        <v>2565.2629999999999</v>
      </c>
      <c r="U148" s="49">
        <v>2812.38</v>
      </c>
      <c r="V148" s="49">
        <v>2283.1950000000002</v>
      </c>
      <c r="W148" s="49">
        <v>2619.4830000000002</v>
      </c>
      <c r="X148" s="49">
        <v>2550.5659999999998</v>
      </c>
      <c r="Y148" s="49">
        <v>3830.5349999999999</v>
      </c>
      <c r="Z148" s="49">
        <v>2476.2109999999998</v>
      </c>
      <c r="AA148" s="49">
        <v>2570.2809999999999</v>
      </c>
      <c r="AB148" s="49">
        <v>2556.2139999999999</v>
      </c>
      <c r="AC148" s="49">
        <v>2772.308</v>
      </c>
      <c r="AD148" s="49">
        <v>2539.0129999999999</v>
      </c>
      <c r="AE148" s="49">
        <v>2695.5790000000002</v>
      </c>
      <c r="AF148" s="49">
        <v>3033.08</v>
      </c>
      <c r="AG148" s="49">
        <v>2967.027</v>
      </c>
      <c r="AH148" s="49">
        <v>3075.6959999999999</v>
      </c>
      <c r="AI148" s="47" t="s">
        <v>121</v>
      </c>
    </row>
    <row r="149" spans="1:35" x14ac:dyDescent="0.3">
      <c r="A149" s="209"/>
      <c r="B149" s="50" t="s">
        <v>181</v>
      </c>
      <c r="C149" s="48">
        <v>4777.5690000000004</v>
      </c>
      <c r="D149" s="48">
        <v>4702.1059999999998</v>
      </c>
      <c r="E149" s="48">
        <v>5546.6440000000002</v>
      </c>
      <c r="F149" s="48">
        <v>4550.0029999999997</v>
      </c>
      <c r="G149" s="48">
        <v>4913.33</v>
      </c>
      <c r="H149" s="48">
        <v>5237.24</v>
      </c>
      <c r="I149" s="48">
        <v>5067.9340000000002</v>
      </c>
      <c r="J149" s="48">
        <v>5977.1769999999997</v>
      </c>
      <c r="K149" s="48">
        <v>6574.7669999999998</v>
      </c>
      <c r="L149" s="48">
        <v>7154.4840000000004</v>
      </c>
      <c r="M149" s="48">
        <v>7805.4530000000004</v>
      </c>
      <c r="N149" s="48">
        <v>7623.6350000000002</v>
      </c>
      <c r="O149" s="48">
        <v>7555.5050000000001</v>
      </c>
      <c r="P149" s="48">
        <v>7427.6819999999998</v>
      </c>
      <c r="Q149" s="48">
        <v>7609.54</v>
      </c>
      <c r="R149" s="48">
        <v>7802.7449999999999</v>
      </c>
      <c r="S149" s="48">
        <v>7850.2219999999998</v>
      </c>
      <c r="T149" s="48">
        <v>9182.6419999999998</v>
      </c>
      <c r="U149" s="48">
        <v>8671.8529999999992</v>
      </c>
      <c r="V149" s="48">
        <v>6608.9889999999996</v>
      </c>
      <c r="W149" s="48">
        <v>8610.5339999999997</v>
      </c>
      <c r="X149" s="48">
        <v>11285.212</v>
      </c>
      <c r="Y149" s="48">
        <v>11040.349</v>
      </c>
      <c r="Z149" s="48">
        <v>11420.808000000001</v>
      </c>
      <c r="AA149" s="48">
        <v>11349.46</v>
      </c>
      <c r="AB149" s="48">
        <v>10734.579</v>
      </c>
      <c r="AC149" s="48">
        <v>10940.075000000001</v>
      </c>
      <c r="AD149" s="48">
        <v>11708.705</v>
      </c>
      <c r="AE149" s="48">
        <v>12385.31</v>
      </c>
      <c r="AF149" s="48">
        <v>12846.416999999999</v>
      </c>
      <c r="AG149" s="48">
        <v>12757.082</v>
      </c>
      <c r="AH149" s="48">
        <v>14714.322</v>
      </c>
      <c r="AI149" s="46" t="s">
        <v>121</v>
      </c>
    </row>
    <row r="150" spans="1:35" x14ac:dyDescent="0.3">
      <c r="A150" s="209"/>
      <c r="B150" s="44" t="s">
        <v>182</v>
      </c>
      <c r="C150" s="49">
        <v>152425.68400000001</v>
      </c>
      <c r="D150" s="49">
        <v>160376.351</v>
      </c>
      <c r="E150" s="49">
        <v>162945.01999999999</v>
      </c>
      <c r="F150" s="49">
        <v>152376.106</v>
      </c>
      <c r="G150" s="49">
        <v>154494.17600000001</v>
      </c>
      <c r="H150" s="49">
        <v>153880.35800000001</v>
      </c>
      <c r="I150" s="49">
        <v>164046.22399999999</v>
      </c>
      <c r="J150" s="49">
        <v>164171.16099999999</v>
      </c>
      <c r="K150" s="49">
        <v>171160.35500000001</v>
      </c>
      <c r="L150" s="49">
        <v>172095.25599999999</v>
      </c>
      <c r="M150" s="49">
        <v>177906.541</v>
      </c>
      <c r="N150" s="49">
        <v>174443.56299999999</v>
      </c>
      <c r="O150" s="49">
        <v>175002.40900000001</v>
      </c>
      <c r="P150" s="49">
        <v>177158.052</v>
      </c>
      <c r="Q150" s="49">
        <v>188323.14300000001</v>
      </c>
      <c r="R150" s="49">
        <v>191790.24</v>
      </c>
      <c r="S150" s="49">
        <v>190456.52499999999</v>
      </c>
      <c r="T150" s="49">
        <v>185685.853</v>
      </c>
      <c r="U150" s="49">
        <v>190558.728</v>
      </c>
      <c r="V150" s="49">
        <v>171459.269</v>
      </c>
      <c r="W150" s="49">
        <v>178206.25399999999</v>
      </c>
      <c r="X150" s="49">
        <v>185906.76</v>
      </c>
      <c r="Y150" s="49">
        <v>182320.27100000001</v>
      </c>
      <c r="Z150" s="49">
        <v>180841.90900000001</v>
      </c>
      <c r="AA150" s="49">
        <v>170371.35800000001</v>
      </c>
      <c r="AB150" s="49">
        <v>175369.95300000001</v>
      </c>
      <c r="AC150" s="49">
        <v>174635.94699999999</v>
      </c>
      <c r="AD150" s="49">
        <v>179657.83499999999</v>
      </c>
      <c r="AE150" s="49">
        <v>177217.45300000001</v>
      </c>
      <c r="AF150" s="49">
        <v>176741.21</v>
      </c>
      <c r="AG150" s="49">
        <v>145849.35699999999</v>
      </c>
      <c r="AH150" s="49">
        <v>151256.122</v>
      </c>
      <c r="AI150" s="49">
        <v>152659.37</v>
      </c>
    </row>
    <row r="151" spans="1:35" x14ac:dyDescent="0.3">
      <c r="A151" s="209"/>
      <c r="B151" s="50" t="s">
        <v>183</v>
      </c>
      <c r="C151" s="48">
        <v>19956.316999999999</v>
      </c>
      <c r="D151" s="48">
        <v>22363.15</v>
      </c>
      <c r="E151" s="48">
        <v>23224.866000000002</v>
      </c>
      <c r="F151" s="48">
        <v>14876.305</v>
      </c>
      <c r="G151" s="48">
        <v>13502.502</v>
      </c>
      <c r="H151" s="48">
        <v>14311.421</v>
      </c>
      <c r="I151" s="48">
        <v>16434.215</v>
      </c>
      <c r="J151" s="48">
        <v>14350.31</v>
      </c>
      <c r="K151" s="48">
        <v>14785.082</v>
      </c>
      <c r="L151" s="48">
        <v>19572.101999999999</v>
      </c>
      <c r="M151" s="48">
        <v>20949.330999999998</v>
      </c>
      <c r="N151" s="48">
        <v>17727.945</v>
      </c>
      <c r="O151" s="48">
        <v>18053.703000000001</v>
      </c>
      <c r="P151" s="48">
        <v>17613.594000000001</v>
      </c>
      <c r="Q151" s="48">
        <v>20553.762999999999</v>
      </c>
      <c r="R151" s="48">
        <v>20453.893</v>
      </c>
      <c r="S151" s="48">
        <v>20337.121999999999</v>
      </c>
      <c r="T151" s="48">
        <v>20956.365000000002</v>
      </c>
      <c r="U151" s="48">
        <v>22195.246999999999</v>
      </c>
      <c r="V151" s="48">
        <v>16566.898000000001</v>
      </c>
      <c r="W151" s="48">
        <v>20050.504000000001</v>
      </c>
      <c r="X151" s="48">
        <v>16274.248</v>
      </c>
      <c r="Y151" s="48">
        <v>18416.238000000001</v>
      </c>
      <c r="Z151" s="48">
        <v>19397.085999999999</v>
      </c>
      <c r="AA151" s="48">
        <v>15135.841</v>
      </c>
      <c r="AB151" s="48">
        <v>14466.807000000001</v>
      </c>
      <c r="AC151" s="48">
        <v>13627.028</v>
      </c>
      <c r="AD151" s="48">
        <v>15778.406000000001</v>
      </c>
      <c r="AE151" s="48">
        <v>14230.553</v>
      </c>
      <c r="AF151" s="48">
        <v>11066.281000000001</v>
      </c>
      <c r="AG151" s="48">
        <v>8141.6369999999997</v>
      </c>
      <c r="AH151" s="48">
        <v>8721.0930000000008</v>
      </c>
      <c r="AI151" s="46" t="s">
        <v>121</v>
      </c>
    </row>
    <row r="152" spans="1:35" x14ac:dyDescent="0.3">
      <c r="A152" s="209"/>
      <c r="B152" s="50" t="s">
        <v>184</v>
      </c>
      <c r="C152" s="49">
        <v>138.25399999999999</v>
      </c>
      <c r="D152" s="49">
        <v>143.80600000000001</v>
      </c>
      <c r="E152" s="49">
        <v>131.07599999999999</v>
      </c>
      <c r="F152" s="49">
        <v>107.283</v>
      </c>
      <c r="G152" s="49">
        <v>94.301000000000002</v>
      </c>
      <c r="H152" s="49">
        <v>73.400000000000006</v>
      </c>
      <c r="I152" s="49">
        <v>70.606999999999999</v>
      </c>
      <c r="J152" s="49">
        <v>78.727000000000004</v>
      </c>
      <c r="K152" s="49">
        <v>49.204999999999998</v>
      </c>
      <c r="L152" s="49">
        <v>27.867000000000001</v>
      </c>
      <c r="M152" s="49">
        <v>44.249000000000002</v>
      </c>
      <c r="N152" s="49">
        <v>103.815</v>
      </c>
      <c r="O152" s="49">
        <v>39.472999999999999</v>
      </c>
      <c r="P152" s="49">
        <v>68.91</v>
      </c>
      <c r="Q152" s="49">
        <v>67.786000000000001</v>
      </c>
      <c r="R152" s="49">
        <v>108.502</v>
      </c>
      <c r="S152" s="49">
        <v>137.61099999999999</v>
      </c>
      <c r="T152" s="49">
        <v>193.66</v>
      </c>
      <c r="U152" s="49">
        <v>201.99199999999999</v>
      </c>
      <c r="V152" s="49">
        <v>165.685</v>
      </c>
      <c r="W152" s="49">
        <v>139.59800000000001</v>
      </c>
      <c r="X152" s="49">
        <v>140.55000000000001</v>
      </c>
      <c r="Y152" s="49">
        <v>148.364</v>
      </c>
      <c r="Z152" s="49">
        <v>209.864</v>
      </c>
      <c r="AA152" s="49">
        <v>217.29599999999999</v>
      </c>
      <c r="AB152" s="49">
        <v>172.35599999999999</v>
      </c>
      <c r="AC152" s="49">
        <v>143.535</v>
      </c>
      <c r="AD152" s="49">
        <v>118.625</v>
      </c>
      <c r="AE152" s="49">
        <v>112.108</v>
      </c>
      <c r="AF152" s="49">
        <v>106.152</v>
      </c>
      <c r="AG152" s="49">
        <v>62.741999999999997</v>
      </c>
      <c r="AH152" s="49">
        <v>69.462999999999994</v>
      </c>
      <c r="AI152" s="47" t="s">
        <v>121</v>
      </c>
    </row>
    <row r="153" spans="1:35" x14ac:dyDescent="0.3">
      <c r="A153" s="209"/>
      <c r="B153" s="50" t="s">
        <v>185</v>
      </c>
      <c r="C153" s="48">
        <v>19249.031999999999</v>
      </c>
      <c r="D153" s="48">
        <v>21661.274000000001</v>
      </c>
      <c r="E153" s="48">
        <v>22575.181</v>
      </c>
      <c r="F153" s="48">
        <v>14304.781999999999</v>
      </c>
      <c r="G153" s="48">
        <v>12882.564</v>
      </c>
      <c r="H153" s="48">
        <v>13701.982</v>
      </c>
      <c r="I153" s="48">
        <v>15862.977000000001</v>
      </c>
      <c r="J153" s="48">
        <v>13723.308000000001</v>
      </c>
      <c r="K153" s="48">
        <v>14123.876</v>
      </c>
      <c r="L153" s="48">
        <v>18959.571</v>
      </c>
      <c r="M153" s="48">
        <v>20223.883999999998</v>
      </c>
      <c r="N153" s="48">
        <v>16965.651999999998</v>
      </c>
      <c r="O153" s="48">
        <v>17348.395</v>
      </c>
      <c r="P153" s="48">
        <v>16815.662</v>
      </c>
      <c r="Q153" s="48">
        <v>19509.974999999999</v>
      </c>
      <c r="R153" s="48">
        <v>19590.620999999999</v>
      </c>
      <c r="S153" s="48">
        <v>19462.137999999999</v>
      </c>
      <c r="T153" s="48">
        <v>20061.098999999998</v>
      </c>
      <c r="U153" s="48">
        <v>21308.402999999998</v>
      </c>
      <c r="V153" s="48">
        <v>15682.628000000001</v>
      </c>
      <c r="W153" s="48">
        <v>18781.285</v>
      </c>
      <c r="X153" s="48">
        <v>15421.800999999999</v>
      </c>
      <c r="Y153" s="48">
        <v>17597.565999999999</v>
      </c>
      <c r="Z153" s="48">
        <v>18522.419000000002</v>
      </c>
      <c r="AA153" s="48">
        <v>14285.22</v>
      </c>
      <c r="AB153" s="48">
        <v>13664.09</v>
      </c>
      <c r="AC153" s="48">
        <v>12879.825999999999</v>
      </c>
      <c r="AD153" s="48">
        <v>15047.62</v>
      </c>
      <c r="AE153" s="48">
        <v>13469.447</v>
      </c>
      <c r="AF153" s="48">
        <v>10402.995000000001</v>
      </c>
      <c r="AG153" s="48">
        <v>7378.32</v>
      </c>
      <c r="AH153" s="48">
        <v>8020.0590000000002</v>
      </c>
      <c r="AI153" s="46" t="s">
        <v>121</v>
      </c>
    </row>
    <row r="154" spans="1:35" x14ac:dyDescent="0.3">
      <c r="A154" s="209"/>
      <c r="B154" s="50" t="s">
        <v>186</v>
      </c>
      <c r="C154" s="49">
        <v>13.204000000000001</v>
      </c>
      <c r="D154" s="49">
        <v>18.920000000000002</v>
      </c>
      <c r="E154" s="49">
        <v>15.749000000000001</v>
      </c>
      <c r="F154" s="49">
        <v>75.738</v>
      </c>
      <c r="G154" s="49">
        <v>125.39700000000001</v>
      </c>
      <c r="H154" s="49">
        <v>107.71</v>
      </c>
      <c r="I154" s="49">
        <v>58.284999999999997</v>
      </c>
      <c r="J154" s="49">
        <v>22.649000000000001</v>
      </c>
      <c r="K154" s="49">
        <v>27.721</v>
      </c>
      <c r="L154" s="49">
        <v>9.36</v>
      </c>
      <c r="M154" s="49">
        <v>56.38</v>
      </c>
      <c r="N154" s="49">
        <v>29.609000000000002</v>
      </c>
      <c r="O154" s="49">
        <v>4.7649999999999997</v>
      </c>
      <c r="P154" s="49">
        <v>50.716000000000001</v>
      </c>
      <c r="Q154" s="49">
        <v>307.43099999999998</v>
      </c>
      <c r="R154" s="49">
        <v>74.394999999999996</v>
      </c>
      <c r="S154" s="49">
        <v>72.888999999999996</v>
      </c>
      <c r="T154" s="49">
        <v>47.234999999999999</v>
      </c>
      <c r="U154" s="49">
        <v>34.046999999999997</v>
      </c>
      <c r="V154" s="49">
        <v>47.488</v>
      </c>
      <c r="W154" s="49">
        <v>468.923</v>
      </c>
      <c r="X154" s="49">
        <v>40.875999999999998</v>
      </c>
      <c r="Y154" s="49">
        <v>51.107999999999997</v>
      </c>
      <c r="Z154" s="49">
        <v>49.070999999999998</v>
      </c>
      <c r="AA154" s="49">
        <v>40.881</v>
      </c>
      <c r="AB154" s="49">
        <v>45.59</v>
      </c>
      <c r="AC154" s="49">
        <v>16.454000000000001</v>
      </c>
      <c r="AD154" s="49">
        <v>0.28100000000000003</v>
      </c>
      <c r="AE154" s="49">
        <v>10.050000000000001</v>
      </c>
      <c r="AF154" s="49">
        <v>0.60599999999999998</v>
      </c>
      <c r="AG154" s="49">
        <v>0.86199999999999999</v>
      </c>
      <c r="AH154" s="49">
        <v>1.109</v>
      </c>
      <c r="AI154" s="47" t="s">
        <v>121</v>
      </c>
    </row>
    <row r="155" spans="1:35" x14ac:dyDescent="0.3">
      <c r="A155" s="209"/>
      <c r="B155" s="50" t="s">
        <v>187</v>
      </c>
      <c r="C155" s="48">
        <v>555.827</v>
      </c>
      <c r="D155" s="48">
        <v>539.15</v>
      </c>
      <c r="E155" s="48">
        <v>502.85899999999998</v>
      </c>
      <c r="F155" s="48">
        <v>388.50099999999998</v>
      </c>
      <c r="G155" s="48">
        <v>400.24</v>
      </c>
      <c r="H155" s="48">
        <v>428.32799999999997</v>
      </c>
      <c r="I155" s="48">
        <v>442.346</v>
      </c>
      <c r="J155" s="48">
        <v>525.625</v>
      </c>
      <c r="K155" s="48">
        <v>584.28</v>
      </c>
      <c r="L155" s="48">
        <v>575.30399999999997</v>
      </c>
      <c r="M155" s="48">
        <v>624.81799999999998</v>
      </c>
      <c r="N155" s="48">
        <v>628.86900000000003</v>
      </c>
      <c r="O155" s="48">
        <v>661.07100000000003</v>
      </c>
      <c r="P155" s="48">
        <v>678.30499999999995</v>
      </c>
      <c r="Q155" s="48">
        <v>668.572</v>
      </c>
      <c r="R155" s="48">
        <v>680.37400000000002</v>
      </c>
      <c r="S155" s="48">
        <v>664.48400000000004</v>
      </c>
      <c r="T155" s="48">
        <v>654.37199999999996</v>
      </c>
      <c r="U155" s="48">
        <v>650.80499999999995</v>
      </c>
      <c r="V155" s="48">
        <v>671.09699999999998</v>
      </c>
      <c r="W155" s="48">
        <v>660.697</v>
      </c>
      <c r="X155" s="48">
        <v>671.02099999999996</v>
      </c>
      <c r="Y155" s="48">
        <v>619.20000000000005</v>
      </c>
      <c r="Z155" s="48">
        <v>615.73299999999995</v>
      </c>
      <c r="AA155" s="48">
        <v>592.44399999999996</v>
      </c>
      <c r="AB155" s="48">
        <v>584.77099999999996</v>
      </c>
      <c r="AC155" s="48">
        <v>587.21299999999997</v>
      </c>
      <c r="AD155" s="48">
        <v>611.88</v>
      </c>
      <c r="AE155" s="48">
        <v>638.94799999999998</v>
      </c>
      <c r="AF155" s="48">
        <v>556.52800000000002</v>
      </c>
      <c r="AG155" s="48">
        <v>699.71299999999997</v>
      </c>
      <c r="AH155" s="48">
        <v>630.46299999999997</v>
      </c>
      <c r="AI155" s="46" t="s">
        <v>121</v>
      </c>
    </row>
    <row r="156" spans="1:35" x14ac:dyDescent="0.3">
      <c r="A156" s="209"/>
      <c r="B156" s="50" t="s">
        <v>188</v>
      </c>
      <c r="C156" s="49">
        <v>123492.38400000001</v>
      </c>
      <c r="D156" s="49">
        <v>129543.921</v>
      </c>
      <c r="E156" s="49">
        <v>131341.965</v>
      </c>
      <c r="F156" s="49">
        <v>129483.90300000001</v>
      </c>
      <c r="G156" s="49">
        <v>131711.45300000001</v>
      </c>
      <c r="H156" s="49">
        <v>130147.09699999999</v>
      </c>
      <c r="I156" s="49">
        <v>138112.318</v>
      </c>
      <c r="J156" s="49">
        <v>139161.41899999999</v>
      </c>
      <c r="K156" s="49">
        <v>144426.51300000001</v>
      </c>
      <c r="L156" s="49">
        <v>141125.10999999999</v>
      </c>
      <c r="M156" s="49">
        <v>144377.209</v>
      </c>
      <c r="N156" s="49">
        <v>144663.57999999999</v>
      </c>
      <c r="O156" s="49">
        <v>144822.90299999999</v>
      </c>
      <c r="P156" s="49">
        <v>146882.13</v>
      </c>
      <c r="Q156" s="49">
        <v>154118.318</v>
      </c>
      <c r="R156" s="49">
        <v>158205.88399999999</v>
      </c>
      <c r="S156" s="49">
        <v>155960.99100000001</v>
      </c>
      <c r="T156" s="49">
        <v>150242.359</v>
      </c>
      <c r="U156" s="49">
        <v>154499.80900000001</v>
      </c>
      <c r="V156" s="49">
        <v>144863.49600000001</v>
      </c>
      <c r="W156" s="49">
        <v>144749.14300000001</v>
      </c>
      <c r="X156" s="49">
        <v>153072.39499999999</v>
      </c>
      <c r="Y156" s="49">
        <v>148081.296</v>
      </c>
      <c r="Z156" s="49">
        <v>145504.16200000001</v>
      </c>
      <c r="AA156" s="49">
        <v>139411.72200000001</v>
      </c>
      <c r="AB156" s="49">
        <v>144230.25200000001</v>
      </c>
      <c r="AC156" s="49">
        <v>144159.93</v>
      </c>
      <c r="AD156" s="49">
        <v>146764.003</v>
      </c>
      <c r="AE156" s="49">
        <v>145063.283</v>
      </c>
      <c r="AF156" s="49">
        <v>148171.90599999999</v>
      </c>
      <c r="AG156" s="49">
        <v>121755.694</v>
      </c>
      <c r="AH156" s="49">
        <v>123965.258</v>
      </c>
      <c r="AI156" s="47" t="s">
        <v>121</v>
      </c>
    </row>
    <row r="157" spans="1:35" x14ac:dyDescent="0.3">
      <c r="A157" s="209"/>
      <c r="B157" s="50" t="s">
        <v>189</v>
      </c>
      <c r="C157" s="48">
        <v>98489.202000000005</v>
      </c>
      <c r="D157" s="48">
        <v>103360.745</v>
      </c>
      <c r="E157" s="48">
        <v>103960.15399999999</v>
      </c>
      <c r="F157" s="48">
        <v>103390.928</v>
      </c>
      <c r="G157" s="48">
        <v>104685.03200000001</v>
      </c>
      <c r="H157" s="48">
        <v>102201.13800000001</v>
      </c>
      <c r="I157" s="48">
        <v>108266.65700000001</v>
      </c>
      <c r="J157" s="48">
        <v>109284.698</v>
      </c>
      <c r="K157" s="48">
        <v>114192.413</v>
      </c>
      <c r="L157" s="48">
        <v>106974.425</v>
      </c>
      <c r="M157" s="48">
        <v>109099.77899999999</v>
      </c>
      <c r="N157" s="48">
        <v>110170.958</v>
      </c>
      <c r="O157" s="48">
        <v>109054.609</v>
      </c>
      <c r="P157" s="48">
        <v>110922.186</v>
      </c>
      <c r="Q157" s="48">
        <v>117003.749</v>
      </c>
      <c r="R157" s="48">
        <v>119858.857</v>
      </c>
      <c r="S157" s="48">
        <v>118723.57799999999</v>
      </c>
      <c r="T157" s="48">
        <v>114762.379</v>
      </c>
      <c r="U157" s="48">
        <v>115213.56600000001</v>
      </c>
      <c r="V157" s="48">
        <v>105762.208</v>
      </c>
      <c r="W157" s="48">
        <v>106428.463</v>
      </c>
      <c r="X157" s="48">
        <v>113462.058</v>
      </c>
      <c r="Y157" s="48">
        <v>106582.04</v>
      </c>
      <c r="Z157" s="48">
        <v>102561.586</v>
      </c>
      <c r="AA157" s="48">
        <v>97050.686000000002</v>
      </c>
      <c r="AB157" s="48">
        <v>102068.773</v>
      </c>
      <c r="AC157" s="48">
        <v>101543.32799999999</v>
      </c>
      <c r="AD157" s="48">
        <v>104687.118</v>
      </c>
      <c r="AE157" s="48">
        <v>102717.295</v>
      </c>
      <c r="AF157" s="48">
        <v>109279.851</v>
      </c>
      <c r="AG157" s="48">
        <v>90972.157999999996</v>
      </c>
      <c r="AH157" s="48">
        <v>92758.415999999997</v>
      </c>
      <c r="AI157" s="46" t="s">
        <v>121</v>
      </c>
    </row>
    <row r="158" spans="1:35" x14ac:dyDescent="0.3">
      <c r="A158" s="209"/>
      <c r="B158" s="50" t="s">
        <v>190</v>
      </c>
      <c r="C158" s="49">
        <v>19097.84</v>
      </c>
      <c r="D158" s="49">
        <v>20274.736000000001</v>
      </c>
      <c r="E158" s="49">
        <v>21327.657999999999</v>
      </c>
      <c r="F158" s="49">
        <v>20018.654999999999</v>
      </c>
      <c r="G158" s="49">
        <v>20835.817999999999</v>
      </c>
      <c r="H158" s="49">
        <v>21814.103999999999</v>
      </c>
      <c r="I158" s="49">
        <v>23534.807000000001</v>
      </c>
      <c r="J158" s="49">
        <v>23681.797999999999</v>
      </c>
      <c r="K158" s="49">
        <v>23928.285</v>
      </c>
      <c r="L158" s="49">
        <v>27540.531999999999</v>
      </c>
      <c r="M158" s="49">
        <v>28291.243999999999</v>
      </c>
      <c r="N158" s="49">
        <v>27741.149000000001</v>
      </c>
      <c r="O158" s="49">
        <v>29112.003000000001</v>
      </c>
      <c r="P158" s="49">
        <v>29471.25</v>
      </c>
      <c r="Q158" s="49">
        <v>31027.078000000001</v>
      </c>
      <c r="R158" s="49">
        <v>32329.935000000001</v>
      </c>
      <c r="S158" s="49">
        <v>31191.126</v>
      </c>
      <c r="T158" s="49">
        <v>29447.621999999999</v>
      </c>
      <c r="U158" s="49">
        <v>31291.947</v>
      </c>
      <c r="V158" s="49">
        <v>31718.098000000002</v>
      </c>
      <c r="W158" s="49">
        <v>30746.591</v>
      </c>
      <c r="X158" s="49">
        <v>31657.546999999999</v>
      </c>
      <c r="Y158" s="49">
        <v>33855.629000000001</v>
      </c>
      <c r="Z158" s="49">
        <v>35394.205000000002</v>
      </c>
      <c r="AA158" s="49">
        <v>34884.54</v>
      </c>
      <c r="AB158" s="49">
        <v>34526.425999999999</v>
      </c>
      <c r="AC158" s="49">
        <v>35119.436000000002</v>
      </c>
      <c r="AD158" s="49">
        <v>34572.351999999999</v>
      </c>
      <c r="AE158" s="49">
        <v>34669.197</v>
      </c>
      <c r="AF158" s="49">
        <v>30995.25</v>
      </c>
      <c r="AG158" s="49">
        <v>26508.254000000001</v>
      </c>
      <c r="AH158" s="49">
        <v>26931.561000000002</v>
      </c>
      <c r="AI158" s="47" t="s">
        <v>121</v>
      </c>
    </row>
    <row r="159" spans="1:35" x14ac:dyDescent="0.3">
      <c r="A159" s="209"/>
      <c r="B159" s="50" t="s">
        <v>191</v>
      </c>
      <c r="C159" s="48">
        <v>5905.3419999999996</v>
      </c>
      <c r="D159" s="48">
        <v>5908.4409999999998</v>
      </c>
      <c r="E159" s="48">
        <v>6054.1530000000002</v>
      </c>
      <c r="F159" s="48">
        <v>6074.3190000000004</v>
      </c>
      <c r="G159" s="48">
        <v>6190.6030000000001</v>
      </c>
      <c r="H159" s="48">
        <v>6131.8549999999996</v>
      </c>
      <c r="I159" s="48">
        <v>6310.8540000000003</v>
      </c>
      <c r="J159" s="48">
        <v>6194.9219999999996</v>
      </c>
      <c r="K159" s="48">
        <v>6305.8140000000003</v>
      </c>
      <c r="L159" s="48">
        <v>6610.152</v>
      </c>
      <c r="M159" s="48">
        <v>6986.1869999999999</v>
      </c>
      <c r="N159" s="48">
        <v>6751.4719999999998</v>
      </c>
      <c r="O159" s="48">
        <v>6656.2920000000004</v>
      </c>
      <c r="P159" s="48">
        <v>6488.6949999999997</v>
      </c>
      <c r="Q159" s="48">
        <v>6087.4920000000002</v>
      </c>
      <c r="R159" s="48">
        <v>6017.0919999999996</v>
      </c>
      <c r="S159" s="48">
        <v>6046.2870000000003</v>
      </c>
      <c r="T159" s="48">
        <v>6032.3580000000002</v>
      </c>
      <c r="U159" s="48">
        <v>7994.2960000000003</v>
      </c>
      <c r="V159" s="48">
        <v>7383.19</v>
      </c>
      <c r="W159" s="48">
        <v>7574.0889999999999</v>
      </c>
      <c r="X159" s="48">
        <v>7952.79</v>
      </c>
      <c r="Y159" s="48">
        <v>7643.6270000000004</v>
      </c>
      <c r="Z159" s="48">
        <v>7548.37</v>
      </c>
      <c r="AA159" s="48">
        <v>7476.4949999999999</v>
      </c>
      <c r="AB159" s="48">
        <v>7635.0540000000001</v>
      </c>
      <c r="AC159" s="48">
        <v>7497.1660000000002</v>
      </c>
      <c r="AD159" s="48">
        <v>7504.5330000000004</v>
      </c>
      <c r="AE159" s="48">
        <v>7676.7910000000002</v>
      </c>
      <c r="AF159" s="48">
        <v>7896.8040000000001</v>
      </c>
      <c r="AG159" s="48">
        <v>4275.2809999999999</v>
      </c>
      <c r="AH159" s="48">
        <v>4275.2809999999999</v>
      </c>
      <c r="AI159" s="46" t="s">
        <v>121</v>
      </c>
    </row>
    <row r="160" spans="1:35" x14ac:dyDescent="0.3">
      <c r="A160" s="209"/>
      <c r="B160" s="50" t="s">
        <v>192</v>
      </c>
      <c r="C160" s="49">
        <v>1786.0609999999999</v>
      </c>
      <c r="D160" s="49">
        <v>1788.375</v>
      </c>
      <c r="E160" s="49">
        <v>1876.684</v>
      </c>
      <c r="F160" s="49">
        <v>1796.4380000000001</v>
      </c>
      <c r="G160" s="49">
        <v>1876.8869999999999</v>
      </c>
      <c r="H160" s="49">
        <v>1866.0309999999999</v>
      </c>
      <c r="I160" s="49">
        <v>1768.99</v>
      </c>
      <c r="J160" s="49">
        <v>1734.9169999999999</v>
      </c>
      <c r="K160" s="49">
        <v>1794.7059999999999</v>
      </c>
      <c r="L160" s="49">
        <v>1714.037</v>
      </c>
      <c r="M160" s="49">
        <v>1729.9780000000001</v>
      </c>
      <c r="N160" s="49">
        <v>1696.7619999999999</v>
      </c>
      <c r="O160" s="49">
        <v>1615.127</v>
      </c>
      <c r="P160" s="49">
        <v>1581.377</v>
      </c>
      <c r="Q160" s="49">
        <v>1524.4</v>
      </c>
      <c r="R160" s="49">
        <v>1532.2840000000001</v>
      </c>
      <c r="S160" s="49">
        <v>1535.126</v>
      </c>
      <c r="T160" s="49">
        <v>1553.77</v>
      </c>
      <c r="U160" s="49">
        <v>1856.1780000000001</v>
      </c>
      <c r="V160" s="49">
        <v>1759.1010000000001</v>
      </c>
      <c r="W160" s="49">
        <v>1917.751</v>
      </c>
      <c r="X160" s="49">
        <v>1977.6410000000001</v>
      </c>
      <c r="Y160" s="49">
        <v>1813.3440000000001</v>
      </c>
      <c r="Z160" s="49">
        <v>1785.453</v>
      </c>
      <c r="AA160" s="49">
        <v>1921.6669999999999</v>
      </c>
      <c r="AB160" s="49">
        <v>1872.402</v>
      </c>
      <c r="AC160" s="49">
        <v>1944.896</v>
      </c>
      <c r="AD160" s="49">
        <v>2031.046</v>
      </c>
      <c r="AE160" s="49">
        <v>2059.2069999999999</v>
      </c>
      <c r="AF160" s="49">
        <v>2144.4140000000002</v>
      </c>
      <c r="AG160" s="49">
        <v>1607.655</v>
      </c>
      <c r="AH160" s="49">
        <v>1607.655</v>
      </c>
      <c r="AI160" s="47" t="s">
        <v>121</v>
      </c>
    </row>
    <row r="161" spans="1:35" x14ac:dyDescent="0.3">
      <c r="A161" s="209"/>
      <c r="B161" s="50" t="s">
        <v>193</v>
      </c>
      <c r="C161" s="48">
        <v>1775.8409999999999</v>
      </c>
      <c r="D161" s="48">
        <v>1834.087</v>
      </c>
      <c r="E161" s="48">
        <v>1591.2809999999999</v>
      </c>
      <c r="F161" s="48">
        <v>1727.8589999999999</v>
      </c>
      <c r="G161" s="48">
        <v>1578.5630000000001</v>
      </c>
      <c r="H161" s="48">
        <v>1577.239</v>
      </c>
      <c r="I161" s="48">
        <v>1549.1959999999999</v>
      </c>
      <c r="J161" s="48">
        <v>1507.4749999999999</v>
      </c>
      <c r="K161" s="48">
        <v>1380.9590000000001</v>
      </c>
      <c r="L161" s="48">
        <v>1328.079</v>
      </c>
      <c r="M161" s="48">
        <v>1560.336</v>
      </c>
      <c r="N161" s="48">
        <v>1455.136</v>
      </c>
      <c r="O161" s="48">
        <v>1422.194</v>
      </c>
      <c r="P161" s="48">
        <v>1391.421</v>
      </c>
      <c r="Q161" s="48">
        <v>880.85900000000004</v>
      </c>
      <c r="R161" s="48">
        <v>648.02499999999998</v>
      </c>
      <c r="S161" s="48">
        <v>570.71900000000005</v>
      </c>
      <c r="T161" s="48">
        <v>473.41199999999998</v>
      </c>
      <c r="U161" s="48">
        <v>683.72400000000005</v>
      </c>
      <c r="V161" s="48">
        <v>589.73900000000003</v>
      </c>
      <c r="W161" s="48">
        <v>674.904</v>
      </c>
      <c r="X161" s="48">
        <v>773.64499999999998</v>
      </c>
      <c r="Y161" s="48">
        <v>795.28499999999997</v>
      </c>
      <c r="Z161" s="48">
        <v>806.31600000000003</v>
      </c>
      <c r="AA161" s="48">
        <v>724.81200000000001</v>
      </c>
      <c r="AB161" s="48">
        <v>712.89499999999998</v>
      </c>
      <c r="AC161" s="48">
        <v>649.03700000000003</v>
      </c>
      <c r="AD161" s="48">
        <v>515.56100000000004</v>
      </c>
      <c r="AE161" s="48">
        <v>578.96500000000003</v>
      </c>
      <c r="AF161" s="48">
        <v>466.43400000000003</v>
      </c>
      <c r="AG161" s="48">
        <v>356.89499999999998</v>
      </c>
      <c r="AH161" s="48">
        <v>356.89499999999998</v>
      </c>
      <c r="AI161" s="46" t="s">
        <v>121</v>
      </c>
    </row>
    <row r="162" spans="1:35" x14ac:dyDescent="0.3">
      <c r="A162" s="209"/>
      <c r="B162" s="50" t="s">
        <v>194</v>
      </c>
      <c r="C162" s="49">
        <v>2343.4389999999999</v>
      </c>
      <c r="D162" s="49">
        <v>2285.9789999999998</v>
      </c>
      <c r="E162" s="49">
        <v>2586.1880000000001</v>
      </c>
      <c r="F162" s="49">
        <v>2550.0210000000002</v>
      </c>
      <c r="G162" s="49">
        <v>2735.154</v>
      </c>
      <c r="H162" s="49">
        <v>2688.5859999999998</v>
      </c>
      <c r="I162" s="49">
        <v>2992.6680000000001</v>
      </c>
      <c r="J162" s="49">
        <v>2952.529</v>
      </c>
      <c r="K162" s="49">
        <v>3130.1480000000001</v>
      </c>
      <c r="L162" s="49">
        <v>3568.0369999999998</v>
      </c>
      <c r="M162" s="49">
        <v>3695.8719999999998</v>
      </c>
      <c r="N162" s="49">
        <v>3599.5740000000001</v>
      </c>
      <c r="O162" s="49">
        <v>3618.97</v>
      </c>
      <c r="P162" s="49">
        <v>3515.8969999999999</v>
      </c>
      <c r="Q162" s="49">
        <v>3682.232</v>
      </c>
      <c r="R162" s="49">
        <v>3836.7829999999999</v>
      </c>
      <c r="S162" s="49">
        <v>3940.4409999999998</v>
      </c>
      <c r="T162" s="49">
        <v>4005.1750000000002</v>
      </c>
      <c r="U162" s="49">
        <v>5454.3940000000002</v>
      </c>
      <c r="V162" s="49">
        <v>5034.3500000000004</v>
      </c>
      <c r="W162" s="49">
        <v>4981.4350000000004</v>
      </c>
      <c r="X162" s="49">
        <v>5201.5039999999999</v>
      </c>
      <c r="Y162" s="49">
        <v>5034.9979999999996</v>
      </c>
      <c r="Z162" s="49">
        <v>4956.6019999999999</v>
      </c>
      <c r="AA162" s="49">
        <v>4830.0169999999998</v>
      </c>
      <c r="AB162" s="49">
        <v>5049.7569999999996</v>
      </c>
      <c r="AC162" s="49">
        <v>4903.232</v>
      </c>
      <c r="AD162" s="49">
        <v>4957.9269999999997</v>
      </c>
      <c r="AE162" s="49">
        <v>5038.6180000000004</v>
      </c>
      <c r="AF162" s="49">
        <v>5285.9570000000003</v>
      </c>
      <c r="AG162" s="49">
        <v>2310.7310000000002</v>
      </c>
      <c r="AH162" s="49">
        <v>2310.7310000000002</v>
      </c>
      <c r="AI162" s="47" t="s">
        <v>121</v>
      </c>
    </row>
    <row r="163" spans="1:35" x14ac:dyDescent="0.3">
      <c r="A163" s="209"/>
      <c r="B163" s="50" t="s">
        <v>195</v>
      </c>
      <c r="C163" s="48">
        <v>8976.9840000000004</v>
      </c>
      <c r="D163" s="48">
        <v>8469.2800000000007</v>
      </c>
      <c r="E163" s="48">
        <v>8378.1890000000003</v>
      </c>
      <c r="F163" s="48">
        <v>8015.8990000000003</v>
      </c>
      <c r="G163" s="48">
        <v>9280.2219999999998</v>
      </c>
      <c r="H163" s="48">
        <v>9421.8410000000003</v>
      </c>
      <c r="I163" s="48">
        <v>9499.69</v>
      </c>
      <c r="J163" s="48">
        <v>10659.433000000001</v>
      </c>
      <c r="K163" s="48">
        <v>11948.76</v>
      </c>
      <c r="L163" s="48">
        <v>11398.044</v>
      </c>
      <c r="M163" s="48">
        <v>12580.001</v>
      </c>
      <c r="N163" s="48">
        <v>12052.039000000001</v>
      </c>
      <c r="O163" s="48">
        <v>12125.803</v>
      </c>
      <c r="P163" s="48">
        <v>12662.328</v>
      </c>
      <c r="Q163" s="48">
        <v>13651.061</v>
      </c>
      <c r="R163" s="48">
        <v>13130.463</v>
      </c>
      <c r="S163" s="48">
        <v>14158.412</v>
      </c>
      <c r="T163" s="48">
        <v>14487.129000000001</v>
      </c>
      <c r="U163" s="48">
        <v>13863.672</v>
      </c>
      <c r="V163" s="48">
        <v>10028.875</v>
      </c>
      <c r="W163" s="48">
        <v>13406.608</v>
      </c>
      <c r="X163" s="48">
        <v>16560.117999999999</v>
      </c>
      <c r="Y163" s="48">
        <v>15822.736999999999</v>
      </c>
      <c r="Z163" s="48">
        <v>15940.661</v>
      </c>
      <c r="AA163" s="48">
        <v>15823.795</v>
      </c>
      <c r="AB163" s="48">
        <v>16672.894</v>
      </c>
      <c r="AC163" s="48">
        <v>16848.990000000002</v>
      </c>
      <c r="AD163" s="48">
        <v>17115.425999999999</v>
      </c>
      <c r="AE163" s="48">
        <v>17923.616999999998</v>
      </c>
      <c r="AF163" s="48">
        <v>17503.023000000001</v>
      </c>
      <c r="AG163" s="48">
        <v>15952.026</v>
      </c>
      <c r="AH163" s="48">
        <v>18569.771000000001</v>
      </c>
      <c r="AI163" s="46" t="s">
        <v>121</v>
      </c>
    </row>
    <row r="164" spans="1:35" x14ac:dyDescent="0.3">
      <c r="A164" s="209"/>
      <c r="B164" s="50" t="s">
        <v>8</v>
      </c>
      <c r="C164" s="49">
        <v>13770.021000000001</v>
      </c>
      <c r="D164" s="49">
        <v>13411.799000000001</v>
      </c>
      <c r="E164" s="49">
        <v>13387.012000000001</v>
      </c>
      <c r="F164" s="49">
        <v>12332.409</v>
      </c>
      <c r="G164" s="49">
        <v>13442.99</v>
      </c>
      <c r="H164" s="49">
        <v>14018.17</v>
      </c>
      <c r="I164" s="49">
        <v>12456.564</v>
      </c>
      <c r="J164" s="49">
        <v>13364.691999999999</v>
      </c>
      <c r="K164" s="49">
        <v>14371.017</v>
      </c>
      <c r="L164" s="49">
        <v>14826.847</v>
      </c>
      <c r="M164" s="49">
        <v>15824.244000000001</v>
      </c>
      <c r="N164" s="49">
        <v>15583.213</v>
      </c>
      <c r="O164" s="49">
        <v>15707.49</v>
      </c>
      <c r="P164" s="49">
        <v>16488.741999999998</v>
      </c>
      <c r="Q164" s="49">
        <v>17406.624</v>
      </c>
      <c r="R164" s="49">
        <v>17790.321</v>
      </c>
      <c r="S164" s="49">
        <v>17775.07</v>
      </c>
      <c r="T164" s="49">
        <v>18846.144</v>
      </c>
      <c r="U164" s="49">
        <v>18047.837</v>
      </c>
      <c r="V164" s="49">
        <v>15026.324000000001</v>
      </c>
      <c r="W164" s="49">
        <v>18760.414000000001</v>
      </c>
      <c r="X164" s="49">
        <v>24605.574000000001</v>
      </c>
      <c r="Y164" s="49">
        <v>23879.393</v>
      </c>
      <c r="Z164" s="49">
        <v>23365.396000000001</v>
      </c>
      <c r="AA164" s="49">
        <v>23987.752</v>
      </c>
      <c r="AB164" s="49">
        <v>23339.388999999999</v>
      </c>
      <c r="AC164" s="49">
        <v>24231.892</v>
      </c>
      <c r="AD164" s="49">
        <v>25344.097000000002</v>
      </c>
      <c r="AE164" s="49">
        <v>26801.632000000001</v>
      </c>
      <c r="AF164" s="49">
        <v>25522.027999999998</v>
      </c>
      <c r="AG164" s="49">
        <v>23979.241000000002</v>
      </c>
      <c r="AH164" s="49">
        <v>26974.516</v>
      </c>
      <c r="AI164" s="49">
        <v>29748.803</v>
      </c>
    </row>
    <row r="165" spans="1:35" x14ac:dyDescent="0.3">
      <c r="A165" s="209"/>
      <c r="B165" s="50" t="s">
        <v>196</v>
      </c>
      <c r="C165" s="46"/>
      <c r="D165" s="46"/>
      <c r="E165" s="46"/>
      <c r="F165" s="46"/>
      <c r="G165" s="46"/>
      <c r="H165" s="46"/>
      <c r="I165" s="46"/>
      <c r="J165" s="46"/>
      <c r="K165" s="46"/>
      <c r="L165" s="46"/>
      <c r="M165" s="48">
        <v>4.1000000000000002E-2</v>
      </c>
      <c r="N165" s="48">
        <v>2.726</v>
      </c>
      <c r="O165" s="48">
        <v>6.2649999999999997</v>
      </c>
      <c r="P165" s="48">
        <v>10.526</v>
      </c>
      <c r="Q165" s="48">
        <v>11.282</v>
      </c>
      <c r="R165" s="48">
        <v>29.192</v>
      </c>
      <c r="S165" s="48">
        <v>22.382999999999999</v>
      </c>
      <c r="T165" s="48">
        <v>21.074999999999999</v>
      </c>
      <c r="U165" s="48">
        <v>44.908000000000001</v>
      </c>
      <c r="V165" s="48">
        <v>285.226</v>
      </c>
      <c r="W165" s="48">
        <v>285.78899999999999</v>
      </c>
      <c r="X165" s="48">
        <v>129.578</v>
      </c>
      <c r="Y165" s="48">
        <v>33.436</v>
      </c>
      <c r="Z165" s="48">
        <v>41.381999999999998</v>
      </c>
      <c r="AA165" s="48">
        <v>61.401000000000003</v>
      </c>
      <c r="AB165" s="48">
        <v>50.49</v>
      </c>
      <c r="AC165" s="48">
        <v>39.386000000000003</v>
      </c>
      <c r="AD165" s="48">
        <v>43.101999999999997</v>
      </c>
      <c r="AE165" s="48">
        <v>53.363999999999997</v>
      </c>
      <c r="AF165" s="48">
        <v>83.572999999999993</v>
      </c>
      <c r="AG165" s="48">
        <v>118.31</v>
      </c>
      <c r="AH165" s="48">
        <v>119.526</v>
      </c>
      <c r="AI165" s="48">
        <v>117.94</v>
      </c>
    </row>
    <row r="166" spans="1:35" x14ac:dyDescent="0.3">
      <c r="A166" s="209"/>
      <c r="B166" s="44" t="s">
        <v>197</v>
      </c>
      <c r="C166" s="49">
        <v>63365.805</v>
      </c>
      <c r="D166" s="49">
        <v>63310.508000000002</v>
      </c>
      <c r="E166" s="49">
        <v>64702.288</v>
      </c>
      <c r="F166" s="49">
        <v>62972.692000000003</v>
      </c>
      <c r="G166" s="49">
        <v>70462.52</v>
      </c>
      <c r="H166" s="49">
        <v>74425.576000000001</v>
      </c>
      <c r="I166" s="49">
        <v>87160.072</v>
      </c>
      <c r="J166" s="49">
        <v>89002.373999999996</v>
      </c>
      <c r="K166" s="49">
        <v>95318.099000000002</v>
      </c>
      <c r="L166" s="49">
        <v>102783.296</v>
      </c>
      <c r="M166" s="49">
        <v>106859.84600000001</v>
      </c>
      <c r="N166" s="49">
        <v>102956.965</v>
      </c>
      <c r="O166" s="49">
        <v>87033.191999999995</v>
      </c>
      <c r="P166" s="49">
        <v>87268.909</v>
      </c>
      <c r="Q166" s="49">
        <v>95635.040999999997</v>
      </c>
      <c r="R166" s="49">
        <v>97643.157999999996</v>
      </c>
      <c r="S166" s="49">
        <v>100063.925</v>
      </c>
      <c r="T166" s="49">
        <v>93859.642000000007</v>
      </c>
      <c r="U166" s="49">
        <v>101091.349</v>
      </c>
      <c r="V166" s="49">
        <v>69835.483999999997</v>
      </c>
      <c r="W166" s="49">
        <v>83752.441999999995</v>
      </c>
      <c r="X166" s="49">
        <v>152430.253</v>
      </c>
      <c r="Y166" s="49">
        <v>151336.21900000001</v>
      </c>
      <c r="Z166" s="49">
        <v>150932.30799999999</v>
      </c>
      <c r="AA166" s="49">
        <v>151558.63500000001</v>
      </c>
      <c r="AB166" s="49">
        <v>155327.69500000001</v>
      </c>
      <c r="AC166" s="49">
        <v>153679.93599999999</v>
      </c>
      <c r="AD166" s="49">
        <v>153472.986</v>
      </c>
      <c r="AE166" s="49">
        <v>159522.56899999999</v>
      </c>
      <c r="AF166" s="49">
        <v>161520.13399999999</v>
      </c>
      <c r="AG166" s="49">
        <v>148423.10999999999</v>
      </c>
      <c r="AH166" s="49">
        <v>160249.97399999999</v>
      </c>
      <c r="AI166" s="49">
        <v>159473.495</v>
      </c>
    </row>
    <row r="167" spans="1:35" x14ac:dyDescent="0.3">
      <c r="A167" s="209"/>
      <c r="B167" s="44" t="s">
        <v>198</v>
      </c>
      <c r="C167" s="48">
        <v>63012.923999999999</v>
      </c>
      <c r="D167" s="48">
        <v>63805.351999999999</v>
      </c>
      <c r="E167" s="48">
        <v>66303.376999999993</v>
      </c>
      <c r="F167" s="48">
        <v>57575.767</v>
      </c>
      <c r="G167" s="48">
        <v>62848.072999999997</v>
      </c>
      <c r="H167" s="48">
        <v>60894.175000000003</v>
      </c>
      <c r="I167" s="48">
        <v>44045.981</v>
      </c>
      <c r="J167" s="48">
        <v>47612.578000000001</v>
      </c>
      <c r="K167" s="48">
        <v>52151.627999999997</v>
      </c>
      <c r="L167" s="48">
        <v>52579.436999999998</v>
      </c>
      <c r="M167" s="48">
        <v>57064.851999999999</v>
      </c>
      <c r="N167" s="48">
        <v>54759.13</v>
      </c>
      <c r="O167" s="48">
        <v>75049.016000000003</v>
      </c>
      <c r="P167" s="48">
        <v>74485.078999999998</v>
      </c>
      <c r="Q167" s="48">
        <v>82505.345000000001</v>
      </c>
      <c r="R167" s="48">
        <v>83309.937999999995</v>
      </c>
      <c r="S167" s="48">
        <v>82959.519</v>
      </c>
      <c r="T167" s="48">
        <v>75577.630999999994</v>
      </c>
      <c r="U167" s="46">
        <v>81310</v>
      </c>
      <c r="V167" s="46">
        <v>59669</v>
      </c>
      <c r="W167" s="46">
        <v>85075</v>
      </c>
      <c r="X167" s="48">
        <v>63210.9</v>
      </c>
      <c r="Y167" s="48">
        <v>61367.881000000001</v>
      </c>
      <c r="Z167" s="48">
        <v>58950.803999999996</v>
      </c>
      <c r="AA167" s="48">
        <v>59956.625</v>
      </c>
      <c r="AB167" s="48">
        <v>58382.964999999997</v>
      </c>
      <c r="AC167" s="48">
        <v>58461.428</v>
      </c>
      <c r="AD167" s="48">
        <v>60004.004000000001</v>
      </c>
      <c r="AE167" s="48">
        <v>60913.692999999999</v>
      </c>
      <c r="AF167" s="48">
        <v>61189.120999999999</v>
      </c>
      <c r="AG167" s="48">
        <v>58108.233</v>
      </c>
      <c r="AH167" s="48">
        <v>62404.571000000004</v>
      </c>
      <c r="AI167" s="48">
        <v>62102.195</v>
      </c>
    </row>
    <row r="168" spans="1:35" x14ac:dyDescent="0.3">
      <c r="A168" s="210"/>
      <c r="B168" s="44" t="s">
        <v>199</v>
      </c>
      <c r="C168" s="49">
        <v>159789.86199999999</v>
      </c>
      <c r="D168" s="49">
        <v>166429.356</v>
      </c>
      <c r="E168" s="49">
        <v>162665.00700000001</v>
      </c>
      <c r="F168" s="49">
        <v>151406.283</v>
      </c>
      <c r="G168" s="49">
        <v>159153.58199999999</v>
      </c>
      <c r="H168" s="49">
        <v>160839.32</v>
      </c>
      <c r="I168" s="49">
        <v>167321.34700000001</v>
      </c>
      <c r="J168" s="49">
        <v>171260.61600000001</v>
      </c>
      <c r="K168" s="49">
        <v>177314.58100000001</v>
      </c>
      <c r="L168" s="49">
        <v>176766.00899999999</v>
      </c>
      <c r="M168" s="49">
        <v>183291.78200000001</v>
      </c>
      <c r="N168" s="49">
        <v>177402.90100000001</v>
      </c>
      <c r="O168" s="49">
        <v>175505.28899999999</v>
      </c>
      <c r="P168" s="49">
        <v>177836.42499999999</v>
      </c>
      <c r="Q168" s="49">
        <v>186665.50399999999</v>
      </c>
      <c r="R168" s="49">
        <v>185436.264</v>
      </c>
      <c r="S168" s="49">
        <v>184725.00399999999</v>
      </c>
      <c r="T168" s="49">
        <v>196739.853</v>
      </c>
      <c r="U168" s="47">
        <v>187737</v>
      </c>
      <c r="V168" s="47">
        <v>172832</v>
      </c>
      <c r="W168" s="49">
        <v>163115.78</v>
      </c>
      <c r="X168" s="49">
        <v>166701.802</v>
      </c>
      <c r="Y168" s="49">
        <v>160421.26800000001</v>
      </c>
      <c r="Z168" s="49">
        <v>163204.91200000001</v>
      </c>
      <c r="AA168" s="49">
        <v>154776.296</v>
      </c>
      <c r="AB168" s="49">
        <v>157003.46900000001</v>
      </c>
      <c r="AC168" s="49">
        <v>158440.63099999999</v>
      </c>
      <c r="AD168" s="49">
        <v>166387.07</v>
      </c>
      <c r="AE168" s="49">
        <v>160554.08499999999</v>
      </c>
      <c r="AF168" s="49">
        <v>156509.97200000001</v>
      </c>
      <c r="AG168" s="49">
        <v>128433.568</v>
      </c>
      <c r="AH168" s="49">
        <v>132725.20499999999</v>
      </c>
      <c r="AI168" s="49">
        <v>132082.095</v>
      </c>
    </row>
    <row r="169" spans="1:35" x14ac:dyDescent="0.3">
      <c r="A169" s="208" t="s">
        <v>201</v>
      </c>
      <c r="B169" s="44" t="s">
        <v>41</v>
      </c>
      <c r="C169" s="46" t="s">
        <v>121</v>
      </c>
      <c r="D169" s="46" t="s">
        <v>121</v>
      </c>
      <c r="E169" s="46" t="s">
        <v>121</v>
      </c>
      <c r="F169" s="46" t="s">
        <v>121</v>
      </c>
      <c r="G169" s="46" t="s">
        <v>121</v>
      </c>
      <c r="H169" s="46" t="s">
        <v>121</v>
      </c>
      <c r="I169" s="46" t="s">
        <v>121</v>
      </c>
      <c r="J169" s="46" t="s">
        <v>121</v>
      </c>
      <c r="K169" s="46" t="s">
        <v>121</v>
      </c>
      <c r="L169" s="46" t="s">
        <v>121</v>
      </c>
      <c r="M169" s="48">
        <v>197709.91099999999</v>
      </c>
      <c r="N169" s="48">
        <v>189530.14799999999</v>
      </c>
      <c r="O169" s="48">
        <v>187482.283</v>
      </c>
      <c r="P169" s="48">
        <v>191974.87400000001</v>
      </c>
      <c r="Q169" s="48">
        <v>193673.54699999999</v>
      </c>
      <c r="R169" s="48">
        <v>198841.565</v>
      </c>
      <c r="S169" s="48">
        <v>196239.40100000001</v>
      </c>
      <c r="T169" s="48">
        <v>191563.413</v>
      </c>
      <c r="U169" s="48">
        <v>195378.38500000001</v>
      </c>
      <c r="V169" s="48">
        <v>161335.67600000001</v>
      </c>
      <c r="W169" s="48">
        <v>183679.45499999999</v>
      </c>
      <c r="X169" s="48">
        <v>230899.51</v>
      </c>
      <c r="Y169" s="48">
        <v>219795.62</v>
      </c>
      <c r="Z169" s="48">
        <v>219596.28400000001</v>
      </c>
      <c r="AA169" s="48">
        <v>224643.473</v>
      </c>
      <c r="AB169" s="48">
        <v>225593.46</v>
      </c>
      <c r="AC169" s="48">
        <v>219919.25</v>
      </c>
      <c r="AD169" s="48">
        <v>222913.049</v>
      </c>
      <c r="AE169" s="48">
        <v>228401.34899999999</v>
      </c>
      <c r="AF169" s="48">
        <v>227910.85500000001</v>
      </c>
      <c r="AG169" s="48">
        <v>207272.092</v>
      </c>
      <c r="AH169" s="48">
        <v>212666.992</v>
      </c>
      <c r="AI169" s="48">
        <v>219280.318</v>
      </c>
    </row>
    <row r="170" spans="1:35" x14ac:dyDescent="0.3">
      <c r="A170" s="209"/>
      <c r="B170" s="44" t="s">
        <v>13</v>
      </c>
      <c r="C170" s="49">
        <v>69318.342999999993</v>
      </c>
      <c r="D170" s="49">
        <v>68757.592999999993</v>
      </c>
      <c r="E170" s="49">
        <v>71487.752999999997</v>
      </c>
      <c r="F170" s="49">
        <v>70959.092000000004</v>
      </c>
      <c r="G170" s="49">
        <v>65390.396000000001</v>
      </c>
      <c r="H170" s="49">
        <v>68318.369000000006</v>
      </c>
      <c r="I170" s="49">
        <v>67161.760999999999</v>
      </c>
      <c r="J170" s="49">
        <v>72255.83</v>
      </c>
      <c r="K170" s="49">
        <v>74555.933999999994</v>
      </c>
      <c r="L170" s="49">
        <v>82204.11</v>
      </c>
      <c r="M170" s="49">
        <v>83365.705000000002</v>
      </c>
      <c r="N170" s="49">
        <v>76860.524000000005</v>
      </c>
      <c r="O170" s="49">
        <v>76882.27</v>
      </c>
      <c r="P170" s="49">
        <v>81073.39</v>
      </c>
      <c r="Q170" s="49">
        <v>77603.489000000001</v>
      </c>
      <c r="R170" s="49">
        <v>81987.702000000005</v>
      </c>
      <c r="S170" s="49">
        <v>78409.599000000002</v>
      </c>
      <c r="T170" s="49">
        <v>72620.468999999997</v>
      </c>
      <c r="U170" s="49">
        <v>75428.202999999994</v>
      </c>
      <c r="V170" s="49">
        <v>65153.163999999997</v>
      </c>
      <c r="W170" s="49">
        <v>78127.229000000007</v>
      </c>
      <c r="X170" s="49">
        <v>99476.49</v>
      </c>
      <c r="Y170" s="49">
        <v>89080.792000000001</v>
      </c>
      <c r="Z170" s="49">
        <v>92912.653999999995</v>
      </c>
      <c r="AA170" s="49">
        <v>92286.743000000002</v>
      </c>
      <c r="AB170" s="49">
        <v>96229.187999999995</v>
      </c>
      <c r="AC170" s="49">
        <v>90274.614000000001</v>
      </c>
      <c r="AD170" s="49">
        <v>86933.736000000004</v>
      </c>
      <c r="AE170" s="49">
        <v>92216.316999999995</v>
      </c>
      <c r="AF170" s="49">
        <v>90439.6</v>
      </c>
      <c r="AG170" s="49">
        <v>88058.192999999999</v>
      </c>
      <c r="AH170" s="49">
        <v>86278.376999999993</v>
      </c>
      <c r="AI170" s="49">
        <v>92180.491999999998</v>
      </c>
    </row>
    <row r="171" spans="1:35" x14ac:dyDescent="0.3">
      <c r="A171" s="209"/>
      <c r="B171" s="50" t="s">
        <v>120</v>
      </c>
      <c r="C171" s="48">
        <v>41493.279000000002</v>
      </c>
      <c r="D171" s="48">
        <v>40117.453000000001</v>
      </c>
      <c r="E171" s="48">
        <v>43253.360999999997</v>
      </c>
      <c r="F171" s="48">
        <v>45608.692999999999</v>
      </c>
      <c r="G171" s="48">
        <v>37510.133999999998</v>
      </c>
      <c r="H171" s="48">
        <v>40550.784</v>
      </c>
      <c r="I171" s="48">
        <v>39501.775999999998</v>
      </c>
      <c r="J171" s="48">
        <v>42683.892</v>
      </c>
      <c r="K171" s="48">
        <v>43801.982000000004</v>
      </c>
      <c r="L171" s="48">
        <v>49207.438999999998</v>
      </c>
      <c r="M171" s="48">
        <v>47038.608</v>
      </c>
      <c r="N171" s="48">
        <v>41601.998</v>
      </c>
      <c r="O171" s="48">
        <v>41932.455999999998</v>
      </c>
      <c r="P171" s="48">
        <v>44411.294000000002</v>
      </c>
      <c r="Q171" s="48">
        <v>40920.82</v>
      </c>
      <c r="R171" s="48">
        <v>44111.029000000002</v>
      </c>
      <c r="S171" s="48">
        <v>43219.974999999999</v>
      </c>
      <c r="T171" s="48">
        <v>40044.614999999998</v>
      </c>
      <c r="U171" s="48">
        <v>43157.430999999997</v>
      </c>
      <c r="V171" s="48">
        <v>37959.989000000001</v>
      </c>
      <c r="W171" s="48">
        <v>42067.356</v>
      </c>
      <c r="X171" s="48">
        <v>52302.364999999998</v>
      </c>
      <c r="Y171" s="48">
        <v>42719.315000000002</v>
      </c>
      <c r="Z171" s="48">
        <v>47008.32</v>
      </c>
      <c r="AA171" s="48">
        <v>46374.803</v>
      </c>
      <c r="AB171" s="48">
        <v>49944.99</v>
      </c>
      <c r="AC171" s="48">
        <v>44445.006000000001</v>
      </c>
      <c r="AD171" s="48">
        <v>40401.063999999998</v>
      </c>
      <c r="AE171" s="48">
        <v>46109.25</v>
      </c>
      <c r="AF171" s="48">
        <v>46296.491000000002</v>
      </c>
      <c r="AG171" s="48">
        <v>45594.478999999999</v>
      </c>
      <c r="AH171" s="48">
        <v>41192.555</v>
      </c>
      <c r="AI171" s="46" t="s">
        <v>121</v>
      </c>
    </row>
    <row r="172" spans="1:35" x14ac:dyDescent="0.3">
      <c r="A172" s="209"/>
      <c r="B172" s="50" t="s">
        <v>122</v>
      </c>
      <c r="C172" s="49">
        <v>31976.868999999999</v>
      </c>
      <c r="D172" s="49">
        <v>30355.055</v>
      </c>
      <c r="E172" s="49">
        <v>33660.57</v>
      </c>
      <c r="F172" s="49">
        <v>35468.004999999997</v>
      </c>
      <c r="G172" s="49">
        <v>27962.096000000001</v>
      </c>
      <c r="H172" s="49">
        <v>29729.523000000001</v>
      </c>
      <c r="I172" s="49">
        <v>28607.83</v>
      </c>
      <c r="J172" s="49">
        <v>30250.074000000001</v>
      </c>
      <c r="K172" s="49">
        <v>30608.035</v>
      </c>
      <c r="L172" s="49">
        <v>36595.623</v>
      </c>
      <c r="M172" s="49">
        <v>34604.855000000003</v>
      </c>
      <c r="N172" s="49">
        <v>30426.87</v>
      </c>
      <c r="O172" s="49">
        <v>30098.456999999999</v>
      </c>
      <c r="P172" s="49">
        <v>32619.739000000001</v>
      </c>
      <c r="Q172" s="49">
        <v>29813.698</v>
      </c>
      <c r="R172" s="47">
        <v>32752</v>
      </c>
      <c r="S172" s="49">
        <v>30962.087</v>
      </c>
      <c r="T172" s="49">
        <v>27840.481</v>
      </c>
      <c r="U172" s="49">
        <v>31040.615000000002</v>
      </c>
      <c r="V172" s="49">
        <v>25663.315999999999</v>
      </c>
      <c r="W172" s="49">
        <v>30763.231</v>
      </c>
      <c r="X172" s="49">
        <v>40316.771999999997</v>
      </c>
      <c r="Y172" s="49">
        <v>31149.830999999998</v>
      </c>
      <c r="Z172" s="49">
        <v>36214.991000000002</v>
      </c>
      <c r="AA172" s="49">
        <v>35233.381000000001</v>
      </c>
      <c r="AB172" s="49">
        <v>38340.944000000003</v>
      </c>
      <c r="AC172" s="49">
        <v>33221.885000000002</v>
      </c>
      <c r="AD172" s="49">
        <v>28554.998</v>
      </c>
      <c r="AE172" s="49">
        <v>33532.413</v>
      </c>
      <c r="AF172" s="49">
        <v>34256.828999999998</v>
      </c>
      <c r="AG172" s="49">
        <v>34418.000999999997</v>
      </c>
      <c r="AH172" s="49">
        <v>30434.561000000002</v>
      </c>
      <c r="AI172" s="47" t="s">
        <v>121</v>
      </c>
    </row>
    <row r="173" spans="1:35" x14ac:dyDescent="0.3">
      <c r="A173" s="209"/>
      <c r="B173" s="50" t="s">
        <v>124</v>
      </c>
      <c r="C173" s="48">
        <v>440.96100000000001</v>
      </c>
      <c r="D173" s="48">
        <v>628.447</v>
      </c>
      <c r="E173" s="48">
        <v>605.49300000000005</v>
      </c>
      <c r="F173" s="48">
        <v>724.57899999999995</v>
      </c>
      <c r="G173" s="48">
        <v>697.923</v>
      </c>
      <c r="H173" s="48">
        <v>648.39499999999998</v>
      </c>
      <c r="I173" s="48">
        <v>758.28599999999994</v>
      </c>
      <c r="J173" s="48">
        <v>930.33699999999999</v>
      </c>
      <c r="K173" s="48">
        <v>1312.4369999999999</v>
      </c>
      <c r="L173" s="48">
        <v>1164.2650000000001</v>
      </c>
      <c r="M173" s="48">
        <v>1150.3399999999999</v>
      </c>
      <c r="N173" s="48">
        <v>1169.528</v>
      </c>
      <c r="O173" s="48">
        <v>1123.8520000000001</v>
      </c>
      <c r="P173" s="48">
        <v>1535.2360000000001</v>
      </c>
      <c r="Q173" s="48">
        <v>1455.662</v>
      </c>
      <c r="R173" s="48">
        <v>1534.8440000000001</v>
      </c>
      <c r="S173" s="48">
        <v>1958.5419999999999</v>
      </c>
      <c r="T173" s="48">
        <v>1959.567</v>
      </c>
      <c r="U173" s="48">
        <v>1983.577</v>
      </c>
      <c r="V173" s="48">
        <v>2058.8139999999999</v>
      </c>
      <c r="W173" s="48">
        <v>2342.1909999999998</v>
      </c>
      <c r="X173" s="48">
        <v>2365.4870000000001</v>
      </c>
      <c r="Y173" s="48">
        <v>2337.7310000000002</v>
      </c>
      <c r="Z173" s="48">
        <v>2252.1559999999999</v>
      </c>
      <c r="AA173" s="48">
        <v>2248.4</v>
      </c>
      <c r="AB173" s="48">
        <v>2310.364</v>
      </c>
      <c r="AC173" s="48">
        <v>2207.415</v>
      </c>
      <c r="AD173" s="48">
        <v>2389.4290000000001</v>
      </c>
      <c r="AE173" s="48">
        <v>2703.0770000000002</v>
      </c>
      <c r="AF173" s="48">
        <v>2709.7370000000001</v>
      </c>
      <c r="AG173" s="48">
        <v>2651.79</v>
      </c>
      <c r="AH173" s="48">
        <v>2803.0650000000001</v>
      </c>
      <c r="AI173" s="46" t="s">
        <v>121</v>
      </c>
    </row>
    <row r="174" spans="1:35" x14ac:dyDescent="0.3">
      <c r="A174" s="209"/>
      <c r="B174" s="50" t="s">
        <v>125</v>
      </c>
      <c r="C174" s="49">
        <v>3110.9940000000001</v>
      </c>
      <c r="D174" s="49">
        <v>3055.248</v>
      </c>
      <c r="E174" s="49">
        <v>3137.1709999999998</v>
      </c>
      <c r="F174" s="49">
        <v>3546.1190000000001</v>
      </c>
      <c r="G174" s="49">
        <v>3207.2779999999998</v>
      </c>
      <c r="H174" s="49">
        <v>3631.8710000000001</v>
      </c>
      <c r="I174" s="49">
        <v>2789.4140000000002</v>
      </c>
      <c r="J174" s="49">
        <v>3014.4459999999999</v>
      </c>
      <c r="K174" s="49">
        <v>3281.3760000000002</v>
      </c>
      <c r="L174" s="49">
        <v>2962.1860000000001</v>
      </c>
      <c r="M174" s="49">
        <v>3184.9769999999999</v>
      </c>
      <c r="N174" s="49">
        <v>3013.4789999999998</v>
      </c>
      <c r="O174" s="49">
        <v>2972.1970000000001</v>
      </c>
      <c r="P174" s="49">
        <v>2784.471</v>
      </c>
      <c r="Q174" s="49">
        <v>2375.9189999999999</v>
      </c>
      <c r="R174" s="49">
        <v>2582.1060000000002</v>
      </c>
      <c r="S174" s="49">
        <v>2611.4859999999999</v>
      </c>
      <c r="T174" s="49">
        <v>2174.018</v>
      </c>
      <c r="U174" s="49">
        <v>2148.62</v>
      </c>
      <c r="V174" s="49">
        <v>3705.194</v>
      </c>
      <c r="W174" s="49">
        <v>2335.9380000000001</v>
      </c>
      <c r="X174" s="49">
        <v>2348.12</v>
      </c>
      <c r="Y174" s="49">
        <v>2186.5929999999998</v>
      </c>
      <c r="Z174" s="49">
        <v>1849.077</v>
      </c>
      <c r="AA174" s="49">
        <v>2019.5889999999999</v>
      </c>
      <c r="AB174" s="49">
        <v>2339.7750000000001</v>
      </c>
      <c r="AC174" s="49">
        <v>2170.998</v>
      </c>
      <c r="AD174" s="49">
        <v>2693.7649999999999</v>
      </c>
      <c r="AE174" s="49">
        <v>3307.884</v>
      </c>
      <c r="AF174" s="49">
        <v>2592.9380000000001</v>
      </c>
      <c r="AG174" s="49">
        <v>2309.1280000000002</v>
      </c>
      <c r="AH174" s="49">
        <v>1690.652</v>
      </c>
      <c r="AI174" s="47" t="s">
        <v>121</v>
      </c>
    </row>
    <row r="175" spans="1:35" x14ac:dyDescent="0.3">
      <c r="A175" s="209"/>
      <c r="B175" s="50" t="s">
        <v>126</v>
      </c>
      <c r="C175" s="48">
        <v>1407.7270000000001</v>
      </c>
      <c r="D175" s="48">
        <v>1348.9960000000001</v>
      </c>
      <c r="E175" s="48">
        <v>966.79700000000003</v>
      </c>
      <c r="F175" s="48">
        <v>1295.0309999999999</v>
      </c>
      <c r="G175" s="48">
        <v>899.47299999999996</v>
      </c>
      <c r="H175" s="48">
        <v>1096.442</v>
      </c>
      <c r="I175" s="48">
        <v>917.83399999999995</v>
      </c>
      <c r="J175" s="48">
        <v>848.20899999999995</v>
      </c>
      <c r="K175" s="48">
        <v>1133.307</v>
      </c>
      <c r="L175" s="48">
        <v>1236.115</v>
      </c>
      <c r="M175" s="48">
        <v>836.32299999999998</v>
      </c>
      <c r="N175" s="48">
        <v>637.20299999999997</v>
      </c>
      <c r="O175" s="48">
        <v>990.37</v>
      </c>
      <c r="P175" s="48">
        <v>752.27599999999995</v>
      </c>
      <c r="Q175" s="48">
        <v>780.76199999999994</v>
      </c>
      <c r="R175" s="48">
        <v>677.69299999999998</v>
      </c>
      <c r="S175" s="48">
        <v>703.83900000000006</v>
      </c>
      <c r="T175" s="48">
        <v>567.90499999999997</v>
      </c>
      <c r="U175" s="48">
        <v>499.08600000000001</v>
      </c>
      <c r="V175" s="48">
        <v>462.36399999999998</v>
      </c>
      <c r="W175" s="48">
        <v>572.87300000000005</v>
      </c>
      <c r="X175" s="48">
        <v>607.35900000000004</v>
      </c>
      <c r="Y175" s="48">
        <v>576.14800000000002</v>
      </c>
      <c r="Z175" s="48">
        <v>430.59800000000001</v>
      </c>
      <c r="AA175" s="48">
        <v>331.36399999999998</v>
      </c>
      <c r="AB175" s="48">
        <v>408.21300000000002</v>
      </c>
      <c r="AC175" s="48">
        <v>495.495</v>
      </c>
      <c r="AD175" s="48">
        <v>438.11500000000001</v>
      </c>
      <c r="AE175" s="48">
        <v>327.495</v>
      </c>
      <c r="AF175" s="48">
        <v>361.75799999999998</v>
      </c>
      <c r="AG175" s="48">
        <v>342.85399999999998</v>
      </c>
      <c r="AH175" s="48">
        <v>317.339</v>
      </c>
      <c r="AI175" s="46" t="s">
        <v>121</v>
      </c>
    </row>
    <row r="176" spans="1:35" x14ac:dyDescent="0.3">
      <c r="A176" s="209"/>
      <c r="B176" s="50" t="s">
        <v>127</v>
      </c>
      <c r="C176" s="49">
        <v>15.875999999999999</v>
      </c>
      <c r="D176" s="49">
        <v>13.677</v>
      </c>
      <c r="E176" s="49">
        <v>14.259</v>
      </c>
      <c r="F176" s="49">
        <v>14.363</v>
      </c>
      <c r="G176" s="49">
        <v>16.989000000000001</v>
      </c>
      <c r="H176" s="49">
        <v>14.699</v>
      </c>
      <c r="I176" s="49">
        <v>18.167000000000002</v>
      </c>
      <c r="J176" s="49">
        <v>21.169</v>
      </c>
      <c r="K176" s="49">
        <v>26.172999999999998</v>
      </c>
      <c r="L176" s="49">
        <v>26.524999999999999</v>
      </c>
      <c r="M176" s="49">
        <v>29.343</v>
      </c>
      <c r="N176" s="49">
        <v>31.48</v>
      </c>
      <c r="O176" s="49">
        <v>34.768000000000001</v>
      </c>
      <c r="P176" s="49">
        <v>32.195999999999998</v>
      </c>
      <c r="Q176" s="49">
        <v>35.061999999999998</v>
      </c>
      <c r="R176" s="49">
        <v>39.488999999999997</v>
      </c>
      <c r="S176" s="49">
        <v>43.573</v>
      </c>
      <c r="T176" s="49">
        <v>45.470999999999997</v>
      </c>
      <c r="U176" s="49">
        <v>38.741999999999997</v>
      </c>
      <c r="V176" s="49">
        <v>15.848000000000001</v>
      </c>
      <c r="W176" s="49">
        <v>43.978000000000002</v>
      </c>
      <c r="X176" s="49">
        <v>52.320999999999998</v>
      </c>
      <c r="Y176" s="49">
        <v>54.222000000000001</v>
      </c>
      <c r="Z176" s="49">
        <v>56.451000000000001</v>
      </c>
      <c r="AA176" s="49">
        <v>59.177999999999997</v>
      </c>
      <c r="AB176" s="49">
        <v>59.462000000000003</v>
      </c>
      <c r="AC176" s="49">
        <v>68.37</v>
      </c>
      <c r="AD176" s="49">
        <v>70.262</v>
      </c>
      <c r="AE176" s="49">
        <v>70.664000000000001</v>
      </c>
      <c r="AF176" s="49">
        <v>70.138999999999996</v>
      </c>
      <c r="AG176" s="49">
        <v>60.610999999999997</v>
      </c>
      <c r="AH176" s="49">
        <v>60.606999999999999</v>
      </c>
      <c r="AI176" s="47" t="s">
        <v>121</v>
      </c>
    </row>
    <row r="177" spans="1:35" x14ac:dyDescent="0.3">
      <c r="A177" s="209"/>
      <c r="B177" s="50" t="s">
        <v>128</v>
      </c>
      <c r="C177" s="48">
        <v>1932.808</v>
      </c>
      <c r="D177" s="48">
        <v>1935.681</v>
      </c>
      <c r="E177" s="48">
        <v>2099.6509999999998</v>
      </c>
      <c r="F177" s="48">
        <v>1631.0519999999999</v>
      </c>
      <c r="G177" s="48">
        <v>1341.1980000000001</v>
      </c>
      <c r="H177" s="48">
        <v>1814.403</v>
      </c>
      <c r="I177" s="48">
        <v>2458.297</v>
      </c>
      <c r="J177" s="48">
        <v>3384.97</v>
      </c>
      <c r="K177" s="48">
        <v>3234.2330000000002</v>
      </c>
      <c r="L177" s="48">
        <v>2896.37</v>
      </c>
      <c r="M177" s="48">
        <v>2837.855</v>
      </c>
      <c r="N177" s="48">
        <v>1969.721</v>
      </c>
      <c r="O177" s="48">
        <v>2115.0940000000001</v>
      </c>
      <c r="P177" s="48">
        <v>2056.614</v>
      </c>
      <c r="Q177" s="48">
        <v>2144.2370000000001</v>
      </c>
      <c r="R177" s="48">
        <v>2074.3989999999999</v>
      </c>
      <c r="S177" s="48">
        <v>2375.9969999999998</v>
      </c>
      <c r="T177" s="48">
        <v>2207.8319999999999</v>
      </c>
      <c r="U177" s="48">
        <v>2422.5549999999998</v>
      </c>
      <c r="V177" s="48">
        <v>1814.2529999999999</v>
      </c>
      <c r="W177" s="48">
        <v>1956.3009999999999</v>
      </c>
      <c r="X177" s="48">
        <v>2121.5189999999998</v>
      </c>
      <c r="Y177" s="48">
        <v>2016.0440000000001</v>
      </c>
      <c r="Z177" s="48">
        <v>1796.0029999999999</v>
      </c>
      <c r="AA177" s="48">
        <v>1873.2660000000001</v>
      </c>
      <c r="AB177" s="48">
        <v>1956.1030000000001</v>
      </c>
      <c r="AC177" s="48">
        <v>1923.971</v>
      </c>
      <c r="AD177" s="48">
        <v>1872.4179999999999</v>
      </c>
      <c r="AE177" s="48">
        <v>2097.7669999999998</v>
      </c>
      <c r="AF177" s="48">
        <v>2254.6750000000002</v>
      </c>
      <c r="AG177" s="48">
        <v>1711.758</v>
      </c>
      <c r="AH177" s="48">
        <v>1823.671</v>
      </c>
      <c r="AI177" s="46" t="s">
        <v>121</v>
      </c>
    </row>
    <row r="178" spans="1:35" x14ac:dyDescent="0.3">
      <c r="A178" s="209"/>
      <c r="B178" s="50" t="s">
        <v>129</v>
      </c>
      <c r="C178" s="49">
        <v>978.41300000000001</v>
      </c>
      <c r="D178" s="49">
        <v>1128.55</v>
      </c>
      <c r="E178" s="49">
        <v>1169.6780000000001</v>
      </c>
      <c r="F178" s="49">
        <v>1121.2840000000001</v>
      </c>
      <c r="G178" s="49">
        <v>1254.1220000000001</v>
      </c>
      <c r="H178" s="49">
        <v>1246.2760000000001</v>
      </c>
      <c r="I178" s="49">
        <v>1404.4390000000001</v>
      </c>
      <c r="J178" s="49">
        <v>1516.9770000000001</v>
      </c>
      <c r="K178" s="49">
        <v>1624.096</v>
      </c>
      <c r="L178" s="49">
        <v>1645.1130000000001</v>
      </c>
      <c r="M178" s="49">
        <v>1644.547</v>
      </c>
      <c r="N178" s="49">
        <v>1694.798</v>
      </c>
      <c r="O178" s="49">
        <v>1785.171</v>
      </c>
      <c r="P178" s="49">
        <v>1811.548</v>
      </c>
      <c r="Q178" s="49">
        <v>1719.163</v>
      </c>
      <c r="R178" s="49">
        <v>1865.0039999999999</v>
      </c>
      <c r="S178" s="49">
        <v>1912.95</v>
      </c>
      <c r="T178" s="49">
        <v>1913.9780000000001</v>
      </c>
      <c r="U178" s="49">
        <v>1850.3810000000001</v>
      </c>
      <c r="V178" s="49">
        <v>1492.8789999999999</v>
      </c>
      <c r="W178" s="49">
        <v>1524.308</v>
      </c>
      <c r="X178" s="49">
        <v>1753.4559999999999</v>
      </c>
      <c r="Y178" s="49">
        <v>1680.3219999999999</v>
      </c>
      <c r="Z178" s="49">
        <v>1722.598</v>
      </c>
      <c r="AA178" s="49">
        <v>1691.57</v>
      </c>
      <c r="AB178" s="49">
        <v>1683.164</v>
      </c>
      <c r="AC178" s="49">
        <v>1671.075</v>
      </c>
      <c r="AD178" s="49">
        <v>1669.11</v>
      </c>
      <c r="AE178" s="49">
        <v>1606.3130000000001</v>
      </c>
      <c r="AF178" s="49">
        <v>1663.453</v>
      </c>
      <c r="AG178" s="49">
        <v>1713.135</v>
      </c>
      <c r="AH178" s="49">
        <v>1665.4590000000001</v>
      </c>
      <c r="AI178" s="47" t="s">
        <v>121</v>
      </c>
    </row>
    <row r="179" spans="1:35" x14ac:dyDescent="0.3">
      <c r="A179" s="209"/>
      <c r="B179" s="50" t="s">
        <v>130</v>
      </c>
      <c r="C179" s="48">
        <v>1257.681</v>
      </c>
      <c r="D179" s="48">
        <v>1238.771</v>
      </c>
      <c r="E179" s="48">
        <v>1183.5740000000001</v>
      </c>
      <c r="F179" s="48">
        <v>1375.8779999999999</v>
      </c>
      <c r="G179" s="48">
        <v>1591.008</v>
      </c>
      <c r="H179" s="48">
        <v>1800.203</v>
      </c>
      <c r="I179" s="48">
        <v>1968.1379999999999</v>
      </c>
      <c r="J179" s="48">
        <v>2093.6709999999998</v>
      </c>
      <c r="K179" s="48">
        <v>1923.01</v>
      </c>
      <c r="L179" s="48">
        <v>1978.8130000000001</v>
      </c>
      <c r="M179" s="48">
        <v>2017.923</v>
      </c>
      <c r="N179" s="48">
        <v>1941.4649999999999</v>
      </c>
      <c r="O179" s="48">
        <v>2077.2820000000002</v>
      </c>
      <c r="P179" s="48">
        <v>1996.6849999999999</v>
      </c>
      <c r="Q179" s="48">
        <v>1757.4960000000001</v>
      </c>
      <c r="R179" s="48">
        <v>1779.2339999999999</v>
      </c>
      <c r="S179" s="48">
        <v>1789.1579999999999</v>
      </c>
      <c r="T179" s="48">
        <v>1712.116</v>
      </c>
      <c r="U179" s="48">
        <v>1666.14</v>
      </c>
      <c r="V179" s="48">
        <v>1516.96</v>
      </c>
      <c r="W179" s="48">
        <v>1708.6990000000001</v>
      </c>
      <c r="X179" s="48">
        <v>1895.4110000000001</v>
      </c>
      <c r="Y179" s="48">
        <v>1846.3119999999999</v>
      </c>
      <c r="Z179" s="48">
        <v>1756.3219999999999</v>
      </c>
      <c r="AA179" s="48">
        <v>1987.0650000000001</v>
      </c>
      <c r="AB179" s="48">
        <v>1893.02</v>
      </c>
      <c r="AC179" s="48">
        <v>1742.2560000000001</v>
      </c>
      <c r="AD179" s="48">
        <v>1730.492</v>
      </c>
      <c r="AE179" s="48">
        <v>1487.56</v>
      </c>
      <c r="AF179" s="48">
        <v>1413.1969999999999</v>
      </c>
      <c r="AG179" s="48">
        <v>1423.181</v>
      </c>
      <c r="AH179" s="48">
        <v>1346.434</v>
      </c>
      <c r="AI179" s="46" t="s">
        <v>121</v>
      </c>
    </row>
    <row r="180" spans="1:35" x14ac:dyDescent="0.3">
      <c r="A180" s="209"/>
      <c r="B180" s="50" t="s">
        <v>131</v>
      </c>
      <c r="C180" s="49">
        <v>135.928</v>
      </c>
      <c r="D180" s="49">
        <v>157.43299999999999</v>
      </c>
      <c r="E180" s="49">
        <v>155.566</v>
      </c>
      <c r="F180" s="49">
        <v>138.10400000000001</v>
      </c>
      <c r="G180" s="49">
        <v>160.684</v>
      </c>
      <c r="H180" s="49">
        <v>148.24799999999999</v>
      </c>
      <c r="I180" s="49">
        <v>141.68799999999999</v>
      </c>
      <c r="J180" s="49">
        <v>162.417</v>
      </c>
      <c r="K180" s="49">
        <v>188.75800000000001</v>
      </c>
      <c r="L180" s="49">
        <v>211.34299999999999</v>
      </c>
      <c r="M180" s="49">
        <v>239.857</v>
      </c>
      <c r="N180" s="49">
        <v>211.18799999999999</v>
      </c>
      <c r="O180" s="49">
        <v>212.08099999999999</v>
      </c>
      <c r="P180" s="49">
        <v>282.298</v>
      </c>
      <c r="Q180" s="49">
        <v>269.96199999999999</v>
      </c>
      <c r="R180" s="49">
        <v>289.952</v>
      </c>
      <c r="S180" s="49">
        <v>298.89</v>
      </c>
      <c r="T180" s="49">
        <v>271.56299999999999</v>
      </c>
      <c r="U180" s="49">
        <v>222.95599999999999</v>
      </c>
      <c r="V180" s="49">
        <v>236.631</v>
      </c>
      <c r="W180" s="49">
        <v>211.44</v>
      </c>
      <c r="X180" s="49">
        <v>203.28299999999999</v>
      </c>
      <c r="Y180" s="49">
        <v>212.87799999999999</v>
      </c>
      <c r="Z180" s="49">
        <v>274.06299999999999</v>
      </c>
      <c r="AA180" s="49">
        <v>301.01299999999998</v>
      </c>
      <c r="AB180" s="49">
        <v>307.48200000000003</v>
      </c>
      <c r="AC180" s="49">
        <v>300.197</v>
      </c>
      <c r="AD180" s="49">
        <v>325.41899999999998</v>
      </c>
      <c r="AE180" s="49">
        <v>325.92599999999999</v>
      </c>
      <c r="AF180" s="49">
        <v>350.45699999999999</v>
      </c>
      <c r="AG180" s="49">
        <v>316.92500000000001</v>
      </c>
      <c r="AH180" s="49">
        <v>364.40100000000001</v>
      </c>
      <c r="AI180" s="47" t="s">
        <v>121</v>
      </c>
    </row>
    <row r="181" spans="1:35" x14ac:dyDescent="0.3">
      <c r="A181" s="209"/>
      <c r="B181" s="50" t="s">
        <v>132</v>
      </c>
      <c r="C181" s="48">
        <v>236.02199999999999</v>
      </c>
      <c r="D181" s="48">
        <v>255.595</v>
      </c>
      <c r="E181" s="48">
        <v>260.60199999999998</v>
      </c>
      <c r="F181" s="48">
        <v>294.27699999999999</v>
      </c>
      <c r="G181" s="48">
        <v>379.36500000000001</v>
      </c>
      <c r="H181" s="48">
        <v>420.72399999999999</v>
      </c>
      <c r="I181" s="48">
        <v>437.68099999999998</v>
      </c>
      <c r="J181" s="48">
        <v>461.62299999999999</v>
      </c>
      <c r="K181" s="48">
        <v>470.55700000000002</v>
      </c>
      <c r="L181" s="48">
        <v>491.08499999999998</v>
      </c>
      <c r="M181" s="48">
        <v>492.589</v>
      </c>
      <c r="N181" s="48">
        <v>506.26600000000002</v>
      </c>
      <c r="O181" s="48">
        <v>523.18399999999997</v>
      </c>
      <c r="P181" s="48">
        <v>540.23099999999999</v>
      </c>
      <c r="Q181" s="48">
        <v>568.85900000000004</v>
      </c>
      <c r="R181" s="48">
        <v>516.30700000000002</v>
      </c>
      <c r="S181" s="48">
        <v>563.45500000000004</v>
      </c>
      <c r="T181" s="48">
        <v>1351.6849999999999</v>
      </c>
      <c r="U181" s="48">
        <v>1284.758</v>
      </c>
      <c r="V181" s="48">
        <v>993.73099999999999</v>
      </c>
      <c r="W181" s="48">
        <v>608.39800000000002</v>
      </c>
      <c r="X181" s="48">
        <v>638.63599999999997</v>
      </c>
      <c r="Y181" s="48">
        <v>659.23400000000004</v>
      </c>
      <c r="Z181" s="48">
        <v>656.06100000000004</v>
      </c>
      <c r="AA181" s="48">
        <v>629.976</v>
      </c>
      <c r="AB181" s="48">
        <v>646.46199999999999</v>
      </c>
      <c r="AC181" s="48">
        <v>643.34500000000003</v>
      </c>
      <c r="AD181" s="48">
        <v>657.05600000000004</v>
      </c>
      <c r="AE181" s="48">
        <v>650.15200000000004</v>
      </c>
      <c r="AF181" s="48">
        <v>623.30799999999999</v>
      </c>
      <c r="AG181" s="48">
        <v>647.096</v>
      </c>
      <c r="AH181" s="48">
        <v>686.36699999999996</v>
      </c>
      <c r="AI181" s="46" t="s">
        <v>121</v>
      </c>
    </row>
    <row r="182" spans="1:35" x14ac:dyDescent="0.3">
      <c r="A182" s="209"/>
      <c r="B182" s="50" t="s">
        <v>134</v>
      </c>
      <c r="C182" s="49">
        <v>668.65899999999999</v>
      </c>
      <c r="D182" s="49">
        <v>754.78099999999995</v>
      </c>
      <c r="E182" s="49">
        <v>746.39800000000002</v>
      </c>
      <c r="F182" s="49">
        <v>827.49900000000002</v>
      </c>
      <c r="G182" s="49">
        <v>709.24099999999999</v>
      </c>
      <c r="H182" s="49">
        <v>665.15499999999997</v>
      </c>
      <c r="I182" s="49">
        <v>524.78300000000002</v>
      </c>
      <c r="J182" s="49">
        <v>443.62099999999998</v>
      </c>
      <c r="K182" s="49">
        <v>537.25599999999997</v>
      </c>
      <c r="L182" s="49">
        <v>751.22500000000002</v>
      </c>
      <c r="M182" s="49">
        <v>537.71400000000006</v>
      </c>
      <c r="N182" s="49">
        <v>387.71600000000001</v>
      </c>
      <c r="O182" s="49">
        <v>401.61399999999998</v>
      </c>
      <c r="P182" s="49">
        <v>405.00299999999999</v>
      </c>
      <c r="Q182" s="49">
        <v>324.55399999999997</v>
      </c>
      <c r="R182" s="49">
        <v>393.05399999999997</v>
      </c>
      <c r="S182" s="49">
        <v>460.721</v>
      </c>
      <c r="T182" s="49">
        <v>494.10700000000003</v>
      </c>
      <c r="U182" s="49">
        <v>401.65600000000001</v>
      </c>
      <c r="V182" s="49">
        <v>361.77199999999999</v>
      </c>
      <c r="W182" s="49">
        <v>393.80799999999999</v>
      </c>
      <c r="X182" s="49">
        <v>524.80399999999997</v>
      </c>
      <c r="Y182" s="49">
        <v>566.76700000000005</v>
      </c>
      <c r="Z182" s="49">
        <v>609.19799999999998</v>
      </c>
      <c r="AA182" s="49">
        <v>606.34400000000005</v>
      </c>
      <c r="AB182" s="49">
        <v>703.04499999999996</v>
      </c>
      <c r="AC182" s="49">
        <v>686.726</v>
      </c>
      <c r="AD182" s="49">
        <v>725.149</v>
      </c>
      <c r="AE182" s="49">
        <v>1098.575</v>
      </c>
      <c r="AF182" s="49">
        <v>958.49599999999998</v>
      </c>
      <c r="AG182" s="49">
        <v>916.14200000000005</v>
      </c>
      <c r="AH182" s="49">
        <v>925.62099999999998</v>
      </c>
      <c r="AI182" s="47" t="s">
        <v>121</v>
      </c>
    </row>
    <row r="183" spans="1:35" x14ac:dyDescent="0.3">
      <c r="A183" s="209"/>
      <c r="B183" s="50" t="s">
        <v>135</v>
      </c>
      <c r="C183" s="48">
        <v>220.85</v>
      </c>
      <c r="D183" s="48">
        <v>228.57599999999999</v>
      </c>
      <c r="E183" s="48">
        <v>246.28100000000001</v>
      </c>
      <c r="F183" s="48">
        <v>152.215</v>
      </c>
      <c r="G183" s="48">
        <v>156.84299999999999</v>
      </c>
      <c r="H183" s="48">
        <v>125.66</v>
      </c>
      <c r="I183" s="48">
        <v>128.23500000000001</v>
      </c>
      <c r="J183" s="48">
        <v>169.21</v>
      </c>
      <c r="K183" s="48">
        <v>116.045</v>
      </c>
      <c r="L183" s="48">
        <v>184.904</v>
      </c>
      <c r="M183" s="48">
        <v>188.71600000000001</v>
      </c>
      <c r="N183" s="48">
        <v>177.328</v>
      </c>
      <c r="O183" s="48">
        <v>165.08099999999999</v>
      </c>
      <c r="P183" s="48">
        <v>162.858</v>
      </c>
      <c r="Q183" s="48">
        <v>140.62799999999999</v>
      </c>
      <c r="R183" s="48">
        <v>142.68299999999999</v>
      </c>
      <c r="S183" s="48">
        <v>171.72200000000001</v>
      </c>
      <c r="T183" s="48">
        <v>179.696</v>
      </c>
      <c r="U183" s="48">
        <v>179.16399999999999</v>
      </c>
      <c r="V183" s="48">
        <v>140.93299999999999</v>
      </c>
      <c r="W183" s="48">
        <v>155.67500000000001</v>
      </c>
      <c r="X183" s="48">
        <v>205.40899999999999</v>
      </c>
      <c r="Y183" s="48">
        <v>217.93700000000001</v>
      </c>
      <c r="Z183" s="48">
        <v>205.24799999999999</v>
      </c>
      <c r="AA183" s="48">
        <v>204.97499999999999</v>
      </c>
      <c r="AB183" s="48">
        <v>216.28399999999999</v>
      </c>
      <c r="AC183" s="48">
        <v>238.53399999999999</v>
      </c>
      <c r="AD183" s="48">
        <v>284.46899999999999</v>
      </c>
      <c r="AE183" s="48">
        <v>354.471</v>
      </c>
      <c r="AF183" s="48">
        <v>317.24599999999998</v>
      </c>
      <c r="AG183" s="48">
        <v>338.70499999999998</v>
      </c>
      <c r="AH183" s="48">
        <v>391.45600000000002</v>
      </c>
      <c r="AI183" s="46" t="s">
        <v>121</v>
      </c>
    </row>
    <row r="184" spans="1:35" x14ac:dyDescent="0.3">
      <c r="A184" s="209"/>
      <c r="B184" s="50" t="s">
        <v>136</v>
      </c>
      <c r="C184" s="49">
        <v>220.85</v>
      </c>
      <c r="D184" s="49">
        <v>228.57599999999999</v>
      </c>
      <c r="E184" s="49">
        <v>246.28100000000001</v>
      </c>
      <c r="F184" s="49">
        <v>152.215</v>
      </c>
      <c r="G184" s="49">
        <v>156.84299999999999</v>
      </c>
      <c r="H184" s="49">
        <v>125.66</v>
      </c>
      <c r="I184" s="49">
        <v>128.23500000000001</v>
      </c>
      <c r="J184" s="49">
        <v>169.21</v>
      </c>
      <c r="K184" s="49">
        <v>116.045</v>
      </c>
      <c r="L184" s="49">
        <v>184.904</v>
      </c>
      <c r="M184" s="49">
        <v>188.71600000000001</v>
      </c>
      <c r="N184" s="49">
        <v>177.328</v>
      </c>
      <c r="O184" s="49">
        <v>165.08099999999999</v>
      </c>
      <c r="P184" s="49">
        <v>162.858</v>
      </c>
      <c r="Q184" s="49">
        <v>140.62799999999999</v>
      </c>
      <c r="R184" s="49">
        <v>142.68299999999999</v>
      </c>
      <c r="S184" s="49">
        <v>171.72200000000001</v>
      </c>
      <c r="T184" s="49">
        <v>179.696</v>
      </c>
      <c r="U184" s="49">
        <v>179.16399999999999</v>
      </c>
      <c r="V184" s="49">
        <v>140.93299999999999</v>
      </c>
      <c r="W184" s="49">
        <v>155.67500000000001</v>
      </c>
      <c r="X184" s="49">
        <v>205.40899999999999</v>
      </c>
      <c r="Y184" s="49">
        <v>217.93700000000001</v>
      </c>
      <c r="Z184" s="49">
        <v>205.24799999999999</v>
      </c>
      <c r="AA184" s="49">
        <v>204.97499999999999</v>
      </c>
      <c r="AB184" s="49">
        <v>216.28399999999999</v>
      </c>
      <c r="AC184" s="49">
        <v>238.53399999999999</v>
      </c>
      <c r="AD184" s="49">
        <v>284.46899999999999</v>
      </c>
      <c r="AE184" s="49">
        <v>354.471</v>
      </c>
      <c r="AF184" s="49">
        <v>317.24599999999998</v>
      </c>
      <c r="AG184" s="49">
        <v>338.70499999999998</v>
      </c>
      <c r="AH184" s="49">
        <v>391.45600000000002</v>
      </c>
      <c r="AI184" s="47" t="s">
        <v>121</v>
      </c>
    </row>
    <row r="185" spans="1:35" x14ac:dyDescent="0.3">
      <c r="A185" s="209"/>
      <c r="B185" s="50" t="s">
        <v>137</v>
      </c>
      <c r="C185" s="46" t="s">
        <v>121</v>
      </c>
      <c r="D185" s="46" t="s">
        <v>121</v>
      </c>
      <c r="E185" s="46" t="s">
        <v>121</v>
      </c>
      <c r="F185" s="46" t="s">
        <v>121</v>
      </c>
      <c r="G185" s="46" t="s">
        <v>121</v>
      </c>
      <c r="H185" s="46" t="s">
        <v>121</v>
      </c>
      <c r="I185" s="46" t="s">
        <v>121</v>
      </c>
      <c r="J185" s="46" t="s">
        <v>121</v>
      </c>
      <c r="K185" s="46" t="s">
        <v>121</v>
      </c>
      <c r="L185" s="46" t="s">
        <v>121</v>
      </c>
      <c r="M185" s="46" t="s">
        <v>121</v>
      </c>
      <c r="N185" s="46" t="s">
        <v>121</v>
      </c>
      <c r="O185" s="46" t="s">
        <v>121</v>
      </c>
      <c r="P185" s="46" t="s">
        <v>121</v>
      </c>
      <c r="Q185" s="46" t="s">
        <v>121</v>
      </c>
      <c r="R185" s="46" t="s">
        <v>121</v>
      </c>
      <c r="S185" s="46" t="s">
        <v>121</v>
      </c>
      <c r="T185" s="46" t="s">
        <v>121</v>
      </c>
      <c r="U185" s="46" t="s">
        <v>121</v>
      </c>
      <c r="V185" s="46" t="s">
        <v>121</v>
      </c>
      <c r="W185" s="46" t="s">
        <v>121</v>
      </c>
      <c r="X185" s="46" t="s">
        <v>121</v>
      </c>
      <c r="Y185" s="46" t="s">
        <v>121</v>
      </c>
      <c r="Z185" s="46" t="s">
        <v>121</v>
      </c>
      <c r="AA185" s="46" t="s">
        <v>121</v>
      </c>
      <c r="AB185" s="46" t="s">
        <v>121</v>
      </c>
      <c r="AC185" s="46" t="s">
        <v>121</v>
      </c>
      <c r="AD185" s="46" t="s">
        <v>121</v>
      </c>
      <c r="AE185" s="46" t="s">
        <v>121</v>
      </c>
      <c r="AF185" s="46" t="s">
        <v>121</v>
      </c>
      <c r="AG185" s="46" t="s">
        <v>121</v>
      </c>
      <c r="AH185" s="46" t="s">
        <v>121</v>
      </c>
      <c r="AI185" s="46" t="s">
        <v>121</v>
      </c>
    </row>
    <row r="186" spans="1:35" x14ac:dyDescent="0.3">
      <c r="A186" s="209"/>
      <c r="B186" s="50" t="s">
        <v>138</v>
      </c>
      <c r="C186" s="49">
        <v>447.80799999999999</v>
      </c>
      <c r="D186" s="49">
        <v>526.20600000000002</v>
      </c>
      <c r="E186" s="49">
        <v>500.11799999999999</v>
      </c>
      <c r="F186" s="49">
        <v>675.28399999999999</v>
      </c>
      <c r="G186" s="49">
        <v>552.39800000000002</v>
      </c>
      <c r="H186" s="49">
        <v>539.495</v>
      </c>
      <c r="I186" s="49">
        <v>396.54700000000003</v>
      </c>
      <c r="J186" s="49">
        <v>274.41199999999998</v>
      </c>
      <c r="K186" s="49">
        <v>421.21</v>
      </c>
      <c r="L186" s="49">
        <v>566.32100000000003</v>
      </c>
      <c r="M186" s="49">
        <v>348.99799999999999</v>
      </c>
      <c r="N186" s="49">
        <v>210.38800000000001</v>
      </c>
      <c r="O186" s="49">
        <v>236.53299999999999</v>
      </c>
      <c r="P186" s="49">
        <v>242.14500000000001</v>
      </c>
      <c r="Q186" s="49">
        <v>183.92599999999999</v>
      </c>
      <c r="R186" s="49">
        <v>250.37100000000001</v>
      </c>
      <c r="S186" s="47">
        <v>289</v>
      </c>
      <c r="T186" s="49">
        <v>314.41199999999998</v>
      </c>
      <c r="U186" s="49">
        <v>222.49199999999999</v>
      </c>
      <c r="V186" s="49">
        <v>220.839</v>
      </c>
      <c r="W186" s="49">
        <v>238.13300000000001</v>
      </c>
      <c r="X186" s="49">
        <v>319.39499999999998</v>
      </c>
      <c r="Y186" s="49">
        <v>348.83</v>
      </c>
      <c r="Z186" s="49">
        <v>403.94900000000001</v>
      </c>
      <c r="AA186" s="49">
        <v>401.37</v>
      </c>
      <c r="AB186" s="49">
        <v>486.76100000000002</v>
      </c>
      <c r="AC186" s="49">
        <v>448.19200000000001</v>
      </c>
      <c r="AD186" s="49">
        <v>440.68</v>
      </c>
      <c r="AE186" s="49">
        <v>744.10400000000004</v>
      </c>
      <c r="AF186" s="49">
        <v>641.25</v>
      </c>
      <c r="AG186" s="49">
        <v>577.43799999999999</v>
      </c>
      <c r="AH186" s="49">
        <v>534.16600000000005</v>
      </c>
      <c r="AI186" s="47" t="s">
        <v>121</v>
      </c>
    </row>
    <row r="187" spans="1:35" x14ac:dyDescent="0.3">
      <c r="A187" s="209"/>
      <c r="B187" s="50" t="s">
        <v>139</v>
      </c>
      <c r="C187" s="48">
        <v>447.80799999999999</v>
      </c>
      <c r="D187" s="48">
        <v>526.20600000000002</v>
      </c>
      <c r="E187" s="48">
        <v>500.11799999999999</v>
      </c>
      <c r="F187" s="48">
        <v>675.28399999999999</v>
      </c>
      <c r="G187" s="48">
        <v>552.39800000000002</v>
      </c>
      <c r="H187" s="48">
        <v>539.495</v>
      </c>
      <c r="I187" s="48">
        <v>396.54700000000003</v>
      </c>
      <c r="J187" s="48">
        <v>274.41199999999998</v>
      </c>
      <c r="K187" s="48">
        <v>421.21</v>
      </c>
      <c r="L187" s="48">
        <v>566.32100000000003</v>
      </c>
      <c r="M187" s="48">
        <v>348.99799999999999</v>
      </c>
      <c r="N187" s="48">
        <v>210.38800000000001</v>
      </c>
      <c r="O187" s="48">
        <v>236.53299999999999</v>
      </c>
      <c r="P187" s="48">
        <v>242.14500000000001</v>
      </c>
      <c r="Q187" s="48">
        <v>183.92599999999999</v>
      </c>
      <c r="R187" s="48">
        <v>250.37100000000001</v>
      </c>
      <c r="S187" s="46">
        <v>289</v>
      </c>
      <c r="T187" s="48">
        <v>314.41199999999998</v>
      </c>
      <c r="U187" s="48">
        <v>222.49199999999999</v>
      </c>
      <c r="V187" s="48">
        <v>220.839</v>
      </c>
      <c r="W187" s="48">
        <v>238.13300000000001</v>
      </c>
      <c r="X187" s="48">
        <v>319.39499999999998</v>
      </c>
      <c r="Y187" s="48">
        <v>348.83</v>
      </c>
      <c r="Z187" s="48">
        <v>403.94900000000001</v>
      </c>
      <c r="AA187" s="48">
        <v>401.37</v>
      </c>
      <c r="AB187" s="48">
        <v>486.76100000000002</v>
      </c>
      <c r="AC187" s="48">
        <v>448.19200000000001</v>
      </c>
      <c r="AD187" s="48">
        <v>440.68</v>
      </c>
      <c r="AE187" s="48">
        <v>744.10400000000004</v>
      </c>
      <c r="AF187" s="48">
        <v>641.25</v>
      </c>
      <c r="AG187" s="48">
        <v>577.43799999999999</v>
      </c>
      <c r="AH187" s="48">
        <v>534.16600000000005</v>
      </c>
      <c r="AI187" s="46" t="s">
        <v>121</v>
      </c>
    </row>
    <row r="188" spans="1:35" x14ac:dyDescent="0.3">
      <c r="A188" s="209"/>
      <c r="B188" s="50" t="s">
        <v>140</v>
      </c>
      <c r="C188" s="47" t="s">
        <v>121</v>
      </c>
      <c r="D188" s="47" t="s">
        <v>121</v>
      </c>
      <c r="E188" s="47" t="s">
        <v>121</v>
      </c>
      <c r="F188" s="47" t="s">
        <v>121</v>
      </c>
      <c r="G188" s="47" t="s">
        <v>121</v>
      </c>
      <c r="H188" s="47" t="s">
        <v>121</v>
      </c>
      <c r="I188" s="47" t="s">
        <v>121</v>
      </c>
      <c r="J188" s="47" t="s">
        <v>121</v>
      </c>
      <c r="K188" s="47" t="s">
        <v>121</v>
      </c>
      <c r="L188" s="47" t="s">
        <v>121</v>
      </c>
      <c r="M188" s="47" t="s">
        <v>121</v>
      </c>
      <c r="N188" s="47" t="s">
        <v>121</v>
      </c>
      <c r="O188" s="47" t="s">
        <v>121</v>
      </c>
      <c r="P188" s="47" t="s">
        <v>121</v>
      </c>
      <c r="Q188" s="47" t="s">
        <v>121</v>
      </c>
      <c r="R188" s="47" t="s">
        <v>121</v>
      </c>
      <c r="S188" s="47" t="s">
        <v>121</v>
      </c>
      <c r="T188" s="47" t="s">
        <v>121</v>
      </c>
      <c r="U188" s="47" t="s">
        <v>121</v>
      </c>
      <c r="V188" s="47" t="s">
        <v>121</v>
      </c>
      <c r="W188" s="47" t="s">
        <v>121</v>
      </c>
      <c r="X188" s="47" t="s">
        <v>121</v>
      </c>
      <c r="Y188" s="47" t="s">
        <v>121</v>
      </c>
      <c r="Z188" s="47" t="s">
        <v>121</v>
      </c>
      <c r="AA188" s="47" t="s">
        <v>121</v>
      </c>
      <c r="AB188" s="47" t="s">
        <v>121</v>
      </c>
      <c r="AC188" s="47" t="s">
        <v>121</v>
      </c>
      <c r="AD188" s="47" t="s">
        <v>121</v>
      </c>
      <c r="AE188" s="47" t="s">
        <v>121</v>
      </c>
      <c r="AF188" s="47" t="s">
        <v>121</v>
      </c>
      <c r="AG188" s="47" t="s">
        <v>121</v>
      </c>
      <c r="AH188" s="47" t="s">
        <v>121</v>
      </c>
      <c r="AI188" s="47" t="s">
        <v>121</v>
      </c>
    </row>
    <row r="189" spans="1:35" x14ac:dyDescent="0.3">
      <c r="A189" s="209"/>
      <c r="B189" s="44" t="s">
        <v>141</v>
      </c>
      <c r="C189" s="48">
        <v>7056.6589999999997</v>
      </c>
      <c r="D189" s="48">
        <v>7155.2719999999999</v>
      </c>
      <c r="E189" s="48">
        <v>6756.5060000000003</v>
      </c>
      <c r="F189" s="48">
        <v>4609.6559999999999</v>
      </c>
      <c r="G189" s="48">
        <v>5342.3429999999998</v>
      </c>
      <c r="H189" s="48">
        <v>5413.1030000000001</v>
      </c>
      <c r="I189" s="48">
        <v>5643.9750000000004</v>
      </c>
      <c r="J189" s="48">
        <v>6454.0129999999999</v>
      </c>
      <c r="K189" s="48">
        <v>6942.4539999999997</v>
      </c>
      <c r="L189" s="48">
        <v>7167.0889999999999</v>
      </c>
      <c r="M189" s="48">
        <v>9826.4539999999997</v>
      </c>
      <c r="N189" s="48">
        <v>9471.9599999999991</v>
      </c>
      <c r="O189" s="48">
        <v>8821.0669999999991</v>
      </c>
      <c r="P189" s="48">
        <v>8993.3279999999995</v>
      </c>
      <c r="Q189" s="48">
        <v>8709.9030000000002</v>
      </c>
      <c r="R189" s="48">
        <v>9017.3559999999998</v>
      </c>
      <c r="S189" s="48">
        <v>6836.9750000000004</v>
      </c>
      <c r="T189" s="48">
        <v>5332.1130000000003</v>
      </c>
      <c r="U189" s="48">
        <v>5240.5889999999999</v>
      </c>
      <c r="V189" s="48">
        <v>4671.9960000000001</v>
      </c>
      <c r="W189" s="48">
        <v>7925.652</v>
      </c>
      <c r="X189" s="48">
        <v>9025.2530000000006</v>
      </c>
      <c r="Y189" s="48">
        <v>8190.1459999999997</v>
      </c>
      <c r="Z189" s="48">
        <v>8261.616</v>
      </c>
      <c r="AA189" s="48">
        <v>8104.259</v>
      </c>
      <c r="AB189" s="48">
        <v>8151.9949999999999</v>
      </c>
      <c r="AC189" s="48">
        <v>7759.5770000000002</v>
      </c>
      <c r="AD189" s="48">
        <v>8362.8960000000006</v>
      </c>
      <c r="AE189" s="48">
        <v>8438.7360000000008</v>
      </c>
      <c r="AF189" s="48">
        <v>8153.7579999999998</v>
      </c>
      <c r="AG189" s="48">
        <v>7424.8540000000003</v>
      </c>
      <c r="AH189" s="48">
        <v>8375.5310000000009</v>
      </c>
      <c r="AI189" s="46" t="s">
        <v>121</v>
      </c>
    </row>
    <row r="190" spans="1:35" x14ac:dyDescent="0.3">
      <c r="A190" s="209"/>
      <c r="B190" s="50" t="s">
        <v>142</v>
      </c>
      <c r="C190" s="49">
        <v>6375.442</v>
      </c>
      <c r="D190" s="49">
        <v>6405.33</v>
      </c>
      <c r="E190" s="49">
        <v>5963.3609999999999</v>
      </c>
      <c r="F190" s="49">
        <v>3877.8890000000001</v>
      </c>
      <c r="G190" s="49">
        <v>4430.6130000000003</v>
      </c>
      <c r="H190" s="49">
        <v>4395.4589999999998</v>
      </c>
      <c r="I190" s="49">
        <v>4646.49</v>
      </c>
      <c r="J190" s="49">
        <v>5262.799</v>
      </c>
      <c r="K190" s="49">
        <v>5656.6549999999997</v>
      </c>
      <c r="L190" s="49">
        <v>5923.6350000000002</v>
      </c>
      <c r="M190" s="49">
        <v>8541.2829999999994</v>
      </c>
      <c r="N190" s="49">
        <v>8254.3449999999993</v>
      </c>
      <c r="O190" s="49">
        <v>7530.6059999999998</v>
      </c>
      <c r="P190" s="49">
        <v>7635.2520000000004</v>
      </c>
      <c r="Q190" s="49">
        <v>7244.3130000000001</v>
      </c>
      <c r="R190" s="49">
        <v>7543.5230000000001</v>
      </c>
      <c r="S190" s="49">
        <v>5310.3710000000001</v>
      </c>
      <c r="T190" s="49">
        <v>3730.2930000000001</v>
      </c>
      <c r="U190" s="49">
        <v>3745.9989999999998</v>
      </c>
      <c r="V190" s="49">
        <v>3574.6930000000002</v>
      </c>
      <c r="W190" s="49">
        <v>7353.7120000000004</v>
      </c>
      <c r="X190" s="49">
        <v>8356.1949999999997</v>
      </c>
      <c r="Y190" s="49">
        <v>7639.2550000000001</v>
      </c>
      <c r="Z190" s="49">
        <v>7697.5010000000002</v>
      </c>
      <c r="AA190" s="49">
        <v>7610.1819999999998</v>
      </c>
      <c r="AB190" s="49">
        <v>7621.424</v>
      </c>
      <c r="AC190" s="49">
        <v>7243.9740000000002</v>
      </c>
      <c r="AD190" s="49">
        <v>7912.152</v>
      </c>
      <c r="AE190" s="49">
        <v>7957.64</v>
      </c>
      <c r="AF190" s="49">
        <v>7738.4260000000004</v>
      </c>
      <c r="AG190" s="49">
        <v>7041.92</v>
      </c>
      <c r="AH190" s="49">
        <v>7978.7150000000001</v>
      </c>
      <c r="AI190" s="47" t="s">
        <v>121</v>
      </c>
    </row>
    <row r="191" spans="1:35" x14ac:dyDescent="0.3">
      <c r="A191" s="209"/>
      <c r="B191" s="50" t="s">
        <v>143</v>
      </c>
      <c r="C191" s="48">
        <v>681.21699999999998</v>
      </c>
      <c r="D191" s="48">
        <v>749.94200000000001</v>
      </c>
      <c r="E191" s="48">
        <v>793.14499999999998</v>
      </c>
      <c r="F191" s="48">
        <v>731.76800000000003</v>
      </c>
      <c r="G191" s="48">
        <v>911.73099999999999</v>
      </c>
      <c r="H191" s="48">
        <v>1017.644</v>
      </c>
      <c r="I191" s="48">
        <v>997.48500000000001</v>
      </c>
      <c r="J191" s="48">
        <v>1191.2139999999999</v>
      </c>
      <c r="K191" s="48">
        <v>1285.799</v>
      </c>
      <c r="L191" s="48">
        <v>1243.454</v>
      </c>
      <c r="M191" s="48">
        <v>1285.171</v>
      </c>
      <c r="N191" s="48">
        <v>1217.615</v>
      </c>
      <c r="O191" s="48">
        <v>1290.461</v>
      </c>
      <c r="P191" s="48">
        <v>1358.076</v>
      </c>
      <c r="Q191" s="48">
        <v>1465.59</v>
      </c>
      <c r="R191" s="48">
        <v>1473.8320000000001</v>
      </c>
      <c r="S191" s="48">
        <v>1526.604</v>
      </c>
      <c r="T191" s="48">
        <v>1601.82</v>
      </c>
      <c r="U191" s="48">
        <v>1494.59</v>
      </c>
      <c r="V191" s="48">
        <v>1097.3030000000001</v>
      </c>
      <c r="W191" s="48">
        <v>571.94000000000005</v>
      </c>
      <c r="X191" s="48">
        <v>669.05799999999999</v>
      </c>
      <c r="Y191" s="48">
        <v>550.89099999999996</v>
      </c>
      <c r="Z191" s="48">
        <v>564.11500000000001</v>
      </c>
      <c r="AA191" s="48">
        <v>494.07600000000002</v>
      </c>
      <c r="AB191" s="48">
        <v>530.57100000000003</v>
      </c>
      <c r="AC191" s="48">
        <v>515.60299999999995</v>
      </c>
      <c r="AD191" s="48">
        <v>450.74299999999999</v>
      </c>
      <c r="AE191" s="48">
        <v>481.096</v>
      </c>
      <c r="AF191" s="48">
        <v>415.33199999999999</v>
      </c>
      <c r="AG191" s="48">
        <v>382.93400000000003</v>
      </c>
      <c r="AH191" s="48">
        <v>396.81599999999997</v>
      </c>
      <c r="AI191" s="46" t="s">
        <v>121</v>
      </c>
    </row>
    <row r="192" spans="1:35" x14ac:dyDescent="0.3">
      <c r="A192" s="209"/>
      <c r="B192" s="50" t="s">
        <v>144</v>
      </c>
      <c r="C192" s="49">
        <v>320.28300000000002</v>
      </c>
      <c r="D192" s="49">
        <v>316.15300000000002</v>
      </c>
      <c r="E192" s="49">
        <v>335.42099999999999</v>
      </c>
      <c r="F192" s="49">
        <v>346.70499999999998</v>
      </c>
      <c r="G192" s="49">
        <v>365.69799999999998</v>
      </c>
      <c r="H192" s="49">
        <v>355.233</v>
      </c>
      <c r="I192" s="49">
        <v>378.142</v>
      </c>
      <c r="J192" s="49">
        <v>389.90800000000002</v>
      </c>
      <c r="K192" s="49">
        <v>367.71100000000001</v>
      </c>
      <c r="L192" s="49">
        <v>379.71199999999999</v>
      </c>
      <c r="M192" s="49">
        <v>404.27199999999999</v>
      </c>
      <c r="N192" s="49">
        <v>372.15499999999997</v>
      </c>
      <c r="O192" s="49">
        <v>347.726</v>
      </c>
      <c r="P192" s="49">
        <v>415.51799999999997</v>
      </c>
      <c r="Q192" s="49">
        <v>400.84800000000001</v>
      </c>
      <c r="R192" s="49">
        <v>358.11</v>
      </c>
      <c r="S192" s="49">
        <v>355.03300000000002</v>
      </c>
      <c r="T192" s="49">
        <v>342.04300000000001</v>
      </c>
      <c r="U192" s="49">
        <v>368.80200000000002</v>
      </c>
      <c r="V192" s="49">
        <v>283.197</v>
      </c>
      <c r="W192" s="49">
        <v>266.93900000000002</v>
      </c>
      <c r="X192" s="49">
        <v>302.71300000000002</v>
      </c>
      <c r="Y192" s="49">
        <v>342.93099999999998</v>
      </c>
      <c r="Z192" s="49">
        <v>330.41699999999997</v>
      </c>
      <c r="AA192" s="49">
        <v>289.94</v>
      </c>
      <c r="AB192" s="49">
        <v>317.85899999999998</v>
      </c>
      <c r="AC192" s="49">
        <v>327.959</v>
      </c>
      <c r="AD192" s="49">
        <v>324.76900000000001</v>
      </c>
      <c r="AE192" s="49">
        <v>332.09199999999998</v>
      </c>
      <c r="AF192" s="49">
        <v>335.548</v>
      </c>
      <c r="AG192" s="49">
        <v>310.291</v>
      </c>
      <c r="AH192" s="49">
        <v>351.00299999999999</v>
      </c>
      <c r="AI192" s="47" t="s">
        <v>121</v>
      </c>
    </row>
    <row r="193" spans="1:35" x14ac:dyDescent="0.3">
      <c r="A193" s="209"/>
      <c r="B193" s="50" t="s">
        <v>145</v>
      </c>
      <c r="C193" s="48">
        <v>260.86500000000001</v>
      </c>
      <c r="D193" s="48">
        <v>258.96199999999999</v>
      </c>
      <c r="E193" s="48">
        <v>282.93900000000002</v>
      </c>
      <c r="F193" s="48">
        <v>294.834</v>
      </c>
      <c r="G193" s="48">
        <v>317.92200000000003</v>
      </c>
      <c r="H193" s="48">
        <v>304.37299999999999</v>
      </c>
      <c r="I193" s="48">
        <v>321.858</v>
      </c>
      <c r="J193" s="48">
        <v>328.529</v>
      </c>
      <c r="K193" s="48">
        <v>300.68599999999998</v>
      </c>
      <c r="L193" s="48">
        <v>310.40800000000002</v>
      </c>
      <c r="M193" s="48">
        <v>335.15499999999997</v>
      </c>
      <c r="N193" s="48">
        <v>304.93599999999998</v>
      </c>
      <c r="O193" s="48">
        <v>280.44299999999998</v>
      </c>
      <c r="P193" s="48">
        <v>344.43799999999999</v>
      </c>
      <c r="Q193" s="48">
        <v>326.27699999999999</v>
      </c>
      <c r="R193" s="48">
        <v>285.67200000000003</v>
      </c>
      <c r="S193" s="48">
        <v>283.43700000000001</v>
      </c>
      <c r="T193" s="48">
        <v>258.11799999999999</v>
      </c>
      <c r="U193" s="48">
        <v>297.767</v>
      </c>
      <c r="V193" s="48">
        <v>224.24100000000001</v>
      </c>
      <c r="W193" s="48">
        <v>198.821</v>
      </c>
      <c r="X193" s="48">
        <v>232.12100000000001</v>
      </c>
      <c r="Y193" s="48">
        <v>266.517</v>
      </c>
      <c r="Z193" s="48">
        <v>251.67400000000001</v>
      </c>
      <c r="AA193" s="48">
        <v>219.43799999999999</v>
      </c>
      <c r="AB193" s="48">
        <v>238.17699999999999</v>
      </c>
      <c r="AC193" s="48">
        <v>246.227</v>
      </c>
      <c r="AD193" s="48">
        <v>236.20500000000001</v>
      </c>
      <c r="AE193" s="48">
        <v>238.233</v>
      </c>
      <c r="AF193" s="48">
        <v>234.72300000000001</v>
      </c>
      <c r="AG193" s="48">
        <v>217.381</v>
      </c>
      <c r="AH193" s="48">
        <v>231.34</v>
      </c>
      <c r="AI193" s="46" t="s">
        <v>121</v>
      </c>
    </row>
    <row r="194" spans="1:35" x14ac:dyDescent="0.3">
      <c r="A194" s="209"/>
      <c r="B194" s="50" t="s">
        <v>146</v>
      </c>
      <c r="C194" s="49">
        <v>59.417999999999999</v>
      </c>
      <c r="D194" s="49">
        <v>57.191000000000003</v>
      </c>
      <c r="E194" s="49">
        <v>52.481999999999999</v>
      </c>
      <c r="F194" s="49">
        <v>51.871000000000002</v>
      </c>
      <c r="G194" s="49">
        <v>47.776000000000003</v>
      </c>
      <c r="H194" s="49">
        <v>50.86</v>
      </c>
      <c r="I194" s="49">
        <v>56.283999999999999</v>
      </c>
      <c r="J194" s="49">
        <v>61.378999999999998</v>
      </c>
      <c r="K194" s="49">
        <v>67.025000000000006</v>
      </c>
      <c r="L194" s="49">
        <v>69.304000000000002</v>
      </c>
      <c r="M194" s="49">
        <v>69.117000000000004</v>
      </c>
      <c r="N194" s="49">
        <v>67.218999999999994</v>
      </c>
      <c r="O194" s="49">
        <v>67.283000000000001</v>
      </c>
      <c r="P194" s="49">
        <v>71.081000000000003</v>
      </c>
      <c r="Q194" s="49">
        <v>74.570999999999998</v>
      </c>
      <c r="R194" s="49">
        <v>72.438000000000002</v>
      </c>
      <c r="S194" s="49">
        <v>71.596000000000004</v>
      </c>
      <c r="T194" s="49">
        <v>83.924999999999997</v>
      </c>
      <c r="U194" s="49">
        <v>71.034999999999997</v>
      </c>
      <c r="V194" s="49">
        <v>58.954999999999998</v>
      </c>
      <c r="W194" s="49">
        <v>68.117999999999995</v>
      </c>
      <c r="X194" s="49">
        <v>70.591999999999999</v>
      </c>
      <c r="Y194" s="49">
        <v>76.414000000000001</v>
      </c>
      <c r="Z194" s="49">
        <v>78.742999999999995</v>
      </c>
      <c r="AA194" s="49">
        <v>70.501999999999995</v>
      </c>
      <c r="AB194" s="49">
        <v>79.682000000000002</v>
      </c>
      <c r="AC194" s="49">
        <v>81.731999999999999</v>
      </c>
      <c r="AD194" s="49">
        <v>88.563999999999993</v>
      </c>
      <c r="AE194" s="49">
        <v>93.858999999999995</v>
      </c>
      <c r="AF194" s="49">
        <v>100.825</v>
      </c>
      <c r="AG194" s="49">
        <v>92.909000000000006</v>
      </c>
      <c r="AH194" s="49">
        <v>119.663</v>
      </c>
      <c r="AI194" s="47" t="s">
        <v>121</v>
      </c>
    </row>
    <row r="195" spans="1:35" x14ac:dyDescent="0.3">
      <c r="A195" s="209"/>
      <c r="B195" s="50" t="s">
        <v>147</v>
      </c>
      <c r="C195" s="46" t="s">
        <v>121</v>
      </c>
      <c r="D195" s="46" t="s">
        <v>121</v>
      </c>
      <c r="E195" s="46" t="s">
        <v>121</v>
      </c>
      <c r="F195" s="46" t="s">
        <v>121</v>
      </c>
      <c r="G195" s="46" t="s">
        <v>121</v>
      </c>
      <c r="H195" s="46" t="s">
        <v>121</v>
      </c>
      <c r="I195" s="46" t="s">
        <v>121</v>
      </c>
      <c r="J195" s="46" t="s">
        <v>121</v>
      </c>
      <c r="K195" s="46" t="s">
        <v>121</v>
      </c>
      <c r="L195" s="46" t="s">
        <v>121</v>
      </c>
      <c r="M195" s="46" t="s">
        <v>121</v>
      </c>
      <c r="N195" s="46" t="s">
        <v>121</v>
      </c>
      <c r="O195" s="46" t="s">
        <v>121</v>
      </c>
      <c r="P195" s="46" t="s">
        <v>121</v>
      </c>
      <c r="Q195" s="46" t="s">
        <v>121</v>
      </c>
      <c r="R195" s="46" t="s">
        <v>121</v>
      </c>
      <c r="S195" s="46" t="s">
        <v>121</v>
      </c>
      <c r="T195" s="46" t="s">
        <v>121</v>
      </c>
      <c r="U195" s="46" t="s">
        <v>121</v>
      </c>
      <c r="V195" s="46" t="s">
        <v>121</v>
      </c>
      <c r="W195" s="46" t="s">
        <v>121</v>
      </c>
      <c r="X195" s="46" t="s">
        <v>121</v>
      </c>
      <c r="Y195" s="46" t="s">
        <v>121</v>
      </c>
      <c r="Z195" s="46" t="s">
        <v>121</v>
      </c>
      <c r="AA195" s="46" t="s">
        <v>121</v>
      </c>
      <c r="AB195" s="46" t="s">
        <v>121</v>
      </c>
      <c r="AC195" s="46" t="s">
        <v>121</v>
      </c>
      <c r="AD195" s="46" t="s">
        <v>121</v>
      </c>
      <c r="AE195" s="46" t="s">
        <v>121</v>
      </c>
      <c r="AF195" s="46" t="s">
        <v>121</v>
      </c>
      <c r="AG195" s="46" t="s">
        <v>121</v>
      </c>
      <c r="AH195" s="46" t="s">
        <v>121</v>
      </c>
      <c r="AI195" s="46" t="s">
        <v>121</v>
      </c>
    </row>
    <row r="196" spans="1:35" x14ac:dyDescent="0.3">
      <c r="A196" s="209"/>
      <c r="B196" s="50" t="s">
        <v>150</v>
      </c>
      <c r="C196" s="49">
        <v>3703.6570000000002</v>
      </c>
      <c r="D196" s="49">
        <v>3987.9259999999999</v>
      </c>
      <c r="E196" s="49">
        <v>4381.7359999999999</v>
      </c>
      <c r="F196" s="49">
        <v>4805.7790000000005</v>
      </c>
      <c r="G196" s="49">
        <v>5203.7550000000001</v>
      </c>
      <c r="H196" s="49">
        <v>5239.174</v>
      </c>
      <c r="I196" s="49">
        <v>5148.7780000000002</v>
      </c>
      <c r="J196" s="49">
        <v>5512.2569999999996</v>
      </c>
      <c r="K196" s="49">
        <v>5438.3630000000003</v>
      </c>
      <c r="L196" s="49">
        <v>5563.2439999999997</v>
      </c>
      <c r="M196" s="49">
        <v>5607.8959999999997</v>
      </c>
      <c r="N196" s="49">
        <v>5342.3519999999999</v>
      </c>
      <c r="O196" s="49">
        <v>5507.5540000000001</v>
      </c>
      <c r="P196" s="49">
        <v>5639.6459999999997</v>
      </c>
      <c r="Q196" s="49">
        <v>5669.5479999999998</v>
      </c>
      <c r="R196" s="49">
        <v>5654.2150000000001</v>
      </c>
      <c r="S196" s="49">
        <v>5265.5420000000004</v>
      </c>
      <c r="T196" s="49">
        <v>5519.607</v>
      </c>
      <c r="U196" s="49">
        <v>5724.8</v>
      </c>
      <c r="V196" s="49">
        <v>4912.1490000000003</v>
      </c>
      <c r="W196" s="49">
        <v>5622.567</v>
      </c>
      <c r="X196" s="49">
        <v>6919.8190000000004</v>
      </c>
      <c r="Y196" s="49">
        <v>6876.473</v>
      </c>
      <c r="Z196" s="49">
        <v>6633.7960000000003</v>
      </c>
      <c r="AA196" s="49">
        <v>6648.2110000000002</v>
      </c>
      <c r="AB196" s="49">
        <v>6826.0209999999997</v>
      </c>
      <c r="AC196" s="49">
        <v>6629.7759999999998</v>
      </c>
      <c r="AD196" s="49">
        <v>6433.4380000000001</v>
      </c>
      <c r="AE196" s="49">
        <v>6443.46</v>
      </c>
      <c r="AF196" s="49">
        <v>6227.6289999999999</v>
      </c>
      <c r="AG196" s="49">
        <v>6183.2619999999997</v>
      </c>
      <c r="AH196" s="49">
        <v>6241.3360000000002</v>
      </c>
      <c r="AI196" s="47" t="s">
        <v>121</v>
      </c>
    </row>
    <row r="197" spans="1:35" x14ac:dyDescent="0.3">
      <c r="A197" s="209"/>
      <c r="B197" s="50" t="s">
        <v>152</v>
      </c>
      <c r="C197" s="48">
        <v>444.21199999999999</v>
      </c>
      <c r="D197" s="48">
        <v>500.42099999999999</v>
      </c>
      <c r="E197" s="48">
        <v>556.48400000000004</v>
      </c>
      <c r="F197" s="48">
        <v>593.101</v>
      </c>
      <c r="G197" s="48">
        <v>577.26800000000003</v>
      </c>
      <c r="H197" s="48">
        <v>605.26700000000005</v>
      </c>
      <c r="I197" s="48">
        <v>642.12599999999998</v>
      </c>
      <c r="J197" s="48">
        <v>671.85799999999995</v>
      </c>
      <c r="K197" s="48">
        <v>667.654</v>
      </c>
      <c r="L197" s="48">
        <v>642.13300000000004</v>
      </c>
      <c r="M197" s="48">
        <v>650.43799999999999</v>
      </c>
      <c r="N197" s="48">
        <v>586.98599999999999</v>
      </c>
      <c r="O197" s="48">
        <v>695.76900000000001</v>
      </c>
      <c r="P197" s="48">
        <v>687.83699999999999</v>
      </c>
      <c r="Q197" s="48">
        <v>651.71299999999997</v>
      </c>
      <c r="R197" s="48">
        <v>662.03099999999995</v>
      </c>
      <c r="S197" s="48">
        <v>435.42</v>
      </c>
      <c r="T197" s="48">
        <v>399.85899999999998</v>
      </c>
      <c r="U197" s="48">
        <v>483.154</v>
      </c>
      <c r="V197" s="48">
        <v>205.03700000000001</v>
      </c>
      <c r="W197" s="48">
        <v>439.91</v>
      </c>
      <c r="X197" s="48">
        <v>716.25</v>
      </c>
      <c r="Y197" s="48">
        <v>688.47500000000002</v>
      </c>
      <c r="Z197" s="48">
        <v>648.61400000000003</v>
      </c>
      <c r="AA197" s="48">
        <v>629.66700000000003</v>
      </c>
      <c r="AB197" s="48">
        <v>677.16800000000001</v>
      </c>
      <c r="AC197" s="48">
        <v>703.23400000000004</v>
      </c>
      <c r="AD197" s="48">
        <v>726.93299999999999</v>
      </c>
      <c r="AE197" s="48">
        <v>761.82899999999995</v>
      </c>
      <c r="AF197" s="48">
        <v>766.17899999999997</v>
      </c>
      <c r="AG197" s="48">
        <v>774.41700000000003</v>
      </c>
      <c r="AH197" s="48">
        <v>729.52200000000005</v>
      </c>
      <c r="AI197" s="46" t="s">
        <v>121</v>
      </c>
    </row>
    <row r="198" spans="1:35" x14ac:dyDescent="0.3">
      <c r="A198" s="209"/>
      <c r="B198" s="50" t="s">
        <v>153</v>
      </c>
      <c r="C198" s="49">
        <v>1007.88</v>
      </c>
      <c r="D198" s="49">
        <v>1175.57</v>
      </c>
      <c r="E198" s="49">
        <v>1346.605</v>
      </c>
      <c r="F198" s="49">
        <v>1520.9580000000001</v>
      </c>
      <c r="G198" s="49">
        <v>1643.3</v>
      </c>
      <c r="H198" s="49">
        <v>1662.546</v>
      </c>
      <c r="I198" s="49">
        <v>1662.579</v>
      </c>
      <c r="J198" s="49">
        <v>1792.6510000000001</v>
      </c>
      <c r="K198" s="49">
        <v>1740.636</v>
      </c>
      <c r="L198" s="49">
        <v>1790.5940000000001</v>
      </c>
      <c r="M198" s="49">
        <v>1721.2729999999999</v>
      </c>
      <c r="N198" s="49">
        <v>1466.837</v>
      </c>
      <c r="O198" s="49">
        <v>1543.261</v>
      </c>
      <c r="P198" s="49">
        <v>1575.105</v>
      </c>
      <c r="Q198" s="49">
        <v>1565.386</v>
      </c>
      <c r="R198" s="49">
        <v>1529.3820000000001</v>
      </c>
      <c r="S198" s="49">
        <v>1440.414</v>
      </c>
      <c r="T198" s="49">
        <v>1482.0219999999999</v>
      </c>
      <c r="U198" s="49">
        <v>1583.768</v>
      </c>
      <c r="V198" s="49">
        <v>1422.729</v>
      </c>
      <c r="W198" s="49">
        <v>1461.0070000000001</v>
      </c>
      <c r="X198" s="49">
        <v>1714.558</v>
      </c>
      <c r="Y198" s="49">
        <v>1636.4469999999999</v>
      </c>
      <c r="Z198" s="49">
        <v>1604.3209999999999</v>
      </c>
      <c r="AA198" s="49">
        <v>1554.4590000000001</v>
      </c>
      <c r="AB198" s="49">
        <v>1536.4459999999999</v>
      </c>
      <c r="AC198" s="49">
        <v>1472.6759999999999</v>
      </c>
      <c r="AD198" s="49">
        <v>1465.97</v>
      </c>
      <c r="AE198" s="49">
        <v>1463.636</v>
      </c>
      <c r="AF198" s="49">
        <v>1452.5039999999999</v>
      </c>
      <c r="AG198" s="49">
        <v>1380.2729999999999</v>
      </c>
      <c r="AH198" s="49">
        <v>1523.018</v>
      </c>
      <c r="AI198" s="47" t="s">
        <v>121</v>
      </c>
    </row>
    <row r="199" spans="1:35" x14ac:dyDescent="0.3">
      <c r="A199" s="209"/>
      <c r="B199" s="50" t="s">
        <v>154</v>
      </c>
      <c r="C199" s="48">
        <v>1734.5119999999999</v>
      </c>
      <c r="D199" s="48">
        <v>1778.943</v>
      </c>
      <c r="E199" s="48">
        <v>1939.73</v>
      </c>
      <c r="F199" s="48">
        <v>2106.5459999999998</v>
      </c>
      <c r="G199" s="48">
        <v>2406.819</v>
      </c>
      <c r="H199" s="48">
        <v>2336.6640000000002</v>
      </c>
      <c r="I199" s="48">
        <v>2304.2339999999999</v>
      </c>
      <c r="J199" s="48">
        <v>2500.42</v>
      </c>
      <c r="K199" s="48">
        <v>2504.7049999999999</v>
      </c>
      <c r="L199" s="48">
        <v>2606.596</v>
      </c>
      <c r="M199" s="48">
        <v>2701.6770000000001</v>
      </c>
      <c r="N199" s="48">
        <v>2795.636</v>
      </c>
      <c r="O199" s="48">
        <v>2702.8879999999999</v>
      </c>
      <c r="P199" s="48">
        <v>2694.1779999999999</v>
      </c>
      <c r="Q199" s="48">
        <v>2756.5050000000001</v>
      </c>
      <c r="R199" s="48">
        <v>2802.6819999999998</v>
      </c>
      <c r="S199" s="48">
        <v>2799.4870000000001</v>
      </c>
      <c r="T199" s="48">
        <v>3018.0050000000001</v>
      </c>
      <c r="U199" s="48">
        <v>3067.9110000000001</v>
      </c>
      <c r="V199" s="48">
        <v>2730.8270000000002</v>
      </c>
      <c r="W199" s="48">
        <v>2922.9180000000001</v>
      </c>
      <c r="X199" s="48">
        <v>3606.5059999999999</v>
      </c>
      <c r="Y199" s="48">
        <v>3650.1170000000002</v>
      </c>
      <c r="Z199" s="48">
        <v>3505.3850000000002</v>
      </c>
      <c r="AA199" s="48">
        <v>3606.8470000000002</v>
      </c>
      <c r="AB199" s="48">
        <v>3689.06</v>
      </c>
      <c r="AC199" s="48">
        <v>3564.68</v>
      </c>
      <c r="AD199" s="48">
        <v>3325.0920000000001</v>
      </c>
      <c r="AE199" s="48">
        <v>3303.6489999999999</v>
      </c>
      <c r="AF199" s="48">
        <v>3172.0390000000002</v>
      </c>
      <c r="AG199" s="48">
        <v>3201.8820000000001</v>
      </c>
      <c r="AH199" s="48">
        <v>3113.3609999999999</v>
      </c>
      <c r="AI199" s="46" t="s">
        <v>121</v>
      </c>
    </row>
    <row r="200" spans="1:35" x14ac:dyDescent="0.3">
      <c r="A200" s="209"/>
      <c r="B200" s="50" t="s">
        <v>155</v>
      </c>
      <c r="C200" s="49">
        <v>517.053</v>
      </c>
      <c r="D200" s="49">
        <v>532.99199999999996</v>
      </c>
      <c r="E200" s="49">
        <v>538.91700000000003</v>
      </c>
      <c r="F200" s="49">
        <v>585.173</v>
      </c>
      <c r="G200" s="49">
        <v>576.36699999999996</v>
      </c>
      <c r="H200" s="49">
        <v>634.697</v>
      </c>
      <c r="I200" s="49">
        <v>539.83799999999997</v>
      </c>
      <c r="J200" s="49">
        <v>547.32899999999995</v>
      </c>
      <c r="K200" s="49">
        <v>525.36800000000005</v>
      </c>
      <c r="L200" s="49">
        <v>523.92100000000005</v>
      </c>
      <c r="M200" s="49">
        <v>534.50800000000004</v>
      </c>
      <c r="N200" s="49">
        <v>492.89299999999997</v>
      </c>
      <c r="O200" s="49">
        <v>565.63499999999999</v>
      </c>
      <c r="P200" s="49">
        <v>682.52599999999995</v>
      </c>
      <c r="Q200" s="49">
        <v>695.94299999999998</v>
      </c>
      <c r="R200" s="49">
        <v>660.12</v>
      </c>
      <c r="S200" s="49">
        <v>590.22199999999998</v>
      </c>
      <c r="T200" s="49">
        <v>619.72</v>
      </c>
      <c r="U200" s="49">
        <v>589.96699999999998</v>
      </c>
      <c r="V200" s="49">
        <v>553.55600000000004</v>
      </c>
      <c r="W200" s="49">
        <v>798.73099999999999</v>
      </c>
      <c r="X200" s="49">
        <v>882.505</v>
      </c>
      <c r="Y200" s="49">
        <v>901.43499999999995</v>
      </c>
      <c r="Z200" s="49">
        <v>875.476</v>
      </c>
      <c r="AA200" s="49">
        <v>857.23800000000006</v>
      </c>
      <c r="AB200" s="49">
        <v>923.34799999999996</v>
      </c>
      <c r="AC200" s="49">
        <v>889.18600000000004</v>
      </c>
      <c r="AD200" s="49">
        <v>915.44299999999998</v>
      </c>
      <c r="AE200" s="49">
        <v>914.34500000000003</v>
      </c>
      <c r="AF200" s="49">
        <v>836.90700000000004</v>
      </c>
      <c r="AG200" s="49">
        <v>826.69</v>
      </c>
      <c r="AH200" s="49">
        <v>875.43600000000004</v>
      </c>
      <c r="AI200" s="47" t="s">
        <v>121</v>
      </c>
    </row>
    <row r="201" spans="1:35" x14ac:dyDescent="0.3">
      <c r="A201" s="209"/>
      <c r="B201" s="50" t="s">
        <v>156</v>
      </c>
      <c r="C201" s="48">
        <v>16075.806</v>
      </c>
      <c r="D201" s="48">
        <v>16426.007000000001</v>
      </c>
      <c r="E201" s="48">
        <v>16014.33</v>
      </c>
      <c r="F201" s="48">
        <v>14760.76</v>
      </c>
      <c r="G201" s="48">
        <v>16259.226000000001</v>
      </c>
      <c r="H201" s="48">
        <v>16094.919</v>
      </c>
      <c r="I201" s="48">
        <v>15964.307000000001</v>
      </c>
      <c r="J201" s="48">
        <v>16772.138999999999</v>
      </c>
      <c r="K201" s="48">
        <v>17468.167000000001</v>
      </c>
      <c r="L201" s="48">
        <v>19135.400000000001</v>
      </c>
      <c r="M201" s="48">
        <v>19950.760999999999</v>
      </c>
      <c r="N201" s="48">
        <v>19684.344000000001</v>
      </c>
      <c r="O201" s="48">
        <v>19871.852999999999</v>
      </c>
      <c r="P201" s="48">
        <v>21208.600999999999</v>
      </c>
      <c r="Q201" s="48">
        <v>21577.816999999999</v>
      </c>
      <c r="R201" s="48">
        <v>22453.937999999998</v>
      </c>
      <c r="S201" s="48">
        <v>22271.351999999999</v>
      </c>
      <c r="T201" s="48">
        <v>20887.984</v>
      </c>
      <c r="U201" s="48">
        <v>20534.923999999999</v>
      </c>
      <c r="V201" s="48">
        <v>16964.061000000002</v>
      </c>
      <c r="W201" s="48">
        <v>21850.905999999999</v>
      </c>
      <c r="X201" s="48">
        <v>30401.536</v>
      </c>
      <c r="Y201" s="48">
        <v>30385.157999999999</v>
      </c>
      <c r="Z201" s="48">
        <v>30069.307000000001</v>
      </c>
      <c r="AA201" s="48">
        <v>30263.186000000002</v>
      </c>
      <c r="AB201" s="48">
        <v>30285.278999999999</v>
      </c>
      <c r="AC201" s="48">
        <v>30425.569</v>
      </c>
      <c r="AD201" s="48">
        <v>30686.420999999998</v>
      </c>
      <c r="AE201" s="48">
        <v>29794.204000000002</v>
      </c>
      <c r="AF201" s="48">
        <v>28467.678</v>
      </c>
      <c r="AG201" s="48">
        <v>27629.166000000001</v>
      </c>
      <c r="AH201" s="48">
        <v>29192.330999999998</v>
      </c>
      <c r="AI201" s="46" t="s">
        <v>121</v>
      </c>
    </row>
    <row r="202" spans="1:35" x14ac:dyDescent="0.3">
      <c r="A202" s="209"/>
      <c r="B202" s="44" t="s">
        <v>157</v>
      </c>
      <c r="C202" s="49">
        <v>28515.26</v>
      </c>
      <c r="D202" s="49">
        <v>28980.947</v>
      </c>
      <c r="E202" s="49">
        <v>28900.510999999999</v>
      </c>
      <c r="F202" s="49">
        <v>29295.924999999999</v>
      </c>
      <c r="G202" s="49">
        <v>30308.597000000002</v>
      </c>
      <c r="H202" s="49">
        <v>30763.598000000002</v>
      </c>
      <c r="I202" s="49">
        <v>31468.721000000001</v>
      </c>
      <c r="J202" s="49">
        <v>33835.409</v>
      </c>
      <c r="K202" s="49">
        <v>34619.245000000003</v>
      </c>
      <c r="L202" s="49">
        <v>36360.368000000002</v>
      </c>
      <c r="M202" s="49">
        <v>39120.019999999997</v>
      </c>
      <c r="N202" s="49">
        <v>39470.118000000002</v>
      </c>
      <c r="O202" s="49">
        <v>40479.529000000002</v>
      </c>
      <c r="P202" s="49">
        <v>40700.868000000002</v>
      </c>
      <c r="Q202" s="49">
        <v>42782.932000000001</v>
      </c>
      <c r="R202" s="49">
        <v>41206.565999999999</v>
      </c>
      <c r="S202" s="49">
        <v>43233.199000000001</v>
      </c>
      <c r="T202" s="49">
        <v>44794.940999999999</v>
      </c>
      <c r="U202" s="49">
        <v>43841.114999999998</v>
      </c>
      <c r="V202" s="49">
        <v>31605.537</v>
      </c>
      <c r="W202" s="49">
        <v>34658.470999999998</v>
      </c>
      <c r="X202" s="49">
        <v>43195.072999999997</v>
      </c>
      <c r="Y202" s="49">
        <v>43246.885000000002</v>
      </c>
      <c r="Z202" s="49">
        <v>41663.866999999998</v>
      </c>
      <c r="AA202" s="49">
        <v>43697.745000000003</v>
      </c>
      <c r="AB202" s="49">
        <v>41240.129999999997</v>
      </c>
      <c r="AC202" s="49">
        <v>41748.381000000001</v>
      </c>
      <c r="AD202" s="49">
        <v>45331.453999999998</v>
      </c>
      <c r="AE202" s="49">
        <v>45913.885000000002</v>
      </c>
      <c r="AF202" s="49">
        <v>45089.453999999998</v>
      </c>
      <c r="AG202" s="49">
        <v>37708.945</v>
      </c>
      <c r="AH202" s="49">
        <v>44252.396999999997</v>
      </c>
      <c r="AI202" s="49">
        <v>41995.822</v>
      </c>
    </row>
    <row r="203" spans="1:35" x14ac:dyDescent="0.3">
      <c r="A203" s="209"/>
      <c r="B203" s="50" t="s">
        <v>158</v>
      </c>
      <c r="C203" s="48">
        <v>19312.379000000001</v>
      </c>
      <c r="D203" s="48">
        <v>19414.27</v>
      </c>
      <c r="E203" s="48">
        <v>18923.146000000001</v>
      </c>
      <c r="F203" s="48">
        <v>19791.377</v>
      </c>
      <c r="G203" s="48">
        <v>19926.226999999999</v>
      </c>
      <c r="H203" s="48">
        <v>19209.327000000001</v>
      </c>
      <c r="I203" s="48">
        <v>19449.428</v>
      </c>
      <c r="J203" s="48">
        <v>20616.528999999999</v>
      </c>
      <c r="K203" s="48">
        <v>20016.719000000001</v>
      </c>
      <c r="L203" s="48">
        <v>20937.216</v>
      </c>
      <c r="M203" s="48">
        <v>22504.096000000001</v>
      </c>
      <c r="N203" s="48">
        <v>22424.638999999999</v>
      </c>
      <c r="O203" s="48">
        <v>23531.800999999999</v>
      </c>
      <c r="P203" s="48">
        <v>23514.492999999999</v>
      </c>
      <c r="Q203" s="48">
        <v>25238.935000000001</v>
      </c>
      <c r="R203" s="48">
        <v>23479.371999999999</v>
      </c>
      <c r="S203" s="48">
        <v>25558.084999999999</v>
      </c>
      <c r="T203" s="48">
        <v>26244.225999999999</v>
      </c>
      <c r="U203" s="48">
        <v>25604.199000000001</v>
      </c>
      <c r="V203" s="48">
        <v>19668.598999999998</v>
      </c>
      <c r="W203" s="48">
        <v>21660.963</v>
      </c>
      <c r="X203" s="48">
        <v>24330.929</v>
      </c>
      <c r="Y203" s="48">
        <v>24293.944</v>
      </c>
      <c r="Z203" s="48">
        <v>23394.682000000001</v>
      </c>
      <c r="AA203" s="48">
        <v>25081.069</v>
      </c>
      <c r="AB203" s="48">
        <v>22811.764999999999</v>
      </c>
      <c r="AC203" s="48">
        <v>22720.442999999999</v>
      </c>
      <c r="AD203" s="48">
        <v>24959.040000000001</v>
      </c>
      <c r="AE203" s="48">
        <v>24962.434000000001</v>
      </c>
      <c r="AF203" s="48">
        <v>23968.276999999998</v>
      </c>
      <c r="AG203" s="48">
        <v>20015.013999999999</v>
      </c>
      <c r="AH203" s="48">
        <v>24092.069</v>
      </c>
      <c r="AI203" s="46" t="s">
        <v>121</v>
      </c>
    </row>
    <row r="204" spans="1:35" x14ac:dyDescent="0.3">
      <c r="A204" s="209"/>
      <c r="B204" s="50" t="s">
        <v>159</v>
      </c>
      <c r="C204" s="49">
        <v>1798.7460000000001</v>
      </c>
      <c r="D204" s="49">
        <v>1856.23</v>
      </c>
      <c r="E204" s="49">
        <v>2079.3910000000001</v>
      </c>
      <c r="F204" s="49">
        <v>2025.8779999999999</v>
      </c>
      <c r="G204" s="49">
        <v>2243.252</v>
      </c>
      <c r="H204" s="49">
        <v>2352.1759999999999</v>
      </c>
      <c r="I204" s="49">
        <v>2309.6190000000001</v>
      </c>
      <c r="J204" s="49">
        <v>2253.5450000000001</v>
      </c>
      <c r="K204" s="49">
        <v>2281.16</v>
      </c>
      <c r="L204" s="49">
        <v>2396.0030000000002</v>
      </c>
      <c r="M204" s="49">
        <v>2760.971</v>
      </c>
      <c r="N204" s="49">
        <v>2775.2849999999999</v>
      </c>
      <c r="O204" s="49">
        <v>2939.116</v>
      </c>
      <c r="P204" s="49">
        <v>2797.43</v>
      </c>
      <c r="Q204" s="49">
        <v>2958.3249999999998</v>
      </c>
      <c r="R204" s="49">
        <v>2911.0169999999998</v>
      </c>
      <c r="S204" s="49">
        <v>3131.3209999999999</v>
      </c>
      <c r="T204" s="49">
        <v>4297.96</v>
      </c>
      <c r="U204" s="49">
        <v>4066.5909999999999</v>
      </c>
      <c r="V204" s="49">
        <v>3436.357</v>
      </c>
      <c r="W204" s="49">
        <v>2670.06</v>
      </c>
      <c r="X204" s="49">
        <v>3735.1410000000001</v>
      </c>
      <c r="Y204" s="49">
        <v>3755.8989999999999</v>
      </c>
      <c r="Z204" s="49">
        <v>3979.9810000000002</v>
      </c>
      <c r="AA204" s="49">
        <v>3979.0189999999998</v>
      </c>
      <c r="AB204" s="49">
        <v>3626.895</v>
      </c>
      <c r="AC204" s="49">
        <v>3879.2469999999998</v>
      </c>
      <c r="AD204" s="49">
        <v>3972.5070000000001</v>
      </c>
      <c r="AE204" s="49">
        <v>3932.34</v>
      </c>
      <c r="AF204" s="49">
        <v>3684.94</v>
      </c>
      <c r="AG204" s="49">
        <v>3541.6689999999999</v>
      </c>
      <c r="AH204" s="49">
        <v>4054.7080000000001</v>
      </c>
      <c r="AI204" s="47" t="s">
        <v>121</v>
      </c>
    </row>
    <row r="205" spans="1:35" x14ac:dyDescent="0.3">
      <c r="A205" s="209"/>
      <c r="B205" s="50" t="s">
        <v>160</v>
      </c>
      <c r="C205" s="48">
        <v>374.88900000000001</v>
      </c>
      <c r="D205" s="48">
        <v>389.71899999999999</v>
      </c>
      <c r="E205" s="48">
        <v>381.95800000000003</v>
      </c>
      <c r="F205" s="48">
        <v>367.85899999999998</v>
      </c>
      <c r="G205" s="48">
        <v>489.74599999999998</v>
      </c>
      <c r="H205" s="48">
        <v>480.01799999999997</v>
      </c>
      <c r="I205" s="48">
        <v>462.35599999999999</v>
      </c>
      <c r="J205" s="48">
        <v>517.28399999999999</v>
      </c>
      <c r="K205" s="48">
        <v>538.28</v>
      </c>
      <c r="L205" s="48">
        <v>512.92600000000004</v>
      </c>
      <c r="M205" s="48">
        <v>557.88199999999995</v>
      </c>
      <c r="N205" s="48">
        <v>545.12699999999995</v>
      </c>
      <c r="O205" s="48">
        <v>543.11099999999999</v>
      </c>
      <c r="P205" s="48">
        <v>537.16999999999996</v>
      </c>
      <c r="Q205" s="48">
        <v>576.13400000000001</v>
      </c>
      <c r="R205" s="48">
        <v>502.76299999999998</v>
      </c>
      <c r="S205" s="48">
        <v>519.63499999999999</v>
      </c>
      <c r="T205" s="48">
        <v>482.75</v>
      </c>
      <c r="U205" s="48">
        <v>445.37200000000001</v>
      </c>
      <c r="V205" s="48">
        <v>321.767</v>
      </c>
      <c r="W205" s="48">
        <v>575.52800000000002</v>
      </c>
      <c r="X205" s="48">
        <v>906.89300000000003</v>
      </c>
      <c r="Y205" s="48">
        <v>908.68799999999999</v>
      </c>
      <c r="Z205" s="48">
        <v>864.28800000000001</v>
      </c>
      <c r="AA205" s="48">
        <v>894.21400000000006</v>
      </c>
      <c r="AB205" s="48">
        <v>801.96500000000003</v>
      </c>
      <c r="AC205" s="48">
        <v>831.16700000000003</v>
      </c>
      <c r="AD205" s="48">
        <v>837.57299999999998</v>
      </c>
      <c r="AE205" s="48">
        <v>809.23199999999997</v>
      </c>
      <c r="AF205" s="48">
        <v>784.62400000000002</v>
      </c>
      <c r="AG205" s="48">
        <v>753.58799999999997</v>
      </c>
      <c r="AH205" s="48">
        <v>930.85299999999995</v>
      </c>
      <c r="AI205" s="46" t="s">
        <v>121</v>
      </c>
    </row>
    <row r="206" spans="1:35" x14ac:dyDescent="0.3">
      <c r="A206" s="209"/>
      <c r="B206" s="50" t="s">
        <v>161</v>
      </c>
      <c r="C206" s="49">
        <v>15.146000000000001</v>
      </c>
      <c r="D206" s="49">
        <v>11.935</v>
      </c>
      <c r="E206" s="49">
        <v>12.393000000000001</v>
      </c>
      <c r="F206" s="49">
        <v>14.618</v>
      </c>
      <c r="G206" s="49">
        <v>14.393000000000001</v>
      </c>
      <c r="H206" s="49">
        <v>13.997</v>
      </c>
      <c r="I206" s="49">
        <v>15.087</v>
      </c>
      <c r="J206" s="49">
        <v>16.344000000000001</v>
      </c>
      <c r="K206" s="49">
        <v>17.48</v>
      </c>
      <c r="L206" s="49">
        <v>16.992999999999999</v>
      </c>
      <c r="M206" s="49">
        <v>19.483000000000001</v>
      </c>
      <c r="N206" s="49">
        <v>18.817</v>
      </c>
      <c r="O206" s="49">
        <v>17.082999999999998</v>
      </c>
      <c r="P206" s="49">
        <v>18.411000000000001</v>
      </c>
      <c r="Q206" s="49">
        <v>23.48</v>
      </c>
      <c r="R206" s="49">
        <v>23.815000000000001</v>
      </c>
      <c r="S206" s="49">
        <v>30.861999999999998</v>
      </c>
      <c r="T206" s="49">
        <v>363.524</v>
      </c>
      <c r="U206" s="49">
        <v>353.74099999999999</v>
      </c>
      <c r="V206" s="49">
        <v>160.75700000000001</v>
      </c>
      <c r="W206" s="49">
        <v>55.006999999999998</v>
      </c>
      <c r="X206" s="49">
        <v>43.161999999999999</v>
      </c>
      <c r="Y206" s="49">
        <v>45.825000000000003</v>
      </c>
      <c r="Z206" s="49">
        <v>40.737000000000002</v>
      </c>
      <c r="AA206" s="49">
        <v>37.274999999999999</v>
      </c>
      <c r="AB206" s="49">
        <v>37.051000000000002</v>
      </c>
      <c r="AC206" s="49">
        <v>27.852</v>
      </c>
      <c r="AD206" s="49">
        <v>31.515000000000001</v>
      </c>
      <c r="AE206" s="49">
        <v>32.984999999999999</v>
      </c>
      <c r="AF206" s="49">
        <v>37.292999999999999</v>
      </c>
      <c r="AG206" s="49">
        <v>35.970999999999997</v>
      </c>
      <c r="AH206" s="49">
        <v>36.49</v>
      </c>
      <c r="AI206" s="47" t="s">
        <v>121</v>
      </c>
    </row>
    <row r="207" spans="1:35" x14ac:dyDescent="0.3">
      <c r="A207" s="209"/>
      <c r="B207" s="50" t="s">
        <v>162</v>
      </c>
      <c r="C207" s="48">
        <v>65.203000000000003</v>
      </c>
      <c r="D207" s="48">
        <v>75.948999999999998</v>
      </c>
      <c r="E207" s="48">
        <v>86.153999999999996</v>
      </c>
      <c r="F207" s="48">
        <v>73.063999999999993</v>
      </c>
      <c r="G207" s="48">
        <v>88.608000000000004</v>
      </c>
      <c r="H207" s="48">
        <v>93.248000000000005</v>
      </c>
      <c r="I207" s="48">
        <v>113.40600000000001</v>
      </c>
      <c r="J207" s="48">
        <v>95.927000000000007</v>
      </c>
      <c r="K207" s="48">
        <v>98.876000000000005</v>
      </c>
      <c r="L207" s="48">
        <v>84.382000000000005</v>
      </c>
      <c r="M207" s="48">
        <v>84.947000000000003</v>
      </c>
      <c r="N207" s="48">
        <v>70.748000000000005</v>
      </c>
      <c r="O207" s="48">
        <v>66.778999999999996</v>
      </c>
      <c r="P207" s="48">
        <v>28.923999999999999</v>
      </c>
      <c r="Q207" s="48">
        <v>15.228999999999999</v>
      </c>
      <c r="R207" s="48">
        <v>15.449</v>
      </c>
      <c r="S207" s="48">
        <v>34.991999999999997</v>
      </c>
      <c r="T207" s="48">
        <v>22.018999999999998</v>
      </c>
      <c r="U207" s="48">
        <v>24.369</v>
      </c>
      <c r="V207" s="48">
        <v>10.339</v>
      </c>
      <c r="W207" s="48">
        <v>64.301000000000002</v>
      </c>
      <c r="X207" s="48">
        <v>81.146000000000001</v>
      </c>
      <c r="Y207" s="48">
        <v>76.191000000000003</v>
      </c>
      <c r="Z207" s="48">
        <v>74.754999999999995</v>
      </c>
      <c r="AA207" s="48">
        <v>74.602999999999994</v>
      </c>
      <c r="AB207" s="48">
        <v>100.881</v>
      </c>
      <c r="AC207" s="48">
        <v>89.673000000000002</v>
      </c>
      <c r="AD207" s="48">
        <v>95.302000000000007</v>
      </c>
      <c r="AE207" s="48">
        <v>102.8</v>
      </c>
      <c r="AF207" s="48">
        <v>106.12</v>
      </c>
      <c r="AG207" s="48">
        <v>93.414000000000001</v>
      </c>
      <c r="AH207" s="48">
        <v>132.13499999999999</v>
      </c>
      <c r="AI207" s="46" t="s">
        <v>121</v>
      </c>
    </row>
    <row r="208" spans="1:35" x14ac:dyDescent="0.3">
      <c r="A208" s="209"/>
      <c r="B208" s="50" t="s">
        <v>163</v>
      </c>
      <c r="C208" s="49">
        <v>150.839</v>
      </c>
      <c r="D208" s="49">
        <v>142.56299999999999</v>
      </c>
      <c r="E208" s="49">
        <v>202.41499999999999</v>
      </c>
      <c r="F208" s="49">
        <v>242.214</v>
      </c>
      <c r="G208" s="49">
        <v>190.297</v>
      </c>
      <c r="H208" s="49">
        <v>306.66399999999999</v>
      </c>
      <c r="I208" s="49">
        <v>249.44200000000001</v>
      </c>
      <c r="J208" s="49">
        <v>206.74100000000001</v>
      </c>
      <c r="K208" s="49">
        <v>183.10499999999999</v>
      </c>
      <c r="L208" s="49">
        <v>179.13499999999999</v>
      </c>
      <c r="M208" s="49">
        <v>189.024</v>
      </c>
      <c r="N208" s="49">
        <v>179.71199999999999</v>
      </c>
      <c r="O208" s="49">
        <v>196.453</v>
      </c>
      <c r="P208" s="49">
        <v>182.369</v>
      </c>
      <c r="Q208" s="49">
        <v>193.86199999999999</v>
      </c>
      <c r="R208" s="49">
        <v>157.321</v>
      </c>
      <c r="S208" s="49">
        <v>95.724000000000004</v>
      </c>
      <c r="T208" s="49">
        <v>66.48</v>
      </c>
      <c r="U208" s="49">
        <v>52.387999999999998</v>
      </c>
      <c r="V208" s="49">
        <v>137.93799999999999</v>
      </c>
      <c r="W208" s="49">
        <v>201.45500000000001</v>
      </c>
      <c r="X208" s="49">
        <v>302.798</v>
      </c>
      <c r="Y208" s="49">
        <v>280.798</v>
      </c>
      <c r="Z208" s="49">
        <v>421.166</v>
      </c>
      <c r="AA208" s="49">
        <v>491.89499999999998</v>
      </c>
      <c r="AB208" s="49">
        <v>394.43799999999999</v>
      </c>
      <c r="AC208" s="49">
        <v>409.625</v>
      </c>
      <c r="AD208" s="49">
        <v>403.221</v>
      </c>
      <c r="AE208" s="49">
        <v>409.56900000000002</v>
      </c>
      <c r="AF208" s="49">
        <v>382.75700000000001</v>
      </c>
      <c r="AG208" s="49">
        <v>407.36099999999999</v>
      </c>
      <c r="AH208" s="49">
        <v>413.31099999999998</v>
      </c>
      <c r="AI208" s="47" t="s">
        <v>121</v>
      </c>
    </row>
    <row r="209" spans="1:35" x14ac:dyDescent="0.3">
      <c r="A209" s="209"/>
      <c r="B209" s="50" t="s">
        <v>164</v>
      </c>
      <c r="C209" s="48">
        <v>0.56299999999999994</v>
      </c>
      <c r="D209" s="48">
        <v>0.39900000000000002</v>
      </c>
      <c r="E209" s="48">
        <v>0.57799999999999996</v>
      </c>
      <c r="F209" s="48">
        <v>0.54300000000000004</v>
      </c>
      <c r="G209" s="48">
        <v>1.2250000000000001</v>
      </c>
      <c r="H209" s="48">
        <v>1.8360000000000001</v>
      </c>
      <c r="I209" s="48">
        <v>2.004</v>
      </c>
      <c r="J209" s="48">
        <v>5.7069999999999999</v>
      </c>
      <c r="K209" s="48">
        <v>3.0009999999999999</v>
      </c>
      <c r="L209" s="48">
        <v>2.2069999999999999</v>
      </c>
      <c r="M209" s="48">
        <v>2.262</v>
      </c>
      <c r="N209" s="48">
        <v>2.5449999999999999</v>
      </c>
      <c r="O209" s="48">
        <v>2.5379999999999998</v>
      </c>
      <c r="P209" s="48">
        <v>3.08</v>
      </c>
      <c r="Q209" s="48">
        <v>2.7919999999999998</v>
      </c>
      <c r="R209" s="48">
        <v>2.9529999999999998</v>
      </c>
      <c r="S209" s="48">
        <v>3.181</v>
      </c>
      <c r="T209" s="48">
        <v>1.67</v>
      </c>
      <c r="U209" s="48">
        <v>0.96199999999999997</v>
      </c>
      <c r="V209" s="48">
        <v>0.70699999999999996</v>
      </c>
      <c r="W209" s="48">
        <v>1.8360000000000001</v>
      </c>
      <c r="X209" s="48">
        <v>2.1389999999999998</v>
      </c>
      <c r="Y209" s="48">
        <v>1.9950000000000001</v>
      </c>
      <c r="Z209" s="48">
        <v>2.198</v>
      </c>
      <c r="AA209" s="48">
        <v>2.38</v>
      </c>
      <c r="AB209" s="48">
        <v>1.69</v>
      </c>
      <c r="AC209" s="48">
        <v>1.899</v>
      </c>
      <c r="AD209" s="48">
        <v>1.9239999999999999</v>
      </c>
      <c r="AE209" s="48">
        <v>1.4410000000000001</v>
      </c>
      <c r="AF209" s="48">
        <v>1.405</v>
      </c>
      <c r="AG209" s="48">
        <v>2.2949999999999999</v>
      </c>
      <c r="AH209" s="48">
        <v>1.8759999999999999</v>
      </c>
      <c r="AI209" s="46" t="s">
        <v>121</v>
      </c>
    </row>
    <row r="210" spans="1:35" x14ac:dyDescent="0.3">
      <c r="A210" s="209"/>
      <c r="B210" s="50" t="s">
        <v>165</v>
      </c>
      <c r="C210" s="49">
        <v>1.613</v>
      </c>
      <c r="D210" s="49">
        <v>1.841</v>
      </c>
      <c r="E210" s="49">
        <v>2.0649999999999999</v>
      </c>
      <c r="F210" s="49">
        <v>1.2430000000000001</v>
      </c>
      <c r="G210" s="49">
        <v>1.7410000000000001</v>
      </c>
      <c r="H210" s="49">
        <v>5.306</v>
      </c>
      <c r="I210" s="49">
        <v>1.986</v>
      </c>
      <c r="J210" s="49">
        <v>2.1629999999999998</v>
      </c>
      <c r="K210" s="49">
        <v>1.534</v>
      </c>
      <c r="L210" s="49">
        <v>3.1219999999999999</v>
      </c>
      <c r="M210" s="49">
        <v>4.2690000000000001</v>
      </c>
      <c r="N210" s="49">
        <v>2.4300000000000002</v>
      </c>
      <c r="O210" s="49">
        <v>13.192</v>
      </c>
      <c r="P210" s="49">
        <v>1.5880000000000001</v>
      </c>
      <c r="Q210" s="49">
        <v>1.52</v>
      </c>
      <c r="R210" s="49">
        <v>1.409</v>
      </c>
      <c r="S210" s="49">
        <v>1.2749999999999999</v>
      </c>
      <c r="T210" s="49">
        <v>1.413</v>
      </c>
      <c r="U210" s="49">
        <v>1.6639999999999999</v>
      </c>
      <c r="V210" s="49">
        <v>1.0109999999999999</v>
      </c>
      <c r="W210" s="49">
        <v>1.1240000000000001</v>
      </c>
      <c r="X210" s="49">
        <v>1.262</v>
      </c>
      <c r="Y210" s="49">
        <v>1.2310000000000001</v>
      </c>
      <c r="Z210" s="49">
        <v>2.0379999999999998</v>
      </c>
      <c r="AA210" s="49">
        <v>1.2789999999999999</v>
      </c>
      <c r="AB210" s="49">
        <v>1.5880000000000001</v>
      </c>
      <c r="AC210" s="49">
        <v>2.7349999999999999</v>
      </c>
      <c r="AD210" s="49">
        <v>3.637</v>
      </c>
      <c r="AE210" s="49">
        <v>3.1160000000000001</v>
      </c>
      <c r="AF210" s="49">
        <v>2.6219999999999999</v>
      </c>
      <c r="AG210" s="49">
        <v>2.831</v>
      </c>
      <c r="AH210" s="49">
        <v>3.9</v>
      </c>
      <c r="AI210" s="47" t="s">
        <v>121</v>
      </c>
    </row>
    <row r="211" spans="1:35" x14ac:dyDescent="0.3">
      <c r="A211" s="209"/>
      <c r="B211" s="50" t="s">
        <v>167</v>
      </c>
      <c r="C211" s="48">
        <v>644.08399999999995</v>
      </c>
      <c r="D211" s="48">
        <v>651.26499999999999</v>
      </c>
      <c r="E211" s="48">
        <v>753.68299999999999</v>
      </c>
      <c r="F211" s="48">
        <v>776.005</v>
      </c>
      <c r="G211" s="48">
        <v>813.66099999999994</v>
      </c>
      <c r="H211" s="48">
        <v>851.91300000000001</v>
      </c>
      <c r="I211" s="48">
        <v>832.83600000000001</v>
      </c>
      <c r="J211" s="48">
        <v>792.70500000000004</v>
      </c>
      <c r="K211" s="48">
        <v>805.18600000000004</v>
      </c>
      <c r="L211" s="48">
        <v>798.904</v>
      </c>
      <c r="M211" s="48">
        <v>842.322</v>
      </c>
      <c r="N211" s="48">
        <v>854.23800000000006</v>
      </c>
      <c r="O211" s="48">
        <v>893.76300000000003</v>
      </c>
      <c r="P211" s="48">
        <v>906.75199999999995</v>
      </c>
      <c r="Q211" s="48">
        <v>981.827</v>
      </c>
      <c r="R211" s="48">
        <v>1051.153</v>
      </c>
      <c r="S211" s="48">
        <v>1140.4580000000001</v>
      </c>
      <c r="T211" s="48">
        <v>861.88900000000001</v>
      </c>
      <c r="U211" s="48">
        <v>832.38300000000004</v>
      </c>
      <c r="V211" s="48">
        <v>800.31</v>
      </c>
      <c r="W211" s="48">
        <v>1385.3630000000001</v>
      </c>
      <c r="X211" s="48">
        <v>1957.953</v>
      </c>
      <c r="Y211" s="48">
        <v>1891.3610000000001</v>
      </c>
      <c r="Z211" s="48">
        <v>1889.37</v>
      </c>
      <c r="AA211" s="48">
        <v>2008.2670000000001</v>
      </c>
      <c r="AB211" s="48">
        <v>1959.8</v>
      </c>
      <c r="AC211" s="48">
        <v>2113.5369999999998</v>
      </c>
      <c r="AD211" s="48">
        <v>2211.7930000000001</v>
      </c>
      <c r="AE211" s="48">
        <v>2230.3679999999999</v>
      </c>
      <c r="AF211" s="48">
        <v>2063.5949999999998</v>
      </c>
      <c r="AG211" s="48">
        <v>1860.0989999999999</v>
      </c>
      <c r="AH211" s="48">
        <v>2100.3110000000001</v>
      </c>
      <c r="AI211" s="46" t="s">
        <v>121</v>
      </c>
    </row>
    <row r="212" spans="1:35" x14ac:dyDescent="0.3">
      <c r="A212" s="209"/>
      <c r="B212" s="50" t="s">
        <v>168</v>
      </c>
      <c r="C212" s="49">
        <v>24.56</v>
      </c>
      <c r="D212" s="49">
        <v>21.798999999999999</v>
      </c>
      <c r="E212" s="49">
        <v>22.382999999999999</v>
      </c>
      <c r="F212" s="49">
        <v>27.777000000000001</v>
      </c>
      <c r="G212" s="49">
        <v>24.643999999999998</v>
      </c>
      <c r="H212" s="49">
        <v>19.744</v>
      </c>
      <c r="I212" s="49">
        <v>10.613</v>
      </c>
      <c r="J212" s="49">
        <v>11.391999999999999</v>
      </c>
      <c r="K212" s="49">
        <v>17.599</v>
      </c>
      <c r="L212" s="49">
        <v>7.4</v>
      </c>
      <c r="M212" s="49">
        <v>10.37</v>
      </c>
      <c r="N212" s="49">
        <v>11.199</v>
      </c>
      <c r="O212" s="49">
        <v>10.534000000000001</v>
      </c>
      <c r="P212" s="49">
        <v>12.599</v>
      </c>
      <c r="Q212" s="49">
        <v>19.309999999999999</v>
      </c>
      <c r="R212" s="49">
        <v>15.792999999999999</v>
      </c>
      <c r="S212" s="49">
        <v>18.204000000000001</v>
      </c>
      <c r="T212" s="49">
        <v>21.323</v>
      </c>
      <c r="U212" s="49">
        <v>24.36</v>
      </c>
      <c r="V212" s="49">
        <v>19.832999999999998</v>
      </c>
      <c r="W212" s="49">
        <v>26.196999999999999</v>
      </c>
      <c r="X212" s="49">
        <v>22.126999999999999</v>
      </c>
      <c r="Y212" s="49">
        <v>17.46</v>
      </c>
      <c r="Z212" s="49">
        <v>18.079999999999998</v>
      </c>
      <c r="AA212" s="49">
        <v>12.814</v>
      </c>
      <c r="AB212" s="49">
        <v>15.548999999999999</v>
      </c>
      <c r="AC212" s="49">
        <v>11.526999999999999</v>
      </c>
      <c r="AD212" s="49">
        <v>13.567</v>
      </c>
      <c r="AE212" s="49">
        <v>11.398</v>
      </c>
      <c r="AF212" s="49">
        <v>11.125999999999999</v>
      </c>
      <c r="AG212" s="49">
        <v>9.5449999999999999</v>
      </c>
      <c r="AH212" s="49">
        <v>13.56</v>
      </c>
      <c r="AI212" s="47" t="s">
        <v>121</v>
      </c>
    </row>
    <row r="213" spans="1:35" x14ac:dyDescent="0.3">
      <c r="A213" s="209"/>
      <c r="B213" s="50" t="s">
        <v>169</v>
      </c>
      <c r="C213" s="48">
        <v>521.84799999999996</v>
      </c>
      <c r="D213" s="48">
        <v>560.76</v>
      </c>
      <c r="E213" s="48">
        <v>617.76099999999997</v>
      </c>
      <c r="F213" s="48">
        <v>522.55600000000004</v>
      </c>
      <c r="G213" s="48">
        <v>618.93600000000004</v>
      </c>
      <c r="H213" s="48">
        <v>579.44899999999996</v>
      </c>
      <c r="I213" s="48">
        <v>621.89</v>
      </c>
      <c r="J213" s="48">
        <v>605.28399999999999</v>
      </c>
      <c r="K213" s="48">
        <v>616.09799999999996</v>
      </c>
      <c r="L213" s="48">
        <v>790.93399999999997</v>
      </c>
      <c r="M213" s="48">
        <v>1050.412</v>
      </c>
      <c r="N213" s="48">
        <v>1090.4690000000001</v>
      </c>
      <c r="O213" s="48">
        <v>1195.663</v>
      </c>
      <c r="P213" s="48">
        <v>1106.538</v>
      </c>
      <c r="Q213" s="48">
        <v>1144.171</v>
      </c>
      <c r="R213" s="48">
        <v>1140.3630000000001</v>
      </c>
      <c r="S213" s="48">
        <v>1286.989</v>
      </c>
      <c r="T213" s="48">
        <v>2476.893</v>
      </c>
      <c r="U213" s="48">
        <v>2331.3519999999999</v>
      </c>
      <c r="V213" s="48">
        <v>1983.6959999999999</v>
      </c>
      <c r="W213" s="48">
        <v>359.24900000000002</v>
      </c>
      <c r="X213" s="48">
        <v>417.66199999999998</v>
      </c>
      <c r="Y213" s="48">
        <v>532.34900000000005</v>
      </c>
      <c r="Z213" s="48">
        <v>667.34900000000005</v>
      </c>
      <c r="AA213" s="48">
        <v>456.29</v>
      </c>
      <c r="AB213" s="48">
        <v>313.93299999999999</v>
      </c>
      <c r="AC213" s="48">
        <v>391.23099999999999</v>
      </c>
      <c r="AD213" s="48">
        <v>373.97399999999999</v>
      </c>
      <c r="AE213" s="48">
        <v>331.43</v>
      </c>
      <c r="AF213" s="48">
        <v>295.39800000000002</v>
      </c>
      <c r="AG213" s="48">
        <v>376.565</v>
      </c>
      <c r="AH213" s="48">
        <v>422.27</v>
      </c>
      <c r="AI213" s="46" t="s">
        <v>121</v>
      </c>
    </row>
    <row r="214" spans="1:35" x14ac:dyDescent="0.3">
      <c r="A214" s="209"/>
      <c r="B214" s="50" t="s">
        <v>170</v>
      </c>
      <c r="C214" s="49">
        <v>7404.134</v>
      </c>
      <c r="D214" s="49">
        <v>7710.4470000000001</v>
      </c>
      <c r="E214" s="49">
        <v>7897.9740000000002</v>
      </c>
      <c r="F214" s="49">
        <v>7478.67</v>
      </c>
      <c r="G214" s="49">
        <v>8139.1180000000004</v>
      </c>
      <c r="H214" s="49">
        <v>9202.0959999999995</v>
      </c>
      <c r="I214" s="49">
        <v>9709.6740000000009</v>
      </c>
      <c r="J214" s="49">
        <v>10965.334999999999</v>
      </c>
      <c r="K214" s="49">
        <v>12321.366</v>
      </c>
      <c r="L214" s="49">
        <v>13027.15</v>
      </c>
      <c r="M214" s="49">
        <v>13854.953</v>
      </c>
      <c r="N214" s="49">
        <v>14270.194</v>
      </c>
      <c r="O214" s="49">
        <v>14008.611999999999</v>
      </c>
      <c r="P214" s="49">
        <v>14388.945</v>
      </c>
      <c r="Q214" s="49">
        <v>14585.672</v>
      </c>
      <c r="R214" s="49">
        <v>14816.175999999999</v>
      </c>
      <c r="S214" s="49">
        <v>14543.793</v>
      </c>
      <c r="T214" s="49">
        <v>14252.755999999999</v>
      </c>
      <c r="U214" s="49">
        <v>14170.324000000001</v>
      </c>
      <c r="V214" s="49">
        <v>8500.5810000000001</v>
      </c>
      <c r="W214" s="49">
        <v>10327.448</v>
      </c>
      <c r="X214" s="49">
        <v>15129.003000000001</v>
      </c>
      <c r="Y214" s="49">
        <v>15197.041999999999</v>
      </c>
      <c r="Z214" s="49">
        <v>14289.205</v>
      </c>
      <c r="AA214" s="49">
        <v>14637.656999999999</v>
      </c>
      <c r="AB214" s="49">
        <v>14801.471</v>
      </c>
      <c r="AC214" s="49">
        <v>15148.691000000001</v>
      </c>
      <c r="AD214" s="49">
        <v>16399.907999999999</v>
      </c>
      <c r="AE214" s="49">
        <v>17019.111000000001</v>
      </c>
      <c r="AF214" s="49">
        <v>17436.238000000001</v>
      </c>
      <c r="AG214" s="49">
        <v>14152.261</v>
      </c>
      <c r="AH214" s="49">
        <v>16105.620999999999</v>
      </c>
      <c r="AI214" s="47" t="s">
        <v>121</v>
      </c>
    </row>
    <row r="215" spans="1:35" x14ac:dyDescent="0.3">
      <c r="A215" s="209"/>
      <c r="B215" s="44" t="s">
        <v>171</v>
      </c>
      <c r="C215" s="48">
        <v>32230.690999999999</v>
      </c>
      <c r="D215" s="48">
        <v>31985.27</v>
      </c>
      <c r="E215" s="48">
        <v>31313.714</v>
      </c>
      <c r="F215" s="48">
        <v>26742.557000000001</v>
      </c>
      <c r="G215" s="48">
        <v>30540.401999999998</v>
      </c>
      <c r="H215" s="48">
        <v>30849.938999999998</v>
      </c>
      <c r="I215" s="48">
        <v>27492.870999999999</v>
      </c>
      <c r="J215" s="48">
        <v>29038.524000000001</v>
      </c>
      <c r="K215" s="48">
        <v>28070.173999999999</v>
      </c>
      <c r="L215" s="48">
        <v>27622.393</v>
      </c>
      <c r="M215" s="48">
        <v>26989.983</v>
      </c>
      <c r="N215" s="48">
        <v>26350.771000000001</v>
      </c>
      <c r="O215" s="48">
        <v>24428.935000000001</v>
      </c>
      <c r="P215" s="48">
        <v>22917.7</v>
      </c>
      <c r="Q215" s="48">
        <v>23034.644</v>
      </c>
      <c r="R215" s="48">
        <v>22238.287</v>
      </c>
      <c r="S215" s="48">
        <v>22262.75</v>
      </c>
      <c r="T215" s="48">
        <v>19707.839</v>
      </c>
      <c r="U215" s="48">
        <v>19483.738000000001</v>
      </c>
      <c r="V215" s="48">
        <v>15853.175999999999</v>
      </c>
      <c r="W215" s="48">
        <v>20224.958999999999</v>
      </c>
      <c r="X215" s="48">
        <v>23633.496999999999</v>
      </c>
      <c r="Y215" s="48">
        <v>23315.442999999999</v>
      </c>
      <c r="Z215" s="48">
        <v>24272.503000000001</v>
      </c>
      <c r="AA215" s="48">
        <v>24683.182000000001</v>
      </c>
      <c r="AB215" s="48">
        <v>23415.409</v>
      </c>
      <c r="AC215" s="48">
        <v>25053.683000000001</v>
      </c>
      <c r="AD215" s="48">
        <v>24598.397000000001</v>
      </c>
      <c r="AE215" s="48">
        <v>24694.829000000002</v>
      </c>
      <c r="AF215" s="48">
        <v>25771.866999999998</v>
      </c>
      <c r="AG215" s="48">
        <v>24385.548999999999</v>
      </c>
      <c r="AH215" s="48">
        <v>25889.436000000002</v>
      </c>
      <c r="AI215" s="48">
        <v>26364.574000000001</v>
      </c>
    </row>
    <row r="216" spans="1:35" x14ac:dyDescent="0.3">
      <c r="A216" s="209"/>
      <c r="B216" s="50" t="s">
        <v>172</v>
      </c>
      <c r="C216" s="49">
        <v>286.86900000000003</v>
      </c>
      <c r="D216" s="49">
        <v>348.65600000000001</v>
      </c>
      <c r="E216" s="49">
        <v>332.291</v>
      </c>
      <c r="F216" s="49">
        <v>156.36799999999999</v>
      </c>
      <c r="G216" s="49">
        <v>174.57300000000001</v>
      </c>
      <c r="H216" s="49">
        <v>297.399</v>
      </c>
      <c r="I216" s="49">
        <v>215.50800000000001</v>
      </c>
      <c r="J216" s="49">
        <v>274.06700000000001</v>
      </c>
      <c r="K216" s="49">
        <v>236.12200000000001</v>
      </c>
      <c r="L216" s="49">
        <v>240.49199999999999</v>
      </c>
      <c r="M216" s="49">
        <v>251.56</v>
      </c>
      <c r="N216" s="49">
        <v>252.44</v>
      </c>
      <c r="O216" s="49">
        <v>210.89099999999999</v>
      </c>
      <c r="P216" s="49">
        <v>183.273</v>
      </c>
      <c r="Q216" s="49">
        <v>237.55500000000001</v>
      </c>
      <c r="R216" s="49">
        <v>182.602</v>
      </c>
      <c r="S216" s="49">
        <v>248.624</v>
      </c>
      <c r="T216" s="49">
        <v>302.11200000000002</v>
      </c>
      <c r="U216" s="49">
        <v>282.75799999999998</v>
      </c>
      <c r="V216" s="49">
        <v>229.97499999999999</v>
      </c>
      <c r="W216" s="49">
        <v>255.357</v>
      </c>
      <c r="X216" s="49">
        <v>370.55500000000001</v>
      </c>
      <c r="Y216" s="49">
        <v>233.59200000000001</v>
      </c>
      <c r="Z216" s="49">
        <v>233.142</v>
      </c>
      <c r="AA216" s="49">
        <v>272.02199999999999</v>
      </c>
      <c r="AB216" s="49">
        <v>259.904</v>
      </c>
      <c r="AC216" s="49">
        <v>240.87899999999999</v>
      </c>
      <c r="AD216" s="49">
        <v>331.43599999999998</v>
      </c>
      <c r="AE216" s="49">
        <v>290.27300000000002</v>
      </c>
      <c r="AF216" s="49">
        <v>403.77</v>
      </c>
      <c r="AG216" s="49">
        <v>461.714</v>
      </c>
      <c r="AH216" s="49">
        <v>573.548</v>
      </c>
      <c r="AI216" s="47" t="s">
        <v>121</v>
      </c>
    </row>
    <row r="217" spans="1:35" x14ac:dyDescent="0.3">
      <c r="A217" s="209"/>
      <c r="B217" s="50" t="s">
        <v>173</v>
      </c>
      <c r="C217" s="48">
        <v>725.01400000000001</v>
      </c>
      <c r="D217" s="48">
        <v>840.71</v>
      </c>
      <c r="E217" s="48">
        <v>844.9</v>
      </c>
      <c r="F217" s="48">
        <v>779.57299999999998</v>
      </c>
      <c r="G217" s="48">
        <v>755.83799999999997</v>
      </c>
      <c r="H217" s="48">
        <v>677.00199999999995</v>
      </c>
      <c r="I217" s="48">
        <v>572.07299999999998</v>
      </c>
      <c r="J217" s="48">
        <v>565.99199999999996</v>
      </c>
      <c r="K217" s="48">
        <v>574.94399999999996</v>
      </c>
      <c r="L217" s="48">
        <v>583.63900000000001</v>
      </c>
      <c r="M217" s="48">
        <v>547.61199999999997</v>
      </c>
      <c r="N217" s="48">
        <v>658.19</v>
      </c>
      <c r="O217" s="48">
        <v>631.81200000000001</v>
      </c>
      <c r="P217" s="48">
        <v>664.26199999999994</v>
      </c>
      <c r="Q217" s="48">
        <v>676.14</v>
      </c>
      <c r="R217" s="48">
        <v>642.61099999999999</v>
      </c>
      <c r="S217" s="48">
        <v>666.01900000000001</v>
      </c>
      <c r="T217" s="48">
        <v>381.78199999999998</v>
      </c>
      <c r="U217" s="48">
        <v>399.74599999999998</v>
      </c>
      <c r="V217" s="48">
        <v>388.10700000000003</v>
      </c>
      <c r="W217" s="48">
        <v>566.54499999999996</v>
      </c>
      <c r="X217" s="48">
        <v>571.46500000000003</v>
      </c>
      <c r="Y217" s="48">
        <v>552.27599999999995</v>
      </c>
      <c r="Z217" s="48">
        <v>588.34500000000003</v>
      </c>
      <c r="AA217" s="48">
        <v>517.69799999999998</v>
      </c>
      <c r="AB217" s="48">
        <v>541.98900000000003</v>
      </c>
      <c r="AC217" s="48">
        <v>438.50700000000001</v>
      </c>
      <c r="AD217" s="48">
        <v>300.11700000000002</v>
      </c>
      <c r="AE217" s="48">
        <v>273.47300000000001</v>
      </c>
      <c r="AF217" s="48">
        <v>294.12</v>
      </c>
      <c r="AG217" s="48">
        <v>373.80799999999999</v>
      </c>
      <c r="AH217" s="48">
        <v>398.61700000000002</v>
      </c>
      <c r="AI217" s="46" t="s">
        <v>121</v>
      </c>
    </row>
    <row r="218" spans="1:35" x14ac:dyDescent="0.3">
      <c r="A218" s="209"/>
      <c r="B218" s="50" t="s">
        <v>174</v>
      </c>
      <c r="C218" s="49">
        <v>28.971</v>
      </c>
      <c r="D218" s="49">
        <v>35.44</v>
      </c>
      <c r="E218" s="49">
        <v>37.780999999999999</v>
      </c>
      <c r="F218" s="49">
        <v>34.311</v>
      </c>
      <c r="G218" s="49">
        <v>39.398000000000003</v>
      </c>
      <c r="H218" s="49">
        <v>43.12</v>
      </c>
      <c r="I218" s="49">
        <v>38.218000000000004</v>
      </c>
      <c r="J218" s="49">
        <v>36.518000000000001</v>
      </c>
      <c r="K218" s="49">
        <v>40.899000000000001</v>
      </c>
      <c r="L218" s="49">
        <v>42.749000000000002</v>
      </c>
      <c r="M218" s="49">
        <v>39.835999999999999</v>
      </c>
      <c r="N218" s="49">
        <v>33.707999999999998</v>
      </c>
      <c r="O218" s="49">
        <v>35.268000000000001</v>
      </c>
      <c r="P218" s="49">
        <v>30.189</v>
      </c>
      <c r="Q218" s="49">
        <v>32.023000000000003</v>
      </c>
      <c r="R218" s="49">
        <v>28.827999999999999</v>
      </c>
      <c r="S218" s="49">
        <v>32.081000000000003</v>
      </c>
      <c r="T218" s="49">
        <v>33.926000000000002</v>
      </c>
      <c r="U218" s="49">
        <v>29.280999999999999</v>
      </c>
      <c r="V218" s="49">
        <v>27.887</v>
      </c>
      <c r="W218" s="49">
        <v>19.201000000000001</v>
      </c>
      <c r="X218" s="49">
        <v>142.50299999999999</v>
      </c>
      <c r="Y218" s="49">
        <v>124.251</v>
      </c>
      <c r="Z218" s="49">
        <v>126.97</v>
      </c>
      <c r="AA218" s="49">
        <v>125.30800000000001</v>
      </c>
      <c r="AB218" s="49">
        <v>122.806</v>
      </c>
      <c r="AC218" s="49">
        <v>117.17400000000001</v>
      </c>
      <c r="AD218" s="49">
        <v>118.34699999999999</v>
      </c>
      <c r="AE218" s="49">
        <v>118.715</v>
      </c>
      <c r="AF218" s="49">
        <v>116.64700000000001</v>
      </c>
      <c r="AG218" s="49">
        <v>111.268</v>
      </c>
      <c r="AH218" s="49">
        <v>122.999</v>
      </c>
      <c r="AI218" s="47" t="s">
        <v>121</v>
      </c>
    </row>
    <row r="219" spans="1:35" x14ac:dyDescent="0.3">
      <c r="A219" s="209"/>
      <c r="B219" s="50" t="s">
        <v>175</v>
      </c>
      <c r="C219" s="48">
        <v>4332.701</v>
      </c>
      <c r="D219" s="48">
        <v>3970.1080000000002</v>
      </c>
      <c r="E219" s="48">
        <v>4057.7069999999999</v>
      </c>
      <c r="F219" s="48">
        <v>3905.64</v>
      </c>
      <c r="G219" s="48">
        <v>4081.279</v>
      </c>
      <c r="H219" s="48">
        <v>3837.4</v>
      </c>
      <c r="I219" s="48">
        <v>1650.01</v>
      </c>
      <c r="J219" s="48">
        <v>1535.7560000000001</v>
      </c>
      <c r="K219" s="48">
        <v>1406.7270000000001</v>
      </c>
      <c r="L219" s="48">
        <v>1387.9960000000001</v>
      </c>
      <c r="M219" s="48">
        <v>1457.6780000000001</v>
      </c>
      <c r="N219" s="48">
        <v>1112.28</v>
      </c>
      <c r="O219" s="48">
        <v>1142.5139999999999</v>
      </c>
      <c r="P219" s="48">
        <v>1073.4259999999999</v>
      </c>
      <c r="Q219" s="48">
        <v>1033.9580000000001</v>
      </c>
      <c r="R219" s="48">
        <v>1089.7850000000001</v>
      </c>
      <c r="S219" s="48">
        <v>727.12</v>
      </c>
      <c r="T219" s="48">
        <v>2040.701</v>
      </c>
      <c r="U219" s="48">
        <v>2084.4520000000002</v>
      </c>
      <c r="V219" s="48">
        <v>1750.076</v>
      </c>
      <c r="W219" s="48">
        <v>2437.1109999999999</v>
      </c>
      <c r="X219" s="48">
        <v>3620.74</v>
      </c>
      <c r="Y219" s="48">
        <v>4033.2950000000001</v>
      </c>
      <c r="Z219" s="48">
        <v>4463.1180000000004</v>
      </c>
      <c r="AA219" s="48">
        <v>3983.7370000000001</v>
      </c>
      <c r="AB219" s="48">
        <v>3522.8780000000002</v>
      </c>
      <c r="AC219" s="48">
        <v>3560.9639999999999</v>
      </c>
      <c r="AD219" s="48">
        <v>3432.453</v>
      </c>
      <c r="AE219" s="48">
        <v>3793.4789999999998</v>
      </c>
      <c r="AF219" s="48">
        <v>4154.9160000000002</v>
      </c>
      <c r="AG219" s="48">
        <v>3947.02</v>
      </c>
      <c r="AH219" s="48">
        <v>3589.4490000000001</v>
      </c>
      <c r="AI219" s="46" t="s">
        <v>121</v>
      </c>
    </row>
    <row r="220" spans="1:35" x14ac:dyDescent="0.3">
      <c r="A220" s="209"/>
      <c r="B220" s="50" t="s">
        <v>176</v>
      </c>
      <c r="C220" s="49">
        <v>933.96299999999997</v>
      </c>
      <c r="D220" s="49">
        <v>797.23500000000001</v>
      </c>
      <c r="E220" s="49">
        <v>484.66699999999997</v>
      </c>
      <c r="F220" s="49">
        <v>464.52600000000001</v>
      </c>
      <c r="G220" s="49">
        <v>597.34699999999998</v>
      </c>
      <c r="H220" s="49">
        <v>608.11500000000001</v>
      </c>
      <c r="I220" s="49">
        <v>796.60500000000002</v>
      </c>
      <c r="J220" s="49">
        <v>674.03</v>
      </c>
      <c r="K220" s="49">
        <v>591.78</v>
      </c>
      <c r="L220" s="49">
        <v>702.28700000000003</v>
      </c>
      <c r="M220" s="49">
        <v>462.411</v>
      </c>
      <c r="N220" s="49">
        <v>452.58100000000002</v>
      </c>
      <c r="O220" s="49">
        <v>477.71600000000001</v>
      </c>
      <c r="P220" s="49">
        <v>471.43400000000003</v>
      </c>
      <c r="Q220" s="49">
        <v>414.46499999999997</v>
      </c>
      <c r="R220" s="49">
        <v>471.27199999999999</v>
      </c>
      <c r="S220" s="49">
        <v>254.71199999999999</v>
      </c>
      <c r="T220" s="49">
        <v>359.55399999999997</v>
      </c>
      <c r="U220" s="49">
        <v>231.94900000000001</v>
      </c>
      <c r="V220" s="49">
        <v>277.63</v>
      </c>
      <c r="W220" s="49">
        <v>297.67200000000003</v>
      </c>
      <c r="X220" s="49">
        <v>190.12100000000001</v>
      </c>
      <c r="Y220" s="49">
        <v>147.20599999999999</v>
      </c>
      <c r="Z220" s="49">
        <v>207.11099999999999</v>
      </c>
      <c r="AA220" s="49">
        <v>148.108</v>
      </c>
      <c r="AB220" s="49">
        <v>177.435</v>
      </c>
      <c r="AC220" s="49">
        <v>166.86799999999999</v>
      </c>
      <c r="AD220" s="49">
        <v>180.447</v>
      </c>
      <c r="AE220" s="49">
        <v>181.33600000000001</v>
      </c>
      <c r="AF220" s="49">
        <v>193.97</v>
      </c>
      <c r="AG220" s="49">
        <v>154.39699999999999</v>
      </c>
      <c r="AH220" s="49">
        <v>174.51400000000001</v>
      </c>
      <c r="AI220" s="47" t="s">
        <v>121</v>
      </c>
    </row>
    <row r="221" spans="1:35" x14ac:dyDescent="0.3">
      <c r="A221" s="209"/>
      <c r="B221" s="50" t="s">
        <v>177</v>
      </c>
      <c r="C221" s="48">
        <v>1312.3420000000001</v>
      </c>
      <c r="D221" s="48">
        <v>1312.3689999999999</v>
      </c>
      <c r="E221" s="48">
        <v>1292.704</v>
      </c>
      <c r="F221" s="48">
        <v>1015.472</v>
      </c>
      <c r="G221" s="48">
        <v>1143.6759999999999</v>
      </c>
      <c r="H221" s="48">
        <v>1263.915</v>
      </c>
      <c r="I221" s="48">
        <v>1115.691</v>
      </c>
      <c r="J221" s="48">
        <v>1094.5999999999999</v>
      </c>
      <c r="K221" s="48">
        <v>1075.9949999999999</v>
      </c>
      <c r="L221" s="48">
        <v>1139.462</v>
      </c>
      <c r="M221" s="48">
        <v>1122.2059999999999</v>
      </c>
      <c r="N221" s="48">
        <v>1115.633</v>
      </c>
      <c r="O221" s="48">
        <v>849.95799999999997</v>
      </c>
      <c r="P221" s="48">
        <v>704.45799999999997</v>
      </c>
      <c r="Q221" s="48">
        <v>801.93700000000001</v>
      </c>
      <c r="R221" s="48">
        <v>743.26700000000005</v>
      </c>
      <c r="S221" s="48">
        <v>755.60599999999999</v>
      </c>
      <c r="T221" s="48">
        <v>894.33399999999995</v>
      </c>
      <c r="U221" s="48">
        <v>856.70500000000004</v>
      </c>
      <c r="V221" s="48">
        <v>189.28700000000001</v>
      </c>
      <c r="W221" s="48">
        <v>461.09899999999999</v>
      </c>
      <c r="X221" s="48">
        <v>736.423</v>
      </c>
      <c r="Y221" s="48">
        <v>766.26199999999994</v>
      </c>
      <c r="Z221" s="48">
        <v>843.923</v>
      </c>
      <c r="AA221" s="48">
        <v>1177.5999999999999</v>
      </c>
      <c r="AB221" s="48">
        <v>1113.7049999999999</v>
      </c>
      <c r="AC221" s="48">
        <v>1266.479</v>
      </c>
      <c r="AD221" s="48">
        <v>1251.799</v>
      </c>
      <c r="AE221" s="48">
        <v>1171.694</v>
      </c>
      <c r="AF221" s="48">
        <v>921.06500000000005</v>
      </c>
      <c r="AG221" s="48">
        <v>777.86</v>
      </c>
      <c r="AH221" s="48">
        <v>780.42499999999995</v>
      </c>
      <c r="AI221" s="46" t="s">
        <v>121</v>
      </c>
    </row>
    <row r="222" spans="1:35" x14ac:dyDescent="0.3">
      <c r="A222" s="209"/>
      <c r="B222" s="50" t="s">
        <v>178</v>
      </c>
      <c r="C222" s="49">
        <v>1781.539</v>
      </c>
      <c r="D222" s="49">
        <v>1739.769</v>
      </c>
      <c r="E222" s="49">
        <v>1907.72</v>
      </c>
      <c r="F222" s="49">
        <v>1880.2629999999999</v>
      </c>
      <c r="G222" s="49">
        <v>2086.451</v>
      </c>
      <c r="H222" s="49">
        <v>2106.4989999999998</v>
      </c>
      <c r="I222" s="49">
        <v>2018.75</v>
      </c>
      <c r="J222" s="49">
        <v>2254.1950000000002</v>
      </c>
      <c r="K222" s="49">
        <v>2184.9299999999998</v>
      </c>
      <c r="L222" s="49">
        <v>2066.0239999999999</v>
      </c>
      <c r="M222" s="49">
        <v>1997.452</v>
      </c>
      <c r="N222" s="49">
        <v>1836.1320000000001</v>
      </c>
      <c r="O222" s="49">
        <v>1779.4549999999999</v>
      </c>
      <c r="P222" s="49">
        <v>1812.796</v>
      </c>
      <c r="Q222" s="49">
        <v>1944.55</v>
      </c>
      <c r="R222" s="49">
        <v>1739.0809999999999</v>
      </c>
      <c r="S222" s="49">
        <v>2072.9949999999999</v>
      </c>
      <c r="T222" s="49">
        <v>1473.82</v>
      </c>
      <c r="U222" s="49">
        <v>1356.9839999999999</v>
      </c>
      <c r="V222" s="49">
        <v>880.82299999999998</v>
      </c>
      <c r="W222" s="49">
        <v>1192.6959999999999</v>
      </c>
      <c r="X222" s="49">
        <v>1389.38</v>
      </c>
      <c r="Y222" s="49">
        <v>1300.4480000000001</v>
      </c>
      <c r="Z222" s="49">
        <v>1238.4090000000001</v>
      </c>
      <c r="AA222" s="49">
        <v>1158.933</v>
      </c>
      <c r="AB222" s="49">
        <v>1152.3140000000001</v>
      </c>
      <c r="AC222" s="49">
        <v>1197.057</v>
      </c>
      <c r="AD222" s="49">
        <v>1269.0440000000001</v>
      </c>
      <c r="AE222" s="49">
        <v>1235.7</v>
      </c>
      <c r="AF222" s="49">
        <v>1195.4659999999999</v>
      </c>
      <c r="AG222" s="49">
        <v>1114.0630000000001</v>
      </c>
      <c r="AH222" s="49">
        <v>1309.0070000000001</v>
      </c>
      <c r="AI222" s="47" t="s">
        <v>121</v>
      </c>
    </row>
    <row r="223" spans="1:35" x14ac:dyDescent="0.3">
      <c r="A223" s="209"/>
      <c r="B223" s="50" t="s">
        <v>179</v>
      </c>
      <c r="C223" s="48">
        <v>16320.369000000001</v>
      </c>
      <c r="D223" s="48">
        <v>16277.805</v>
      </c>
      <c r="E223" s="48">
        <v>15466.994000000001</v>
      </c>
      <c r="F223" s="48">
        <v>12475.938</v>
      </c>
      <c r="G223" s="48">
        <v>14828.1</v>
      </c>
      <c r="H223" s="48">
        <v>14661.913</v>
      </c>
      <c r="I223" s="48">
        <v>13629.477999999999</v>
      </c>
      <c r="J223" s="48">
        <v>14568.991</v>
      </c>
      <c r="K223" s="48">
        <v>13735.575000000001</v>
      </c>
      <c r="L223" s="48">
        <v>13861.884</v>
      </c>
      <c r="M223" s="48">
        <v>13782.529</v>
      </c>
      <c r="N223" s="48">
        <v>13837.91</v>
      </c>
      <c r="O223" s="48">
        <v>12254.965</v>
      </c>
      <c r="P223" s="48">
        <v>11232.638999999999</v>
      </c>
      <c r="Q223" s="48">
        <v>10359.904</v>
      </c>
      <c r="R223" s="48">
        <v>9585.8809999999994</v>
      </c>
      <c r="S223" s="48">
        <v>10014.004000000001</v>
      </c>
      <c r="T223" s="48">
        <v>6198.9650000000001</v>
      </c>
      <c r="U223" s="48">
        <v>6140.1180000000004</v>
      </c>
      <c r="V223" s="48">
        <v>5727.6450000000004</v>
      </c>
      <c r="W223" s="48">
        <v>8814.2890000000007</v>
      </c>
      <c r="X223" s="48">
        <v>7930.8580000000002</v>
      </c>
      <c r="Y223" s="48">
        <v>8360.1260000000002</v>
      </c>
      <c r="Z223" s="48">
        <v>8850.857</v>
      </c>
      <c r="AA223" s="48">
        <v>8978.5580000000009</v>
      </c>
      <c r="AB223" s="48">
        <v>8673.9770000000008</v>
      </c>
      <c r="AC223" s="48">
        <v>9890.4050000000007</v>
      </c>
      <c r="AD223" s="48">
        <v>10057.578</v>
      </c>
      <c r="AE223" s="48">
        <v>9753.3989999999994</v>
      </c>
      <c r="AF223" s="48">
        <v>10791.067999999999</v>
      </c>
      <c r="AG223" s="48">
        <v>10475.397000000001</v>
      </c>
      <c r="AH223" s="48">
        <v>10990.972</v>
      </c>
      <c r="AI223" s="46" t="s">
        <v>121</v>
      </c>
    </row>
    <row r="224" spans="1:35" x14ac:dyDescent="0.3">
      <c r="A224" s="209"/>
      <c r="B224" s="50" t="s">
        <v>180</v>
      </c>
      <c r="C224" s="49">
        <v>1856.671</v>
      </c>
      <c r="D224" s="49">
        <v>1986.1110000000001</v>
      </c>
      <c r="E224" s="49">
        <v>2038.3610000000001</v>
      </c>
      <c r="F224" s="49">
        <v>1610.4570000000001</v>
      </c>
      <c r="G224" s="49">
        <v>1742.3130000000001</v>
      </c>
      <c r="H224" s="49">
        <v>1985.269</v>
      </c>
      <c r="I224" s="49">
        <v>2199.7840000000001</v>
      </c>
      <c r="J224" s="49">
        <v>2185.0340000000001</v>
      </c>
      <c r="K224" s="49">
        <v>2662.9259999999999</v>
      </c>
      <c r="L224" s="49">
        <v>2590.4899999999998</v>
      </c>
      <c r="M224" s="49">
        <v>2353.047</v>
      </c>
      <c r="N224" s="49">
        <v>2041.25</v>
      </c>
      <c r="O224" s="49">
        <v>1938.424</v>
      </c>
      <c r="P224" s="49">
        <v>1941.367</v>
      </c>
      <c r="Q224" s="49">
        <v>2388.7710000000002</v>
      </c>
      <c r="R224" s="49">
        <v>2967.8620000000001</v>
      </c>
      <c r="S224" s="49">
        <v>2859.8130000000001</v>
      </c>
      <c r="T224" s="49">
        <v>3167.3</v>
      </c>
      <c r="U224" s="49">
        <v>3359.8829999999998</v>
      </c>
      <c r="V224" s="49">
        <v>2705.1089999999999</v>
      </c>
      <c r="W224" s="49">
        <v>1829.336</v>
      </c>
      <c r="X224" s="49">
        <v>3567.3820000000001</v>
      </c>
      <c r="Y224" s="49">
        <v>2830.5749999999998</v>
      </c>
      <c r="Z224" s="49">
        <v>2706.3820000000001</v>
      </c>
      <c r="AA224" s="49">
        <v>3129.373</v>
      </c>
      <c r="AB224" s="49">
        <v>2712.0740000000001</v>
      </c>
      <c r="AC224" s="49">
        <v>3088.9850000000001</v>
      </c>
      <c r="AD224" s="49">
        <v>2370.7310000000002</v>
      </c>
      <c r="AE224" s="49">
        <v>2268.3029999999999</v>
      </c>
      <c r="AF224" s="49">
        <v>2078.201</v>
      </c>
      <c r="AG224" s="49">
        <v>1856.0509999999999</v>
      </c>
      <c r="AH224" s="49">
        <v>2075.6610000000001</v>
      </c>
      <c r="AI224" s="47" t="s">
        <v>121</v>
      </c>
    </row>
    <row r="225" spans="1:35" x14ac:dyDescent="0.3">
      <c r="A225" s="209"/>
      <c r="B225" s="50" t="s">
        <v>181</v>
      </c>
      <c r="C225" s="48">
        <v>4652.2520000000004</v>
      </c>
      <c r="D225" s="48">
        <v>4677.0659999999998</v>
      </c>
      <c r="E225" s="48">
        <v>4850.59</v>
      </c>
      <c r="F225" s="48">
        <v>4420.009</v>
      </c>
      <c r="G225" s="48">
        <v>5091.4260000000004</v>
      </c>
      <c r="H225" s="48">
        <v>5369.308</v>
      </c>
      <c r="I225" s="48">
        <v>5256.7539999999999</v>
      </c>
      <c r="J225" s="48">
        <v>5849.3419999999996</v>
      </c>
      <c r="K225" s="48">
        <v>5560.277</v>
      </c>
      <c r="L225" s="48">
        <v>5007.3689999999997</v>
      </c>
      <c r="M225" s="48">
        <v>4975.6509999999998</v>
      </c>
      <c r="N225" s="48">
        <v>5010.6480000000001</v>
      </c>
      <c r="O225" s="48">
        <v>5107.933</v>
      </c>
      <c r="P225" s="48">
        <v>4803.8559999999998</v>
      </c>
      <c r="Q225" s="48">
        <v>5145.3419999999996</v>
      </c>
      <c r="R225" s="48">
        <v>4787.0969999999998</v>
      </c>
      <c r="S225" s="48">
        <v>4631.7759999999998</v>
      </c>
      <c r="T225" s="48">
        <v>4855.3450000000003</v>
      </c>
      <c r="U225" s="48">
        <v>4741.8609999999999</v>
      </c>
      <c r="V225" s="48">
        <v>3676.6370000000002</v>
      </c>
      <c r="W225" s="48">
        <v>4351.6530000000002</v>
      </c>
      <c r="X225" s="48">
        <v>5114.07</v>
      </c>
      <c r="Y225" s="48">
        <v>4967.4120000000003</v>
      </c>
      <c r="Z225" s="48">
        <v>5014.2460000000001</v>
      </c>
      <c r="AA225" s="48">
        <v>5191.8450000000003</v>
      </c>
      <c r="AB225" s="48">
        <v>5138.3270000000002</v>
      </c>
      <c r="AC225" s="48">
        <v>5086.366</v>
      </c>
      <c r="AD225" s="48">
        <v>5286.4449999999997</v>
      </c>
      <c r="AE225" s="48">
        <v>5608.4549999999999</v>
      </c>
      <c r="AF225" s="48">
        <v>5622.643</v>
      </c>
      <c r="AG225" s="48">
        <v>5113.97</v>
      </c>
      <c r="AH225" s="48">
        <v>5874.2430000000004</v>
      </c>
      <c r="AI225" s="46" t="s">
        <v>121</v>
      </c>
    </row>
    <row r="226" spans="1:35" x14ac:dyDescent="0.3">
      <c r="A226" s="209"/>
      <c r="B226" s="44" t="s">
        <v>182</v>
      </c>
      <c r="C226" s="49">
        <v>25022.384999999998</v>
      </c>
      <c r="D226" s="49">
        <v>25530.993999999999</v>
      </c>
      <c r="E226" s="49">
        <v>27016.705999999998</v>
      </c>
      <c r="F226" s="49">
        <v>29694.446</v>
      </c>
      <c r="G226" s="49">
        <v>29964.401000000002</v>
      </c>
      <c r="H226" s="49">
        <v>28341.457999999999</v>
      </c>
      <c r="I226" s="49">
        <v>28544.182000000001</v>
      </c>
      <c r="J226" s="49">
        <v>31734.366000000002</v>
      </c>
      <c r="K226" s="49">
        <v>34752.839999999997</v>
      </c>
      <c r="L226" s="49">
        <v>32331.156999999999</v>
      </c>
      <c r="M226" s="49">
        <v>35541.608999999997</v>
      </c>
      <c r="N226" s="49">
        <v>34460.942000000003</v>
      </c>
      <c r="O226" s="49">
        <v>33222.144</v>
      </c>
      <c r="P226" s="49">
        <v>35187.828000000001</v>
      </c>
      <c r="Q226" s="49">
        <v>37742.535000000003</v>
      </c>
      <c r="R226" s="49">
        <v>40658.752999999997</v>
      </c>
      <c r="S226" s="49">
        <v>39844.218000000001</v>
      </c>
      <c r="T226" s="49">
        <v>42485.300999999999</v>
      </c>
      <c r="U226" s="49">
        <v>44897.451000000001</v>
      </c>
      <c r="V226" s="49">
        <v>38417.216</v>
      </c>
      <c r="W226" s="49">
        <v>37734.81</v>
      </c>
      <c r="X226" s="49">
        <v>47285.771999999997</v>
      </c>
      <c r="Y226" s="49">
        <v>46898.800999999999</v>
      </c>
      <c r="Z226" s="49">
        <v>43260.703999999998</v>
      </c>
      <c r="AA226" s="49">
        <v>45820.144999999997</v>
      </c>
      <c r="AB226" s="49">
        <v>46877.862999999998</v>
      </c>
      <c r="AC226" s="49">
        <v>44903.942000000003</v>
      </c>
      <c r="AD226" s="49">
        <v>47305.135999999999</v>
      </c>
      <c r="AE226" s="49">
        <v>46189.642</v>
      </c>
      <c r="AF226" s="49">
        <v>47235.260999999999</v>
      </c>
      <c r="AG226" s="49">
        <v>39235.506000000001</v>
      </c>
      <c r="AH226" s="49">
        <v>36967.148999999998</v>
      </c>
      <c r="AI226" s="49">
        <v>37628.815999999999</v>
      </c>
    </row>
    <row r="227" spans="1:35" x14ac:dyDescent="0.3">
      <c r="A227" s="209"/>
      <c r="B227" s="50" t="s">
        <v>183</v>
      </c>
      <c r="C227" s="48">
        <v>676.26</v>
      </c>
      <c r="D227" s="48">
        <v>745.76300000000003</v>
      </c>
      <c r="E227" s="48">
        <v>651.02</v>
      </c>
      <c r="F227" s="48">
        <v>675.21100000000001</v>
      </c>
      <c r="G227" s="48">
        <v>737.81</v>
      </c>
      <c r="H227" s="48">
        <v>477.34699999999998</v>
      </c>
      <c r="I227" s="48">
        <v>378.04199999999997</v>
      </c>
      <c r="J227" s="48">
        <v>285.64999999999998</v>
      </c>
      <c r="K227" s="48">
        <v>116.39</v>
      </c>
      <c r="L227" s="48">
        <v>169.07300000000001</v>
      </c>
      <c r="M227" s="48">
        <v>201.44300000000001</v>
      </c>
      <c r="N227" s="48">
        <v>145.84</v>
      </c>
      <c r="O227" s="48">
        <v>147.66300000000001</v>
      </c>
      <c r="P227" s="48">
        <v>138.203</v>
      </c>
      <c r="Q227" s="48">
        <v>164.46700000000001</v>
      </c>
      <c r="R227" s="48">
        <v>350.00400000000002</v>
      </c>
      <c r="S227" s="48">
        <v>191.91200000000001</v>
      </c>
      <c r="T227" s="48">
        <v>1576.2249999999999</v>
      </c>
      <c r="U227" s="48">
        <v>1174.184</v>
      </c>
      <c r="V227" s="48">
        <v>670.12900000000002</v>
      </c>
      <c r="W227" s="48">
        <v>56.615000000000002</v>
      </c>
      <c r="X227" s="48">
        <v>87.503</v>
      </c>
      <c r="Y227" s="48">
        <v>199.33500000000001</v>
      </c>
      <c r="Z227" s="48">
        <v>213.49799999999999</v>
      </c>
      <c r="AA227" s="48">
        <v>302.66800000000001</v>
      </c>
      <c r="AB227" s="48">
        <v>239.339</v>
      </c>
      <c r="AC227" s="48">
        <v>299.745</v>
      </c>
      <c r="AD227" s="48">
        <v>130.48099999999999</v>
      </c>
      <c r="AE227" s="48">
        <v>47.253999999999998</v>
      </c>
      <c r="AF227" s="48">
        <v>238.381</v>
      </c>
      <c r="AG227" s="48">
        <v>264.20699999999999</v>
      </c>
      <c r="AH227" s="48">
        <v>551.25199999999995</v>
      </c>
      <c r="AI227" s="46" t="s">
        <v>121</v>
      </c>
    </row>
    <row r="228" spans="1:35" x14ac:dyDescent="0.3">
      <c r="A228" s="209"/>
      <c r="B228" s="50" t="s">
        <v>184</v>
      </c>
      <c r="C228" s="49">
        <v>0.66700000000000004</v>
      </c>
      <c r="D228" s="49">
        <v>0.96199999999999997</v>
      </c>
      <c r="E228" s="49">
        <v>1.1779999999999999</v>
      </c>
      <c r="F228" s="49">
        <v>0.45100000000000001</v>
      </c>
      <c r="G228" s="49">
        <v>0.44</v>
      </c>
      <c r="H228" s="49">
        <v>0.26400000000000001</v>
      </c>
      <c r="I228" s="49">
        <v>8.8439999999999994</v>
      </c>
      <c r="J228" s="49">
        <v>14.132</v>
      </c>
      <c r="K228" s="49">
        <v>5.9329999999999998</v>
      </c>
      <c r="L228" s="49">
        <v>0.14099999999999999</v>
      </c>
      <c r="M228" s="49">
        <v>5.3999999999999999E-2</v>
      </c>
      <c r="N228" s="49">
        <v>0.19600000000000001</v>
      </c>
      <c r="O228" s="49">
        <v>5.2999999999999999E-2</v>
      </c>
      <c r="P228" s="49">
        <v>0.189</v>
      </c>
      <c r="Q228" s="49">
        <v>0.10299999999999999</v>
      </c>
      <c r="R228" s="49">
        <v>9.7000000000000003E-2</v>
      </c>
      <c r="S228" s="49">
        <v>0.22800000000000001</v>
      </c>
      <c r="T228" s="49">
        <v>4.1500000000000004</v>
      </c>
      <c r="U228" s="49">
        <v>2.3759999999999999</v>
      </c>
      <c r="V228" s="49">
        <v>0.16600000000000001</v>
      </c>
      <c r="W228" s="49">
        <v>1.252</v>
      </c>
      <c r="X228" s="49">
        <v>0.49</v>
      </c>
      <c r="Y228" s="49">
        <v>2.9000000000000001E-2</v>
      </c>
      <c r="Z228" s="49">
        <v>1E-3</v>
      </c>
      <c r="AA228" s="49">
        <v>1.7999999999999999E-2</v>
      </c>
      <c r="AB228" s="49">
        <v>6.0000000000000001E-3</v>
      </c>
      <c r="AC228" s="47">
        <v>0</v>
      </c>
      <c r="AD228" s="49">
        <v>1.7000000000000001E-2</v>
      </c>
      <c r="AE228" s="49">
        <v>4.0000000000000001E-3</v>
      </c>
      <c r="AF228" s="47">
        <v>0</v>
      </c>
      <c r="AG228" s="47">
        <v>0</v>
      </c>
      <c r="AH228" s="47">
        <v>0</v>
      </c>
      <c r="AI228" s="47" t="s">
        <v>121</v>
      </c>
    </row>
    <row r="229" spans="1:35" x14ac:dyDescent="0.3">
      <c r="A229" s="209"/>
      <c r="B229" s="50" t="s">
        <v>185</v>
      </c>
      <c r="C229" s="48">
        <v>670.34299999999996</v>
      </c>
      <c r="D229" s="48">
        <v>733.35699999999997</v>
      </c>
      <c r="E229" s="48">
        <v>635.57000000000005</v>
      </c>
      <c r="F229" s="48">
        <v>632.64599999999996</v>
      </c>
      <c r="G229" s="48">
        <v>666.298</v>
      </c>
      <c r="H229" s="48">
        <v>457.738</v>
      </c>
      <c r="I229" s="48">
        <v>315.32600000000002</v>
      </c>
      <c r="J229" s="48">
        <v>247.69300000000001</v>
      </c>
      <c r="K229" s="48">
        <v>81.896000000000001</v>
      </c>
      <c r="L229" s="48">
        <v>91.864999999999995</v>
      </c>
      <c r="M229" s="48">
        <v>104.214</v>
      </c>
      <c r="N229" s="48">
        <v>113.774</v>
      </c>
      <c r="O229" s="48">
        <v>128.18899999999999</v>
      </c>
      <c r="P229" s="48">
        <v>85.811999999999998</v>
      </c>
      <c r="Q229" s="48">
        <v>110.012</v>
      </c>
      <c r="R229" s="48">
        <v>297.26299999999998</v>
      </c>
      <c r="S229" s="48">
        <v>140.81800000000001</v>
      </c>
      <c r="T229" s="48">
        <v>1126.0039999999999</v>
      </c>
      <c r="U229" s="48">
        <v>350.61500000000001</v>
      </c>
      <c r="V229" s="48">
        <v>225.65700000000001</v>
      </c>
      <c r="W229" s="48">
        <v>19.885999999999999</v>
      </c>
      <c r="X229" s="48">
        <v>63.237000000000002</v>
      </c>
      <c r="Y229" s="48">
        <v>177.30600000000001</v>
      </c>
      <c r="Z229" s="48">
        <v>196.99299999999999</v>
      </c>
      <c r="AA229" s="48">
        <v>280.12099999999998</v>
      </c>
      <c r="AB229" s="48">
        <v>153.65799999999999</v>
      </c>
      <c r="AC229" s="48">
        <v>282.85899999999998</v>
      </c>
      <c r="AD229" s="48">
        <v>109.02800000000001</v>
      </c>
      <c r="AE229" s="48">
        <v>17.166</v>
      </c>
      <c r="AF229" s="48">
        <v>168.816</v>
      </c>
      <c r="AG229" s="48">
        <v>230.172</v>
      </c>
      <c r="AH229" s="48">
        <v>533.19500000000005</v>
      </c>
      <c r="AI229" s="46" t="s">
        <v>121</v>
      </c>
    </row>
    <row r="230" spans="1:35" x14ac:dyDescent="0.3">
      <c r="A230" s="209"/>
      <c r="B230" s="50" t="s">
        <v>186</v>
      </c>
      <c r="C230" s="49">
        <v>1.9390000000000001</v>
      </c>
      <c r="D230" s="49">
        <v>6.3140000000000001</v>
      </c>
      <c r="E230" s="49">
        <v>1.53</v>
      </c>
      <c r="F230" s="49">
        <v>33.503999999999998</v>
      </c>
      <c r="G230" s="49">
        <v>62.43</v>
      </c>
      <c r="H230" s="49">
        <v>9.8369999999999997</v>
      </c>
      <c r="I230" s="49">
        <v>30.968</v>
      </c>
      <c r="J230" s="49">
        <v>3.5289999999999999</v>
      </c>
      <c r="K230" s="49">
        <v>11.853</v>
      </c>
      <c r="L230" s="49">
        <v>57.82</v>
      </c>
      <c r="M230" s="49">
        <v>75.894000000000005</v>
      </c>
      <c r="N230" s="49">
        <v>20.402999999999999</v>
      </c>
      <c r="O230" s="49">
        <v>9.9209999999999994</v>
      </c>
      <c r="P230" s="49">
        <v>42.584000000000003</v>
      </c>
      <c r="Q230" s="49">
        <v>34.625999999999998</v>
      </c>
      <c r="R230" s="49">
        <v>20.847000000000001</v>
      </c>
      <c r="S230" s="49">
        <v>32.497</v>
      </c>
      <c r="T230" s="49">
        <v>417.05900000000003</v>
      </c>
      <c r="U230" s="49">
        <v>796.00699999999995</v>
      </c>
      <c r="V230" s="49">
        <v>414.71699999999998</v>
      </c>
      <c r="W230" s="49">
        <v>7.6660000000000004</v>
      </c>
      <c r="X230" s="49">
        <v>0.223</v>
      </c>
      <c r="Y230" s="49">
        <v>3.5000000000000003E-2</v>
      </c>
      <c r="Z230" s="49">
        <v>7.0000000000000001E-3</v>
      </c>
      <c r="AA230" s="49">
        <v>0.05</v>
      </c>
      <c r="AB230" s="49">
        <v>63.97</v>
      </c>
      <c r="AC230" s="49">
        <v>9.9060000000000006</v>
      </c>
      <c r="AD230" s="49">
        <v>14.414</v>
      </c>
      <c r="AE230" s="49">
        <v>19.907</v>
      </c>
      <c r="AF230" s="49">
        <v>49.213999999999999</v>
      </c>
      <c r="AG230" s="49">
        <v>13.657999999999999</v>
      </c>
      <c r="AH230" s="49">
        <v>3.3000000000000002E-2</v>
      </c>
      <c r="AI230" s="47" t="s">
        <v>121</v>
      </c>
    </row>
    <row r="231" spans="1:35" x14ac:dyDescent="0.3">
      <c r="A231" s="209"/>
      <c r="B231" s="50" t="s">
        <v>187</v>
      </c>
      <c r="C231" s="48">
        <v>3.3109999999999999</v>
      </c>
      <c r="D231" s="48">
        <v>5.13</v>
      </c>
      <c r="E231" s="48">
        <v>12.742000000000001</v>
      </c>
      <c r="F231" s="48">
        <v>8.61</v>
      </c>
      <c r="G231" s="48">
        <v>8.6430000000000007</v>
      </c>
      <c r="H231" s="48">
        <v>9.5069999999999997</v>
      </c>
      <c r="I231" s="48">
        <v>22.904</v>
      </c>
      <c r="J231" s="48">
        <v>20.295999999999999</v>
      </c>
      <c r="K231" s="48">
        <v>16.709</v>
      </c>
      <c r="L231" s="48">
        <v>19.247</v>
      </c>
      <c r="M231" s="48">
        <v>21.280999999999999</v>
      </c>
      <c r="N231" s="48">
        <v>11.468</v>
      </c>
      <c r="O231" s="48">
        <v>9.5</v>
      </c>
      <c r="P231" s="48">
        <v>9.6189999999999998</v>
      </c>
      <c r="Q231" s="48">
        <v>19.725000000000001</v>
      </c>
      <c r="R231" s="48">
        <v>31.795999999999999</v>
      </c>
      <c r="S231" s="48">
        <v>18.367999999999999</v>
      </c>
      <c r="T231" s="48">
        <v>29.012</v>
      </c>
      <c r="U231" s="48">
        <v>25.186</v>
      </c>
      <c r="V231" s="48">
        <v>29.588999999999999</v>
      </c>
      <c r="W231" s="48">
        <v>27.811</v>
      </c>
      <c r="X231" s="48">
        <v>23.553000000000001</v>
      </c>
      <c r="Y231" s="48">
        <v>21.965</v>
      </c>
      <c r="Z231" s="48">
        <v>16.498000000000001</v>
      </c>
      <c r="AA231" s="48">
        <v>22.478000000000002</v>
      </c>
      <c r="AB231" s="48">
        <v>21.704999999999998</v>
      </c>
      <c r="AC231" s="48">
        <v>6.98</v>
      </c>
      <c r="AD231" s="48">
        <v>7.0220000000000002</v>
      </c>
      <c r="AE231" s="48">
        <v>10.178000000000001</v>
      </c>
      <c r="AF231" s="48">
        <v>20.350999999999999</v>
      </c>
      <c r="AG231" s="48">
        <v>20.376000000000001</v>
      </c>
      <c r="AH231" s="48">
        <v>18.024000000000001</v>
      </c>
      <c r="AI231" s="46" t="s">
        <v>121</v>
      </c>
    </row>
    <row r="232" spans="1:35" x14ac:dyDescent="0.3">
      <c r="A232" s="209"/>
      <c r="B232" s="50" t="s">
        <v>188</v>
      </c>
      <c r="C232" s="49">
        <v>16239.564</v>
      </c>
      <c r="D232" s="49">
        <v>16249.591</v>
      </c>
      <c r="E232" s="49">
        <v>17248.055</v>
      </c>
      <c r="F232" s="49">
        <v>19497.026999999998</v>
      </c>
      <c r="G232" s="49">
        <v>18983.5</v>
      </c>
      <c r="H232" s="49">
        <v>17478.810000000001</v>
      </c>
      <c r="I232" s="49">
        <v>20160.067999999999</v>
      </c>
      <c r="J232" s="49">
        <v>22836.891</v>
      </c>
      <c r="K232" s="49">
        <v>25816.992999999999</v>
      </c>
      <c r="L232" s="49">
        <v>22957.275000000001</v>
      </c>
      <c r="M232" s="49">
        <v>25389.218000000001</v>
      </c>
      <c r="N232" s="49">
        <v>24875.145</v>
      </c>
      <c r="O232" s="49">
        <v>23759.986000000001</v>
      </c>
      <c r="P232" s="49">
        <v>25886.771000000001</v>
      </c>
      <c r="Q232" s="49">
        <v>27297.901000000002</v>
      </c>
      <c r="R232" s="49">
        <v>30185.019</v>
      </c>
      <c r="S232" s="49">
        <v>29131.882000000001</v>
      </c>
      <c r="T232" s="49">
        <v>30860.191999999999</v>
      </c>
      <c r="U232" s="49">
        <v>32925.385000000002</v>
      </c>
      <c r="V232" s="49">
        <v>28513.3</v>
      </c>
      <c r="W232" s="49">
        <v>26423.599999999999</v>
      </c>
      <c r="X232" s="49">
        <v>32423.013999999999</v>
      </c>
      <c r="Y232" s="49">
        <v>30762.165000000001</v>
      </c>
      <c r="Z232" s="49">
        <v>28341.812000000002</v>
      </c>
      <c r="AA232" s="49">
        <v>30387.324000000001</v>
      </c>
      <c r="AB232" s="49">
        <v>31233.315999999999</v>
      </c>
      <c r="AC232" s="49">
        <v>29814.025000000001</v>
      </c>
      <c r="AD232" s="49">
        <v>31511.652999999998</v>
      </c>
      <c r="AE232" s="49">
        <v>31090.295999999998</v>
      </c>
      <c r="AF232" s="49">
        <v>32059.186000000002</v>
      </c>
      <c r="AG232" s="49">
        <v>24917.645</v>
      </c>
      <c r="AH232" s="49">
        <v>21872.29</v>
      </c>
      <c r="AI232" s="47" t="s">
        <v>121</v>
      </c>
    </row>
    <row r="233" spans="1:35" x14ac:dyDescent="0.3">
      <c r="A233" s="209"/>
      <c r="B233" s="50" t="s">
        <v>189</v>
      </c>
      <c r="C233" s="48">
        <v>12509.937</v>
      </c>
      <c r="D233" s="48">
        <v>12282.609</v>
      </c>
      <c r="E233" s="48">
        <v>12715.703</v>
      </c>
      <c r="F233" s="48">
        <v>15154.487999999999</v>
      </c>
      <c r="G233" s="48">
        <v>14446.51</v>
      </c>
      <c r="H233" s="48">
        <v>12794.68</v>
      </c>
      <c r="I233" s="48">
        <v>15259.491</v>
      </c>
      <c r="J233" s="48">
        <v>17436.478999999999</v>
      </c>
      <c r="K233" s="48">
        <v>20714.921999999999</v>
      </c>
      <c r="L233" s="48">
        <v>17916.59</v>
      </c>
      <c r="M233" s="48">
        <v>20433.045999999998</v>
      </c>
      <c r="N233" s="48">
        <v>19817.509999999998</v>
      </c>
      <c r="O233" s="48">
        <v>18705.768</v>
      </c>
      <c r="P233" s="48">
        <v>20805.3</v>
      </c>
      <c r="Q233" s="48">
        <v>21989.095000000001</v>
      </c>
      <c r="R233" s="48">
        <v>25154.941999999999</v>
      </c>
      <c r="S233" s="48">
        <v>24160.846000000001</v>
      </c>
      <c r="T233" s="48">
        <v>25776.775000000001</v>
      </c>
      <c r="U233" s="48">
        <v>26480.996999999999</v>
      </c>
      <c r="V233" s="48">
        <v>21849.232</v>
      </c>
      <c r="W233" s="48">
        <v>17555.493999999999</v>
      </c>
      <c r="X233" s="48">
        <v>21900.855</v>
      </c>
      <c r="Y233" s="48">
        <v>20502.635999999999</v>
      </c>
      <c r="Z233" s="48">
        <v>19026.076000000001</v>
      </c>
      <c r="AA233" s="48">
        <v>19565.132000000001</v>
      </c>
      <c r="AB233" s="48">
        <v>21364.523000000001</v>
      </c>
      <c r="AC233" s="48">
        <v>21250.79</v>
      </c>
      <c r="AD233" s="48">
        <v>20691.760999999999</v>
      </c>
      <c r="AE233" s="48">
        <v>20886.287</v>
      </c>
      <c r="AF233" s="48">
        <v>18107.579000000002</v>
      </c>
      <c r="AG233" s="48">
        <v>13699.171</v>
      </c>
      <c r="AH233" s="48">
        <v>13939.647000000001</v>
      </c>
      <c r="AI233" s="46" t="s">
        <v>121</v>
      </c>
    </row>
    <row r="234" spans="1:35" x14ac:dyDescent="0.3">
      <c r="A234" s="209"/>
      <c r="B234" s="50" t="s">
        <v>190</v>
      </c>
      <c r="C234" s="49">
        <v>238.70099999999999</v>
      </c>
      <c r="D234" s="49">
        <v>378.39</v>
      </c>
      <c r="E234" s="49">
        <v>725.625</v>
      </c>
      <c r="F234" s="49">
        <v>447.59300000000002</v>
      </c>
      <c r="G234" s="49">
        <v>519.36800000000005</v>
      </c>
      <c r="H234" s="49">
        <v>489.09</v>
      </c>
      <c r="I234" s="49">
        <v>566.21500000000003</v>
      </c>
      <c r="J234" s="49">
        <v>962.50699999999995</v>
      </c>
      <c r="K234" s="49">
        <v>606.61800000000005</v>
      </c>
      <c r="L234" s="49">
        <v>554.54100000000005</v>
      </c>
      <c r="M234" s="49">
        <v>594.70600000000002</v>
      </c>
      <c r="N234" s="49">
        <v>673.28599999999994</v>
      </c>
      <c r="O234" s="49">
        <v>639.74599999999998</v>
      </c>
      <c r="P234" s="49">
        <v>799.98199999999997</v>
      </c>
      <c r="Q234" s="49">
        <v>1043.329</v>
      </c>
      <c r="R234" s="49">
        <v>733.15700000000004</v>
      </c>
      <c r="S234" s="49">
        <v>595.88599999999997</v>
      </c>
      <c r="T234" s="49">
        <v>599.92100000000005</v>
      </c>
      <c r="U234" s="49">
        <v>2196.8330000000001</v>
      </c>
      <c r="V234" s="49">
        <v>2598.2249999999999</v>
      </c>
      <c r="W234" s="49">
        <v>4594.0129999999999</v>
      </c>
      <c r="X234" s="49">
        <v>6192.9740000000002</v>
      </c>
      <c r="Y234" s="49">
        <v>5975.8310000000001</v>
      </c>
      <c r="Z234" s="49">
        <v>5012.25</v>
      </c>
      <c r="AA234" s="49">
        <v>6433.7049999999999</v>
      </c>
      <c r="AB234" s="49">
        <v>5350.326</v>
      </c>
      <c r="AC234" s="49">
        <v>4051.09</v>
      </c>
      <c r="AD234" s="49">
        <v>5976.1890000000003</v>
      </c>
      <c r="AE234" s="49">
        <v>5411.0290000000005</v>
      </c>
      <c r="AF234" s="49">
        <v>9111.5939999999991</v>
      </c>
      <c r="AG234" s="49">
        <v>7355.5389999999998</v>
      </c>
      <c r="AH234" s="49">
        <v>4069.7089999999998</v>
      </c>
      <c r="AI234" s="47" t="s">
        <v>121</v>
      </c>
    </row>
    <row r="235" spans="1:35" x14ac:dyDescent="0.3">
      <c r="A235" s="209"/>
      <c r="B235" s="50" t="s">
        <v>191</v>
      </c>
      <c r="C235" s="48">
        <v>3490.9270000000001</v>
      </c>
      <c r="D235" s="48">
        <v>3588.5920000000001</v>
      </c>
      <c r="E235" s="48">
        <v>3806.7269999999999</v>
      </c>
      <c r="F235" s="48">
        <v>3894.9459999999999</v>
      </c>
      <c r="G235" s="48">
        <v>4017.623</v>
      </c>
      <c r="H235" s="48">
        <v>4195.04</v>
      </c>
      <c r="I235" s="48">
        <v>4334.3620000000001</v>
      </c>
      <c r="J235" s="48">
        <v>4437.9049999999997</v>
      </c>
      <c r="K235" s="48">
        <v>4495.4520000000002</v>
      </c>
      <c r="L235" s="48">
        <v>4486.1440000000002</v>
      </c>
      <c r="M235" s="48">
        <v>4361.4650000000001</v>
      </c>
      <c r="N235" s="48">
        <v>4384.3490000000002</v>
      </c>
      <c r="O235" s="48">
        <v>4414.4719999999998</v>
      </c>
      <c r="P235" s="48">
        <v>4281.49</v>
      </c>
      <c r="Q235" s="48">
        <v>4265.4769999999999</v>
      </c>
      <c r="R235" s="48">
        <v>4296.92</v>
      </c>
      <c r="S235" s="48">
        <v>4375.1499999999996</v>
      </c>
      <c r="T235" s="48">
        <v>4483.4960000000001</v>
      </c>
      <c r="U235" s="48">
        <v>4247.5540000000001</v>
      </c>
      <c r="V235" s="48">
        <v>4065.8429999999998</v>
      </c>
      <c r="W235" s="48">
        <v>4274.0929999999998</v>
      </c>
      <c r="X235" s="48">
        <v>4329.1850000000004</v>
      </c>
      <c r="Y235" s="48">
        <v>4283.6980000000003</v>
      </c>
      <c r="Z235" s="48">
        <v>4303.4859999999999</v>
      </c>
      <c r="AA235" s="48">
        <v>4388.4880000000003</v>
      </c>
      <c r="AB235" s="48">
        <v>4518.4669999999996</v>
      </c>
      <c r="AC235" s="48">
        <v>4512.1450000000004</v>
      </c>
      <c r="AD235" s="48">
        <v>4843.7030000000004</v>
      </c>
      <c r="AE235" s="48">
        <v>4792.9799999999996</v>
      </c>
      <c r="AF235" s="48">
        <v>4840.0129999999999</v>
      </c>
      <c r="AG235" s="48">
        <v>3862.9340000000002</v>
      </c>
      <c r="AH235" s="48">
        <v>3862.9340000000002</v>
      </c>
      <c r="AI235" s="46" t="s">
        <v>121</v>
      </c>
    </row>
    <row r="236" spans="1:35" x14ac:dyDescent="0.3">
      <c r="A236" s="209"/>
      <c r="B236" s="50" t="s">
        <v>192</v>
      </c>
      <c r="C236" s="49">
        <v>3469.8020000000001</v>
      </c>
      <c r="D236" s="49">
        <v>3563.172</v>
      </c>
      <c r="E236" s="49">
        <v>3776.8780000000002</v>
      </c>
      <c r="F236" s="49">
        <v>3870.9690000000001</v>
      </c>
      <c r="G236" s="49">
        <v>3990.3240000000001</v>
      </c>
      <c r="H236" s="49">
        <v>4164.8320000000003</v>
      </c>
      <c r="I236" s="49">
        <v>4300.076</v>
      </c>
      <c r="J236" s="49">
        <v>4408.4080000000004</v>
      </c>
      <c r="K236" s="49">
        <v>4466.4279999999999</v>
      </c>
      <c r="L236" s="49">
        <v>4454.8760000000002</v>
      </c>
      <c r="M236" s="49">
        <v>4324.3599999999997</v>
      </c>
      <c r="N236" s="49">
        <v>4349.0330000000004</v>
      </c>
      <c r="O236" s="49">
        <v>4366.72</v>
      </c>
      <c r="P236" s="49">
        <v>4213.4049999999997</v>
      </c>
      <c r="Q236" s="49">
        <v>4175.6360000000004</v>
      </c>
      <c r="R236" s="49">
        <v>4207.7359999999999</v>
      </c>
      <c r="S236" s="49">
        <v>4288.9719999999998</v>
      </c>
      <c r="T236" s="49">
        <v>4398.2820000000002</v>
      </c>
      <c r="U236" s="49">
        <v>4154.3149999999996</v>
      </c>
      <c r="V236" s="49">
        <v>3954.4960000000001</v>
      </c>
      <c r="W236" s="49">
        <v>4154.8010000000004</v>
      </c>
      <c r="X236" s="49">
        <v>4211.4350000000004</v>
      </c>
      <c r="Y236" s="49">
        <v>4141.0879999999997</v>
      </c>
      <c r="Z236" s="49">
        <v>4144.8220000000001</v>
      </c>
      <c r="AA236" s="49">
        <v>4228.74</v>
      </c>
      <c r="AB236" s="49">
        <v>4353.9799999999996</v>
      </c>
      <c r="AC236" s="49">
        <v>4326.8599999999997</v>
      </c>
      <c r="AD236" s="49">
        <v>4644.7120000000004</v>
      </c>
      <c r="AE236" s="49">
        <v>4584.3370000000004</v>
      </c>
      <c r="AF236" s="49">
        <v>4614.3760000000002</v>
      </c>
      <c r="AG236" s="49">
        <v>3728.2779999999998</v>
      </c>
      <c r="AH236" s="49">
        <v>3728.2779999999998</v>
      </c>
      <c r="AI236" s="47" t="s">
        <v>121</v>
      </c>
    </row>
    <row r="237" spans="1:35" x14ac:dyDescent="0.3">
      <c r="A237" s="209"/>
      <c r="B237" s="50" t="s">
        <v>193</v>
      </c>
      <c r="C237" s="48">
        <v>18.978999999999999</v>
      </c>
      <c r="D237" s="48">
        <v>23.254999999999999</v>
      </c>
      <c r="E237" s="48">
        <v>27.059000000000001</v>
      </c>
      <c r="F237" s="48">
        <v>20.922999999999998</v>
      </c>
      <c r="G237" s="48">
        <v>22.673999999999999</v>
      </c>
      <c r="H237" s="48">
        <v>24.030999999999999</v>
      </c>
      <c r="I237" s="48">
        <v>24.053999999999998</v>
      </c>
      <c r="J237" s="48">
        <v>23.021999999999998</v>
      </c>
      <c r="K237" s="48">
        <v>25.760999999999999</v>
      </c>
      <c r="L237" s="48">
        <v>26.556000000000001</v>
      </c>
      <c r="M237" s="48">
        <v>30.119</v>
      </c>
      <c r="N237" s="48">
        <v>28.672000000000001</v>
      </c>
      <c r="O237" s="48">
        <v>28.385999999999999</v>
      </c>
      <c r="P237" s="48">
        <v>23.806000000000001</v>
      </c>
      <c r="Q237" s="48">
        <v>25.797999999999998</v>
      </c>
      <c r="R237" s="48">
        <v>26.050999999999998</v>
      </c>
      <c r="S237" s="48">
        <v>25.666</v>
      </c>
      <c r="T237" s="48">
        <v>26.434000000000001</v>
      </c>
      <c r="U237" s="46">
        <v>0</v>
      </c>
      <c r="V237" s="46">
        <v>0</v>
      </c>
      <c r="W237" s="46">
        <v>0</v>
      </c>
      <c r="X237" s="48">
        <v>1.6890000000000001</v>
      </c>
      <c r="Y237" s="48">
        <v>5.0810000000000004</v>
      </c>
      <c r="Z237" s="48">
        <v>5.1120000000000001</v>
      </c>
      <c r="AA237" s="48">
        <v>5.843</v>
      </c>
      <c r="AB237" s="48">
        <v>6.0469999999999997</v>
      </c>
      <c r="AC237" s="48">
        <v>5.415</v>
      </c>
      <c r="AD237" s="48">
        <v>4.7830000000000004</v>
      </c>
      <c r="AE237" s="48">
        <v>4.57</v>
      </c>
      <c r="AF237" s="48">
        <v>5.9580000000000002</v>
      </c>
      <c r="AG237" s="48">
        <v>7.0819999999999999</v>
      </c>
      <c r="AH237" s="48">
        <v>7.0819999999999999</v>
      </c>
      <c r="AI237" s="46" t="s">
        <v>121</v>
      </c>
    </row>
    <row r="238" spans="1:35" x14ac:dyDescent="0.3">
      <c r="A238" s="209"/>
      <c r="B238" s="50" t="s">
        <v>194</v>
      </c>
      <c r="C238" s="49">
        <v>2.1459999999999999</v>
      </c>
      <c r="D238" s="49">
        <v>2.1659999999999999</v>
      </c>
      <c r="E238" s="49">
        <v>2.79</v>
      </c>
      <c r="F238" s="49">
        <v>3.0529999999999999</v>
      </c>
      <c r="G238" s="49">
        <v>4.6239999999999997</v>
      </c>
      <c r="H238" s="49">
        <v>6.1779999999999999</v>
      </c>
      <c r="I238" s="49">
        <v>10.231999999999999</v>
      </c>
      <c r="J238" s="49">
        <v>6.4749999999999996</v>
      </c>
      <c r="K238" s="49">
        <v>3.2629999999999999</v>
      </c>
      <c r="L238" s="49">
        <v>4.7119999999999997</v>
      </c>
      <c r="M238" s="49">
        <v>6.9859999999999998</v>
      </c>
      <c r="N238" s="49">
        <v>6.6440000000000001</v>
      </c>
      <c r="O238" s="49">
        <v>19.367000000000001</v>
      </c>
      <c r="P238" s="49">
        <v>44.279000000000003</v>
      </c>
      <c r="Q238" s="49">
        <v>64.043000000000006</v>
      </c>
      <c r="R238" s="49">
        <v>63.133000000000003</v>
      </c>
      <c r="S238" s="49">
        <v>60.512</v>
      </c>
      <c r="T238" s="49">
        <v>58.779000000000003</v>
      </c>
      <c r="U238" s="49">
        <v>93.239000000000004</v>
      </c>
      <c r="V238" s="49">
        <v>111.34699999999999</v>
      </c>
      <c r="W238" s="49">
        <v>119.292</v>
      </c>
      <c r="X238" s="49">
        <v>116.06100000000001</v>
      </c>
      <c r="Y238" s="49">
        <v>137.529</v>
      </c>
      <c r="Z238" s="49">
        <v>153.553</v>
      </c>
      <c r="AA238" s="49">
        <v>153.905</v>
      </c>
      <c r="AB238" s="49">
        <v>158.43899999999999</v>
      </c>
      <c r="AC238" s="49">
        <v>179.87</v>
      </c>
      <c r="AD238" s="49">
        <v>194.208</v>
      </c>
      <c r="AE238" s="49">
        <v>204.07400000000001</v>
      </c>
      <c r="AF238" s="49">
        <v>219.679</v>
      </c>
      <c r="AG238" s="49">
        <v>127.575</v>
      </c>
      <c r="AH238" s="49">
        <v>127.575</v>
      </c>
      <c r="AI238" s="47" t="s">
        <v>121</v>
      </c>
    </row>
    <row r="239" spans="1:35" x14ac:dyDescent="0.3">
      <c r="A239" s="209"/>
      <c r="B239" s="50" t="s">
        <v>195</v>
      </c>
      <c r="C239" s="48">
        <v>8106.5609999999997</v>
      </c>
      <c r="D239" s="48">
        <v>8535.6389999999992</v>
      </c>
      <c r="E239" s="48">
        <v>9117.6309999999994</v>
      </c>
      <c r="F239" s="48">
        <v>9522.2080000000005</v>
      </c>
      <c r="G239" s="48">
        <v>10243.09</v>
      </c>
      <c r="H239" s="48">
        <v>10385.300999999999</v>
      </c>
      <c r="I239" s="48">
        <v>8006.0720000000001</v>
      </c>
      <c r="J239" s="48">
        <v>8611.8250000000007</v>
      </c>
      <c r="K239" s="48">
        <v>8819.4570000000003</v>
      </c>
      <c r="L239" s="48">
        <v>9204.8089999999993</v>
      </c>
      <c r="M239" s="48">
        <v>9950.9480000000003</v>
      </c>
      <c r="N239" s="48">
        <v>9439.9570000000003</v>
      </c>
      <c r="O239" s="48">
        <v>9314.4950000000008</v>
      </c>
      <c r="P239" s="48">
        <v>9162.8529999999992</v>
      </c>
      <c r="Q239" s="48">
        <v>10280.168</v>
      </c>
      <c r="R239" s="48">
        <v>10123.731</v>
      </c>
      <c r="S239" s="48">
        <v>10520.424000000001</v>
      </c>
      <c r="T239" s="48">
        <v>10048.883</v>
      </c>
      <c r="U239" s="48">
        <v>10797.883</v>
      </c>
      <c r="V239" s="48">
        <v>9233.7870000000003</v>
      </c>
      <c r="W239" s="48">
        <v>11254.593999999999</v>
      </c>
      <c r="X239" s="48">
        <v>14775.254999999999</v>
      </c>
      <c r="Y239" s="48">
        <v>15937.300999999999</v>
      </c>
      <c r="Z239" s="48">
        <v>14705.394</v>
      </c>
      <c r="AA239" s="48">
        <v>15130.153</v>
      </c>
      <c r="AB239" s="48">
        <v>15405.209000000001</v>
      </c>
      <c r="AC239" s="48">
        <v>14790.172</v>
      </c>
      <c r="AD239" s="48">
        <v>15663.003000000001</v>
      </c>
      <c r="AE239" s="48">
        <v>15052.091</v>
      </c>
      <c r="AF239" s="48">
        <v>14937.694</v>
      </c>
      <c r="AG239" s="48">
        <v>14053.655000000001</v>
      </c>
      <c r="AH239" s="48">
        <v>14543.608</v>
      </c>
      <c r="AI239" s="46" t="s">
        <v>121</v>
      </c>
    </row>
    <row r="240" spans="1:35" x14ac:dyDescent="0.3">
      <c r="A240" s="209"/>
      <c r="B240" s="50" t="s">
        <v>8</v>
      </c>
      <c r="C240" s="49">
        <v>8599.5059999999994</v>
      </c>
      <c r="D240" s="49">
        <v>8656.5820000000003</v>
      </c>
      <c r="E240" s="49">
        <v>9385.6419999999998</v>
      </c>
      <c r="F240" s="49">
        <v>9915.7860000000001</v>
      </c>
      <c r="G240" s="49">
        <v>10123.26</v>
      </c>
      <c r="H240" s="49">
        <v>10554.953</v>
      </c>
      <c r="I240" s="49">
        <v>10370.173000000001</v>
      </c>
      <c r="J240" s="49">
        <v>11068.931</v>
      </c>
      <c r="K240" s="49">
        <v>11398.891</v>
      </c>
      <c r="L240" s="49">
        <v>11914.688</v>
      </c>
      <c r="M240" s="49">
        <v>12692.493</v>
      </c>
      <c r="N240" s="49">
        <v>12387.788</v>
      </c>
      <c r="O240" s="49">
        <v>12463.355</v>
      </c>
      <c r="P240" s="49">
        <v>12090.038</v>
      </c>
      <c r="Q240" s="49">
        <v>12502.347</v>
      </c>
      <c r="R240" s="49">
        <v>12743.436</v>
      </c>
      <c r="S240" s="49">
        <v>12443.375</v>
      </c>
      <c r="T240" s="49">
        <v>11920.403</v>
      </c>
      <c r="U240" s="49">
        <v>11704.466</v>
      </c>
      <c r="V240" s="49">
        <v>10288.049000000001</v>
      </c>
      <c r="W240" s="49">
        <v>12915.653</v>
      </c>
      <c r="X240" s="49">
        <v>17295.613000000001</v>
      </c>
      <c r="Y240" s="49">
        <v>17237.737000000001</v>
      </c>
      <c r="Z240" s="49">
        <v>17473.606</v>
      </c>
      <c r="AA240" s="49">
        <v>18140.925999999999</v>
      </c>
      <c r="AB240" s="49">
        <v>17813.805</v>
      </c>
      <c r="AC240" s="49">
        <v>17919.672999999999</v>
      </c>
      <c r="AD240" s="49">
        <v>18731.636999999999</v>
      </c>
      <c r="AE240" s="49">
        <v>19360.829000000002</v>
      </c>
      <c r="AF240" s="49">
        <v>19336.23</v>
      </c>
      <c r="AG240" s="49">
        <v>17825.772000000001</v>
      </c>
      <c r="AH240" s="49">
        <v>19195.992999999999</v>
      </c>
      <c r="AI240" s="49">
        <v>21051.02</v>
      </c>
    </row>
    <row r="241" spans="1:35" x14ac:dyDescent="0.3">
      <c r="A241" s="209"/>
      <c r="B241" s="50" t="s">
        <v>196</v>
      </c>
      <c r="C241" s="46"/>
      <c r="D241" s="46"/>
      <c r="E241" s="46"/>
      <c r="F241" s="46"/>
      <c r="G241" s="46"/>
      <c r="H241" s="46"/>
      <c r="I241" s="46"/>
      <c r="J241" s="46"/>
      <c r="K241" s="46"/>
      <c r="L241" s="46"/>
      <c r="M241" s="48">
        <v>0.10199999999999999</v>
      </c>
      <c r="N241" s="48">
        <v>5.0000000000000001E-3</v>
      </c>
      <c r="O241" s="48">
        <v>6.048</v>
      </c>
      <c r="P241" s="48">
        <v>5.05</v>
      </c>
      <c r="Q241" s="48">
        <v>7.5990000000000002</v>
      </c>
      <c r="R241" s="48">
        <v>6.8220000000000001</v>
      </c>
      <c r="S241" s="48">
        <v>46.261000000000003</v>
      </c>
      <c r="T241" s="48">
        <v>34.46</v>
      </c>
      <c r="U241" s="48">
        <v>23.413</v>
      </c>
      <c r="V241" s="48">
        <v>18.533000000000001</v>
      </c>
      <c r="W241" s="48">
        <v>18.332999999999998</v>
      </c>
      <c r="X241" s="48">
        <v>13.065</v>
      </c>
      <c r="Y241" s="48">
        <v>15.962</v>
      </c>
      <c r="Z241" s="48">
        <v>12.949</v>
      </c>
      <c r="AA241" s="48">
        <v>14.731999999999999</v>
      </c>
      <c r="AB241" s="48">
        <v>17.065000000000001</v>
      </c>
      <c r="AC241" s="48">
        <v>18.956</v>
      </c>
      <c r="AD241" s="48">
        <v>12.688000000000001</v>
      </c>
      <c r="AE241" s="48">
        <v>25.847000000000001</v>
      </c>
      <c r="AF241" s="48">
        <v>38.442999999999998</v>
      </c>
      <c r="AG241" s="48">
        <v>58.127000000000002</v>
      </c>
      <c r="AH241" s="48">
        <v>83.638999999999996</v>
      </c>
      <c r="AI241" s="48">
        <v>59.594999999999999</v>
      </c>
    </row>
    <row r="242" spans="1:35" x14ac:dyDescent="0.3">
      <c r="A242" s="209"/>
      <c r="B242" s="44" t="s">
        <v>197</v>
      </c>
      <c r="C242" s="49">
        <v>55915.341</v>
      </c>
      <c r="D242" s="49">
        <v>57744.29</v>
      </c>
      <c r="E242" s="49">
        <v>59470.595999999998</v>
      </c>
      <c r="F242" s="49">
        <v>59025.540999999997</v>
      </c>
      <c r="G242" s="49">
        <v>63544.089</v>
      </c>
      <c r="H242" s="49">
        <v>65436.144999999997</v>
      </c>
      <c r="I242" s="49">
        <v>63848.415000000001</v>
      </c>
      <c r="J242" s="49">
        <v>69549.929999999993</v>
      </c>
      <c r="K242" s="49">
        <v>71827.574999999997</v>
      </c>
      <c r="L242" s="49">
        <v>75765.341</v>
      </c>
      <c r="M242" s="49">
        <v>79176.948999999993</v>
      </c>
      <c r="N242" s="49">
        <v>78582.415999999997</v>
      </c>
      <c r="O242" s="49">
        <v>85697.26</v>
      </c>
      <c r="P242" s="49">
        <v>86740.138999999996</v>
      </c>
      <c r="Q242" s="49">
        <v>90290.888000000006</v>
      </c>
      <c r="R242" s="49">
        <v>91843.53</v>
      </c>
      <c r="S242" s="49">
        <v>91759.626000000004</v>
      </c>
      <c r="T242" s="49">
        <v>82709.748000000007</v>
      </c>
      <c r="U242" s="49">
        <v>79642.384999999995</v>
      </c>
      <c r="V242" s="49">
        <v>62997.675999999999</v>
      </c>
      <c r="W242" s="49">
        <v>73405.455000000002</v>
      </c>
      <c r="X242" s="49">
        <v>110640.609</v>
      </c>
      <c r="Y242" s="49">
        <v>108489.511</v>
      </c>
      <c r="Z242" s="49">
        <v>103544.139</v>
      </c>
      <c r="AA242" s="49">
        <v>106770.644</v>
      </c>
      <c r="AB242" s="49">
        <v>108641.109</v>
      </c>
      <c r="AC242" s="49">
        <v>108698.05499999999</v>
      </c>
      <c r="AD242" s="49">
        <v>111349.473</v>
      </c>
      <c r="AE242" s="49">
        <v>111208.304</v>
      </c>
      <c r="AF242" s="49">
        <v>107135.875</v>
      </c>
      <c r="AG242" s="49">
        <v>94297.327000000005</v>
      </c>
      <c r="AH242" s="49">
        <v>100526.36599999999</v>
      </c>
      <c r="AI242" s="49">
        <v>101481.568</v>
      </c>
    </row>
    <row r="243" spans="1:35" x14ac:dyDescent="0.3">
      <c r="A243" s="209"/>
      <c r="B243" s="44" t="s">
        <v>198</v>
      </c>
      <c r="C243" s="48">
        <v>41820.053999999996</v>
      </c>
      <c r="D243" s="48">
        <v>42240.266000000003</v>
      </c>
      <c r="E243" s="48">
        <v>43273.415000000001</v>
      </c>
      <c r="F243" s="48">
        <v>46797.413999999997</v>
      </c>
      <c r="G243" s="48">
        <v>46374.129000000001</v>
      </c>
      <c r="H243" s="48">
        <v>45629.188999999998</v>
      </c>
      <c r="I243" s="48">
        <v>46077.741000000002</v>
      </c>
      <c r="J243" s="48">
        <v>49856.692999999999</v>
      </c>
      <c r="K243" s="48">
        <v>53410.006000000001</v>
      </c>
      <c r="L243" s="48">
        <v>50146.288999999997</v>
      </c>
      <c r="M243" s="48">
        <v>54844.659</v>
      </c>
      <c r="N243" s="48">
        <v>52776.434999999998</v>
      </c>
      <c r="O243" s="48">
        <v>46227.031999999999</v>
      </c>
      <c r="P243" s="48">
        <v>48624.675999999999</v>
      </c>
      <c r="Q243" s="48">
        <v>50637.786</v>
      </c>
      <c r="R243" s="48">
        <v>52687.7</v>
      </c>
      <c r="S243" s="48">
        <v>52371.28</v>
      </c>
      <c r="T243" s="48">
        <v>57520.381999999998</v>
      </c>
      <c r="U243" s="46">
        <v>60241</v>
      </c>
      <c r="V243" s="46">
        <v>52568</v>
      </c>
      <c r="W243" s="46">
        <v>52905</v>
      </c>
      <c r="X243" s="48">
        <v>50350.080000000002</v>
      </c>
      <c r="Y243" s="48">
        <v>51444.218999999997</v>
      </c>
      <c r="Z243" s="48">
        <v>51593.616000000002</v>
      </c>
      <c r="AA243" s="48">
        <v>52931.591999999997</v>
      </c>
      <c r="AB243" s="48">
        <v>50630.692000000003</v>
      </c>
      <c r="AC243" s="48">
        <v>49819.408000000003</v>
      </c>
      <c r="AD243" s="48">
        <v>52425.288</v>
      </c>
      <c r="AE243" s="48">
        <v>53074.241000000002</v>
      </c>
      <c r="AF243" s="48">
        <v>51592.472999999998</v>
      </c>
      <c r="AG243" s="48">
        <v>46601.23</v>
      </c>
      <c r="AH243" s="48">
        <v>51145.196000000004</v>
      </c>
      <c r="AI243" s="48">
        <v>50122.347000000002</v>
      </c>
    </row>
    <row r="244" spans="1:35" x14ac:dyDescent="0.3">
      <c r="A244" s="210"/>
      <c r="B244" s="44" t="s">
        <v>199</v>
      </c>
      <c r="C244" s="49">
        <v>65950.789000000004</v>
      </c>
      <c r="D244" s="49">
        <v>63926.828999999998</v>
      </c>
      <c r="E244" s="49">
        <v>65360.315000000002</v>
      </c>
      <c r="F244" s="49">
        <v>60784.851000000002</v>
      </c>
      <c r="G244" s="49">
        <v>56408.837</v>
      </c>
      <c r="H244" s="49">
        <v>57762.983</v>
      </c>
      <c r="I244" s="49">
        <v>55111.552000000003</v>
      </c>
      <c r="J244" s="49">
        <v>58526.436999999998</v>
      </c>
      <c r="K244" s="49">
        <v>58159.502999999997</v>
      </c>
      <c r="L244" s="49">
        <v>64521.087</v>
      </c>
      <c r="M244" s="49">
        <v>63688.303</v>
      </c>
      <c r="N244" s="49">
        <v>58171.296999999999</v>
      </c>
      <c r="O244" s="49">
        <v>55557.991000000002</v>
      </c>
      <c r="P244" s="49">
        <v>56610.059000000001</v>
      </c>
      <c r="Q244" s="49">
        <v>52744.873</v>
      </c>
      <c r="R244" s="49">
        <v>54310.334999999999</v>
      </c>
      <c r="S244" s="49">
        <v>52108.495000000003</v>
      </c>
      <c r="T244" s="49">
        <v>51333.284</v>
      </c>
      <c r="U244" s="47">
        <v>55495</v>
      </c>
      <c r="V244" s="47">
        <v>45770</v>
      </c>
      <c r="W244" s="47">
        <v>57369</v>
      </c>
      <c r="X244" s="49">
        <v>69908.820999999996</v>
      </c>
      <c r="Y244" s="49">
        <v>59861.89</v>
      </c>
      <c r="Z244" s="49">
        <v>64458.527999999998</v>
      </c>
      <c r="AA244" s="49">
        <v>64941.237000000001</v>
      </c>
      <c r="AB244" s="49">
        <v>66321.659</v>
      </c>
      <c r="AC244" s="49">
        <v>61401.786999999997</v>
      </c>
      <c r="AD244" s="49">
        <v>59138.288999999997</v>
      </c>
      <c r="AE244" s="49">
        <v>64118.803999999996</v>
      </c>
      <c r="AF244" s="49">
        <v>69182.506999999998</v>
      </c>
      <c r="AG244" s="49">
        <v>66373.535999999993</v>
      </c>
      <c r="AH244" s="49">
        <v>60995.43</v>
      </c>
      <c r="AI244" s="49">
        <v>67676.403999999995</v>
      </c>
    </row>
    <row r="245" spans="1:35" x14ac:dyDescent="0.3">
      <c r="A245" s="206" t="s">
        <v>563</v>
      </c>
      <c r="B245" s="194" t="s">
        <v>41</v>
      </c>
      <c r="C245" s="196">
        <f>SUM(C246:C250)</f>
        <v>831517.2030000001</v>
      </c>
      <c r="D245" s="196">
        <f t="shared" ref="D245:AH245" si="0">SUM(D246:D250)</f>
        <v>849968.48399999994</v>
      </c>
      <c r="E245" s="196">
        <f t="shared" si="0"/>
        <v>833575.92099999997</v>
      </c>
      <c r="F245" s="196">
        <f t="shared" si="0"/>
        <v>768044.08399999992</v>
      </c>
      <c r="G245" s="196">
        <f t="shared" si="0"/>
        <v>806713.37100000004</v>
      </c>
      <c r="H245" s="196">
        <f t="shared" si="0"/>
        <v>799481.36800000002</v>
      </c>
      <c r="I245" s="196">
        <f t="shared" si="0"/>
        <v>777114.94099999988</v>
      </c>
      <c r="J245" s="196">
        <f t="shared" si="0"/>
        <v>793473.14599999995</v>
      </c>
      <c r="K245" s="196">
        <f t="shared" si="0"/>
        <v>817904.52100000007</v>
      </c>
      <c r="L245" s="196">
        <f t="shared" si="0"/>
        <v>843420.451</v>
      </c>
      <c r="M245" s="196">
        <f t="shared" si="0"/>
        <v>884517.47399999993</v>
      </c>
      <c r="N245" s="196">
        <f t="shared" si="0"/>
        <v>850654.9879999999</v>
      </c>
      <c r="O245" s="196">
        <f t="shared" si="0"/>
        <v>855727.93099999998</v>
      </c>
      <c r="P245" s="196">
        <f t="shared" si="0"/>
        <v>804366.04700000002</v>
      </c>
      <c r="Q245" s="196">
        <f t="shared" si="0"/>
        <v>884962.08199999994</v>
      </c>
      <c r="R245" s="196">
        <f t="shared" si="0"/>
        <v>857302.92800000007</v>
      </c>
      <c r="S245" s="196">
        <f t="shared" si="0"/>
        <v>876286.99200000009</v>
      </c>
      <c r="T245" s="196">
        <f t="shared" si="0"/>
        <v>911822.32700000016</v>
      </c>
      <c r="U245" s="196">
        <f t="shared" si="0"/>
        <v>894167.446</v>
      </c>
      <c r="V245" s="196">
        <f t="shared" si="0"/>
        <v>800055.45400000014</v>
      </c>
      <c r="W245" s="196">
        <f t="shared" si="0"/>
        <v>784668.04299999995</v>
      </c>
      <c r="X245" s="196">
        <f t="shared" si="0"/>
        <v>806415.66700000002</v>
      </c>
      <c r="Y245" s="196">
        <f t="shared" si="0"/>
        <v>787777.24500000011</v>
      </c>
      <c r="Z245" s="196">
        <f t="shared" si="0"/>
        <v>789823.24699999997</v>
      </c>
      <c r="AA245" s="196">
        <f t="shared" si="0"/>
        <v>781330.174</v>
      </c>
      <c r="AB245" s="196">
        <f t="shared" si="0"/>
        <v>739789.41900000011</v>
      </c>
      <c r="AC245" s="196">
        <f t="shared" si="0"/>
        <v>729029.63399999985</v>
      </c>
      <c r="AD245" s="196">
        <f t="shared" si="0"/>
        <v>787236.08299999998</v>
      </c>
      <c r="AE245" s="196">
        <f t="shared" si="0"/>
        <v>776315.38099999994</v>
      </c>
      <c r="AF245" s="196">
        <f t="shared" si="0"/>
        <v>799072.30599999987</v>
      </c>
      <c r="AG245" s="196">
        <f t="shared" si="0"/>
        <v>717756.86399999994</v>
      </c>
      <c r="AH245" s="196">
        <f t="shared" si="0"/>
        <v>792336.41100000008</v>
      </c>
      <c r="AI245" s="196" t="s">
        <v>121</v>
      </c>
    </row>
    <row r="246" spans="1:35" x14ac:dyDescent="0.3">
      <c r="A246" s="207"/>
      <c r="B246" s="194" t="s">
        <v>13</v>
      </c>
      <c r="C246" s="196">
        <f>C18+C94-C170</f>
        <v>204145.47000000003</v>
      </c>
      <c r="D246" s="196">
        <f t="shared" ref="D246:AI246" si="1">D18+D94-D170</f>
        <v>214020.75800000003</v>
      </c>
      <c r="E246" s="196">
        <f t="shared" si="1"/>
        <v>234090.79500000001</v>
      </c>
      <c r="F246" s="196">
        <f t="shared" si="1"/>
        <v>220819.91499999998</v>
      </c>
      <c r="G246" s="196">
        <f t="shared" si="1"/>
        <v>226268.91199999995</v>
      </c>
      <c r="H246" s="196">
        <f t="shared" si="1"/>
        <v>216843.26199999999</v>
      </c>
      <c r="I246" s="196">
        <f t="shared" si="1"/>
        <v>220474.283</v>
      </c>
      <c r="J246" s="196">
        <f t="shared" si="1"/>
        <v>230499.49800000002</v>
      </c>
      <c r="K246" s="196">
        <f t="shared" si="1"/>
        <v>235570.50699999998</v>
      </c>
      <c r="L246" s="196">
        <f t="shared" si="1"/>
        <v>238416.04200000002</v>
      </c>
      <c r="M246" s="196">
        <f t="shared" si="1"/>
        <v>249235.60500000004</v>
      </c>
      <c r="N246" s="196">
        <f t="shared" si="1"/>
        <v>229462.834</v>
      </c>
      <c r="O246" s="196">
        <f t="shared" si="1"/>
        <v>246905.63299999997</v>
      </c>
      <c r="P246" s="196">
        <f t="shared" si="1"/>
        <v>193983.50900000002</v>
      </c>
      <c r="Q246" s="196">
        <f t="shared" si="1"/>
        <v>254253.81199999998</v>
      </c>
      <c r="R246" s="196">
        <f t="shared" si="1"/>
        <v>228126.24200000003</v>
      </c>
      <c r="S246" s="196">
        <f t="shared" si="1"/>
        <v>229397.63099999999</v>
      </c>
      <c r="T246" s="196">
        <f t="shared" si="1"/>
        <v>251644.18100000004</v>
      </c>
      <c r="U246" s="196">
        <f t="shared" si="1"/>
        <v>258214.70600000001</v>
      </c>
      <c r="V246" s="196">
        <f t="shared" si="1"/>
        <v>252352.49500000005</v>
      </c>
      <c r="W246" s="196">
        <f t="shared" si="1"/>
        <v>226710.33399999997</v>
      </c>
      <c r="X246" s="196">
        <f t="shared" si="1"/>
        <v>225230.06799999997</v>
      </c>
      <c r="Y246" s="196">
        <f t="shared" si="1"/>
        <v>238692.81400000001</v>
      </c>
      <c r="Z246" s="196">
        <f t="shared" si="1"/>
        <v>234684.27500000002</v>
      </c>
      <c r="AA246" s="196">
        <f t="shared" si="1"/>
        <v>258777.68499999994</v>
      </c>
      <c r="AB246" s="196">
        <f t="shared" si="1"/>
        <v>227017.628</v>
      </c>
      <c r="AC246" s="196">
        <f t="shared" si="1"/>
        <v>212591.44</v>
      </c>
      <c r="AD246" s="196">
        <f t="shared" si="1"/>
        <v>249173.72399999996</v>
      </c>
      <c r="AE246" s="196">
        <f t="shared" si="1"/>
        <v>219455.25300000003</v>
      </c>
      <c r="AF246" s="196">
        <f t="shared" si="1"/>
        <v>226498.99299999999</v>
      </c>
      <c r="AG246" s="196">
        <f t="shared" si="1"/>
        <v>199971.361</v>
      </c>
      <c r="AH246" s="196">
        <f t="shared" si="1"/>
        <v>231558.62300000002</v>
      </c>
      <c r="AI246" s="196">
        <f t="shared" si="1"/>
        <v>198584.20100000003</v>
      </c>
    </row>
    <row r="247" spans="1:35" x14ac:dyDescent="0.3">
      <c r="A247" s="207"/>
      <c r="B247" s="194" t="s">
        <v>157</v>
      </c>
      <c r="C247" s="196">
        <f>C50+C126-C202</f>
        <v>29647.839000000004</v>
      </c>
      <c r="D247" s="196">
        <f t="shared" ref="D247:AI247" si="2">D50+D126-D202</f>
        <v>25609.867999999995</v>
      </c>
      <c r="E247" s="196">
        <f t="shared" si="2"/>
        <v>22593.807000000001</v>
      </c>
      <c r="F247" s="196">
        <f t="shared" si="2"/>
        <v>15465.530999999999</v>
      </c>
      <c r="G247" s="196">
        <f t="shared" si="2"/>
        <v>20372.264999999999</v>
      </c>
      <c r="H247" s="196">
        <f t="shared" si="2"/>
        <v>22787.321</v>
      </c>
      <c r="I247" s="196">
        <f t="shared" si="2"/>
        <v>18036.55</v>
      </c>
      <c r="J247" s="196">
        <f t="shared" si="2"/>
        <v>18824.103999999999</v>
      </c>
      <c r="K247" s="196">
        <f t="shared" si="2"/>
        <v>20999.129000000001</v>
      </c>
      <c r="L247" s="196">
        <f t="shared" si="2"/>
        <v>20754.845999999998</v>
      </c>
      <c r="M247" s="196">
        <f t="shared" si="2"/>
        <v>23307.332000000002</v>
      </c>
      <c r="N247" s="196">
        <f t="shared" si="2"/>
        <v>18514.18</v>
      </c>
      <c r="O247" s="196">
        <f t="shared" si="2"/>
        <v>18309.686999999998</v>
      </c>
      <c r="P247" s="196">
        <f t="shared" si="2"/>
        <v>17697.718999999997</v>
      </c>
      <c r="Q247" s="196">
        <f t="shared" si="2"/>
        <v>20010.703999999998</v>
      </c>
      <c r="R247" s="196">
        <f t="shared" si="2"/>
        <v>18682.478000000003</v>
      </c>
      <c r="S247" s="196">
        <f t="shared" si="2"/>
        <v>20492.175000000003</v>
      </c>
      <c r="T247" s="196">
        <f t="shared" si="2"/>
        <v>21503.146000000001</v>
      </c>
      <c r="U247" s="196">
        <f t="shared" si="2"/>
        <v>17870.486000000004</v>
      </c>
      <c r="V247" s="196">
        <f t="shared" si="2"/>
        <v>6525.2689999999966</v>
      </c>
      <c r="W247" s="196">
        <f t="shared" si="2"/>
        <v>15023.221000000005</v>
      </c>
      <c r="X247" s="196">
        <f t="shared" si="2"/>
        <v>16809.408000000003</v>
      </c>
      <c r="Y247" s="196">
        <f t="shared" si="2"/>
        <v>14064.029999999999</v>
      </c>
      <c r="Z247" s="196">
        <f t="shared" si="2"/>
        <v>16856.303</v>
      </c>
      <c r="AA247" s="196">
        <f t="shared" si="2"/>
        <v>17705.881999999998</v>
      </c>
      <c r="AB247" s="196">
        <f t="shared" si="2"/>
        <v>19988.54</v>
      </c>
      <c r="AC247" s="196">
        <f t="shared" si="2"/>
        <v>18945.027000000002</v>
      </c>
      <c r="AD247" s="196">
        <f t="shared" si="2"/>
        <v>19520.691000000006</v>
      </c>
      <c r="AE247" s="196">
        <f t="shared" si="2"/>
        <v>20338.296999999999</v>
      </c>
      <c r="AF247" s="196">
        <f t="shared" si="2"/>
        <v>18550.862000000001</v>
      </c>
      <c r="AG247" s="196">
        <f t="shared" si="2"/>
        <v>16654.978999999999</v>
      </c>
      <c r="AH247" s="196">
        <f t="shared" si="2"/>
        <v>17667.725000000006</v>
      </c>
      <c r="AI247" s="196">
        <f t="shared" si="2"/>
        <v>16183.667000000001</v>
      </c>
    </row>
    <row r="248" spans="1:35" x14ac:dyDescent="0.3">
      <c r="A248" s="207"/>
      <c r="B248" s="194" t="s">
        <v>171</v>
      </c>
      <c r="C248" s="196">
        <f>C63+C139-C215</f>
        <v>446312.48000000004</v>
      </c>
      <c r="D248" s="196">
        <f t="shared" ref="D248:AI248" si="3">D63+D139-D215</f>
        <v>452320.88400000002</v>
      </c>
      <c r="E248" s="196">
        <f t="shared" si="3"/>
        <v>419741.435</v>
      </c>
      <c r="F248" s="196">
        <f t="shared" si="3"/>
        <v>390502.95499999996</v>
      </c>
      <c r="G248" s="196">
        <f t="shared" si="3"/>
        <v>417198.28899999999</v>
      </c>
      <c r="H248" s="196">
        <f t="shared" si="3"/>
        <v>416758.26799999998</v>
      </c>
      <c r="I248" s="196">
        <f t="shared" si="3"/>
        <v>388023.875</v>
      </c>
      <c r="J248" s="196">
        <f t="shared" si="3"/>
        <v>398252.18800000002</v>
      </c>
      <c r="K248" s="196">
        <f t="shared" si="3"/>
        <v>412353.64399999997</v>
      </c>
      <c r="L248" s="196">
        <f t="shared" si="3"/>
        <v>432689.70500000002</v>
      </c>
      <c r="M248" s="196">
        <f t="shared" si="3"/>
        <v>459454.51499999996</v>
      </c>
      <c r="N248" s="196">
        <f t="shared" si="3"/>
        <v>453955.00699999998</v>
      </c>
      <c r="O248" s="196">
        <f t="shared" si="3"/>
        <v>440677.59400000004</v>
      </c>
      <c r="P248" s="196">
        <f t="shared" si="3"/>
        <v>441581.01499999996</v>
      </c>
      <c r="Q248" s="196">
        <f t="shared" si="3"/>
        <v>452094.598</v>
      </c>
      <c r="R248" s="196">
        <f t="shared" si="3"/>
        <v>451677.266</v>
      </c>
      <c r="S248" s="196">
        <f t="shared" si="3"/>
        <v>467926.66200000001</v>
      </c>
      <c r="T248" s="196">
        <f t="shared" si="3"/>
        <v>486284.49200000003</v>
      </c>
      <c r="U248" s="196">
        <f t="shared" si="3"/>
        <v>464034.511</v>
      </c>
      <c r="V248" s="196">
        <f t="shared" si="3"/>
        <v>401355.86900000006</v>
      </c>
      <c r="W248" s="196">
        <f t="shared" si="3"/>
        <v>394572.22700000001</v>
      </c>
      <c r="X248" s="196">
        <f t="shared" si="3"/>
        <v>416833.96500000003</v>
      </c>
      <c r="Y248" s="196">
        <f t="shared" si="3"/>
        <v>391440.10400000005</v>
      </c>
      <c r="Z248" s="196">
        <f t="shared" si="3"/>
        <v>393420.36899999995</v>
      </c>
      <c r="AA248" s="196">
        <f t="shared" si="3"/>
        <v>373320.73600000003</v>
      </c>
      <c r="AB248" s="196">
        <f t="shared" si="3"/>
        <v>357885.09400000004</v>
      </c>
      <c r="AC248" s="196">
        <f t="shared" si="3"/>
        <v>360596.47999999998</v>
      </c>
      <c r="AD248" s="196">
        <f t="shared" si="3"/>
        <v>378775.49</v>
      </c>
      <c r="AE248" s="196">
        <f t="shared" si="3"/>
        <v>397242.79399999999</v>
      </c>
      <c r="AF248" s="196">
        <f t="shared" si="3"/>
        <v>417552.78599999996</v>
      </c>
      <c r="AG248" s="196">
        <f t="shared" si="3"/>
        <v>387643.14199999999</v>
      </c>
      <c r="AH248" s="196">
        <f t="shared" si="3"/>
        <v>420316.39999999997</v>
      </c>
      <c r="AI248" s="196">
        <f t="shared" si="3"/>
        <v>422523.51799999992</v>
      </c>
    </row>
    <row r="249" spans="1:35" x14ac:dyDescent="0.3">
      <c r="A249" s="207"/>
      <c r="B249" s="194" t="s">
        <v>182</v>
      </c>
      <c r="C249" s="196">
        <f>C74+C150-C226</f>
        <v>146240.899</v>
      </c>
      <c r="D249" s="196">
        <f t="shared" ref="D249:AI249" si="4">D74+D150-D226</f>
        <v>153261.75699999998</v>
      </c>
      <c r="E249" s="196">
        <f t="shared" si="4"/>
        <v>153148.514</v>
      </c>
      <c r="F249" s="196">
        <f t="shared" si="4"/>
        <v>138839.06</v>
      </c>
      <c r="G249" s="196">
        <f t="shared" si="4"/>
        <v>139554.17499999999</v>
      </c>
      <c r="H249" s="196">
        <f t="shared" si="4"/>
        <v>139629.29999999999</v>
      </c>
      <c r="I249" s="196">
        <f t="shared" si="4"/>
        <v>148493.84199999998</v>
      </c>
      <c r="J249" s="196">
        <f t="shared" si="4"/>
        <v>143601.59499999997</v>
      </c>
      <c r="K249" s="196">
        <f t="shared" si="4"/>
        <v>146009.11500000002</v>
      </c>
      <c r="L249" s="196">
        <f t="shared" si="4"/>
        <v>148647.69899999999</v>
      </c>
      <c r="M249" s="196">
        <f t="shared" si="4"/>
        <v>149388.33199999999</v>
      </c>
      <c r="N249" s="196">
        <f t="shared" si="4"/>
        <v>145524.821</v>
      </c>
      <c r="O249" s="196">
        <f t="shared" si="4"/>
        <v>146590.66500000001</v>
      </c>
      <c r="P249" s="196">
        <f t="shared" si="4"/>
        <v>146699.62399999998</v>
      </c>
      <c r="Q249" s="196">
        <f t="shared" si="4"/>
        <v>153695.008</v>
      </c>
      <c r="R249" s="196">
        <f t="shared" si="4"/>
        <v>153747.68700000001</v>
      </c>
      <c r="S249" s="196">
        <f t="shared" si="4"/>
        <v>153162.70699999999</v>
      </c>
      <c r="T249" s="196">
        <f t="shared" si="4"/>
        <v>145478.152</v>
      </c>
      <c r="U249" s="196">
        <f t="shared" si="4"/>
        <v>147682.87700000001</v>
      </c>
      <c r="V249" s="196">
        <f t="shared" si="4"/>
        <v>134816.853</v>
      </c>
      <c r="W249" s="196">
        <f t="shared" si="4"/>
        <v>142250.04399999999</v>
      </c>
      <c r="X249" s="196">
        <f t="shared" si="4"/>
        <v>140115.75200000001</v>
      </c>
      <c r="Y249" s="196">
        <f t="shared" si="4"/>
        <v>136921.16699999999</v>
      </c>
      <c r="Z249" s="196">
        <f t="shared" si="4"/>
        <v>138942.07700000002</v>
      </c>
      <c r="AA249" s="196">
        <f t="shared" si="4"/>
        <v>125632.37600000002</v>
      </c>
      <c r="AB249" s="196">
        <f t="shared" si="4"/>
        <v>129339.148</v>
      </c>
      <c r="AC249" s="196">
        <f t="shared" si="4"/>
        <v>130564.03799999997</v>
      </c>
      <c r="AD249" s="196">
        <f t="shared" si="4"/>
        <v>133123.304</v>
      </c>
      <c r="AE249" s="196">
        <f t="shared" si="4"/>
        <v>131810.717</v>
      </c>
      <c r="AF249" s="196">
        <f t="shared" si="4"/>
        <v>130238.73699999999</v>
      </c>
      <c r="AG249" s="196">
        <f t="shared" si="4"/>
        <v>107273.72999999998</v>
      </c>
      <c r="AH249" s="196">
        <f t="shared" si="4"/>
        <v>114979.253</v>
      </c>
      <c r="AI249" s="196">
        <f t="shared" si="4"/>
        <v>115683.166</v>
      </c>
    </row>
    <row r="250" spans="1:35" x14ac:dyDescent="0.3">
      <c r="A250" s="207"/>
      <c r="B250" s="194" t="s">
        <v>564</v>
      </c>
      <c r="C250" s="196">
        <f>C88+C89+C164+C165-C240-C241</f>
        <v>5170.5150000000012</v>
      </c>
      <c r="D250" s="196">
        <f t="shared" ref="D250:AH250" si="5">D88+D89+D164+D165-D240-D241</f>
        <v>4755.2170000000006</v>
      </c>
      <c r="E250" s="196">
        <f t="shared" si="5"/>
        <v>4001.3700000000008</v>
      </c>
      <c r="F250" s="196">
        <f t="shared" si="5"/>
        <v>2416.6229999999996</v>
      </c>
      <c r="G250" s="196">
        <f t="shared" si="5"/>
        <v>3319.7299999999996</v>
      </c>
      <c r="H250" s="196">
        <f t="shared" si="5"/>
        <v>3463.2170000000006</v>
      </c>
      <c r="I250" s="196">
        <f t="shared" si="5"/>
        <v>2086.3909999999996</v>
      </c>
      <c r="J250" s="196">
        <f t="shared" si="5"/>
        <v>2295.7609999999986</v>
      </c>
      <c r="K250" s="196">
        <f t="shared" si="5"/>
        <v>2972.1260000000002</v>
      </c>
      <c r="L250" s="196">
        <f t="shared" si="5"/>
        <v>2912.1589999999997</v>
      </c>
      <c r="M250" s="196">
        <f t="shared" si="5"/>
        <v>3131.6899999999996</v>
      </c>
      <c r="N250" s="196">
        <f t="shared" si="5"/>
        <v>3198.1459999999997</v>
      </c>
      <c r="O250" s="196">
        <f t="shared" si="5"/>
        <v>3244.3519999999999</v>
      </c>
      <c r="P250" s="196">
        <f t="shared" si="5"/>
        <v>4404.1799999999994</v>
      </c>
      <c r="Q250" s="196">
        <f t="shared" si="5"/>
        <v>4907.9599999999991</v>
      </c>
      <c r="R250" s="196">
        <f t="shared" si="5"/>
        <v>5069.2549999999992</v>
      </c>
      <c r="S250" s="196">
        <f t="shared" si="5"/>
        <v>5307.8170000000009</v>
      </c>
      <c r="T250" s="196">
        <f t="shared" si="5"/>
        <v>6912.3560000000007</v>
      </c>
      <c r="U250" s="196">
        <f t="shared" si="5"/>
        <v>6364.8659999999991</v>
      </c>
      <c r="V250" s="196">
        <f t="shared" si="5"/>
        <v>5004.9679999999998</v>
      </c>
      <c r="W250" s="196">
        <f t="shared" si="5"/>
        <v>6112.2170000000015</v>
      </c>
      <c r="X250" s="196">
        <f t="shared" si="5"/>
        <v>7426.4740000000011</v>
      </c>
      <c r="Y250" s="196">
        <f t="shared" si="5"/>
        <v>6659.13</v>
      </c>
      <c r="Z250" s="196">
        <f t="shared" si="5"/>
        <v>5920.2230000000027</v>
      </c>
      <c r="AA250" s="196">
        <f t="shared" si="5"/>
        <v>5893.4950000000026</v>
      </c>
      <c r="AB250" s="196">
        <f t="shared" si="5"/>
        <v>5559.0090000000009</v>
      </c>
      <c r="AC250" s="196">
        <f t="shared" si="5"/>
        <v>6332.6489999999994</v>
      </c>
      <c r="AD250" s="196">
        <f t="shared" si="5"/>
        <v>6642.8740000000016</v>
      </c>
      <c r="AE250" s="196">
        <f t="shared" si="5"/>
        <v>7468.3200000000015</v>
      </c>
      <c r="AF250" s="196">
        <f t="shared" si="5"/>
        <v>6230.927999999999</v>
      </c>
      <c r="AG250" s="196">
        <f t="shared" si="5"/>
        <v>6213.6520000000019</v>
      </c>
      <c r="AH250" s="196">
        <f t="shared" si="5"/>
        <v>7814.4100000000026</v>
      </c>
      <c r="AI250" s="196" t="s">
        <v>121</v>
      </c>
    </row>
    <row r="252" spans="1:35" x14ac:dyDescent="0.3">
      <c r="A252" s="52" t="s">
        <v>202</v>
      </c>
      <c r="B252" s="51"/>
    </row>
    <row r="253" spans="1:35" x14ac:dyDescent="0.3">
      <c r="A253" s="52" t="s">
        <v>121</v>
      </c>
      <c r="B253" s="53" t="s">
        <v>203</v>
      </c>
    </row>
    <row r="254" spans="1:35" x14ac:dyDescent="0.3">
      <c r="A254" s="52" t="s">
        <v>204</v>
      </c>
      <c r="B254" s="51"/>
    </row>
    <row r="255" spans="1:35" x14ac:dyDescent="0.3">
      <c r="A255" s="52" t="s">
        <v>149</v>
      </c>
      <c r="B255" s="53" t="s">
        <v>205</v>
      </c>
    </row>
    <row r="256" spans="1:35" x14ac:dyDescent="0.3">
      <c r="A256" s="52" t="s">
        <v>133</v>
      </c>
      <c r="B256" s="53" t="s">
        <v>206</v>
      </c>
    </row>
    <row r="257" spans="1:2" x14ac:dyDescent="0.3">
      <c r="A257" s="52" t="s">
        <v>166</v>
      </c>
      <c r="B257" s="53" t="s">
        <v>207</v>
      </c>
    </row>
    <row r="258" spans="1:2" x14ac:dyDescent="0.3">
      <c r="A258" s="52" t="s">
        <v>148</v>
      </c>
      <c r="B258" s="53" t="s">
        <v>208</v>
      </c>
    </row>
    <row r="259" spans="1:2" x14ac:dyDescent="0.3">
      <c r="A259" s="52" t="s">
        <v>123</v>
      </c>
      <c r="B259" s="53" t="s">
        <v>209</v>
      </c>
    </row>
    <row r="260" spans="1:2" x14ac:dyDescent="0.3">
      <c r="A260" s="52" t="s">
        <v>119</v>
      </c>
      <c r="B260" s="53" t="s">
        <v>210</v>
      </c>
    </row>
    <row r="261" spans="1:2" x14ac:dyDescent="0.3">
      <c r="A261" s="52" t="s">
        <v>151</v>
      </c>
      <c r="B261" s="53" t="s">
        <v>211</v>
      </c>
    </row>
  </sheetData>
  <mergeCells count="6">
    <mergeCell ref="A1:I4"/>
    <mergeCell ref="A245:A250"/>
    <mergeCell ref="A17:A92"/>
    <mergeCell ref="A93:A168"/>
    <mergeCell ref="A169:A244"/>
    <mergeCell ref="A15:B15"/>
  </mergeCells>
  <hyperlinks>
    <hyperlink ref="A6"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8"/>
  <sheetViews>
    <sheetView showGridLines="0" workbookViewId="0">
      <pane xSplit="2" ySplit="3" topLeftCell="C17" activePane="bottomRight" state="frozen"/>
      <selection pane="topRight" activeCell="C1" sqref="C1"/>
      <selection pane="bottomLeft" activeCell="A4" sqref="A4"/>
      <selection pane="bottomRight" activeCell="J45" sqref="J45"/>
    </sheetView>
  </sheetViews>
  <sheetFormatPr baseColWidth="10" defaultRowHeight="14.4" x14ac:dyDescent="0.3"/>
  <cols>
    <col min="1" max="1" width="39.5546875" customWidth="1"/>
    <col min="2" max="2" width="34.21875" customWidth="1"/>
  </cols>
  <sheetData>
    <row r="1" spans="1:28" x14ac:dyDescent="0.3">
      <c r="A1" s="220" t="s">
        <v>340</v>
      </c>
      <c r="B1" s="220"/>
      <c r="C1" s="220"/>
      <c r="D1" s="220"/>
      <c r="E1" s="220"/>
      <c r="F1" s="220"/>
      <c r="G1" s="220"/>
      <c r="H1" s="220"/>
      <c r="I1" s="220"/>
      <c r="J1" s="220"/>
      <c r="K1" s="220"/>
      <c r="L1" s="220"/>
      <c r="M1" s="220"/>
      <c r="N1" s="220"/>
      <c r="O1" s="220"/>
      <c r="P1" s="220"/>
      <c r="Q1" s="220"/>
      <c r="R1" s="220"/>
    </row>
    <row r="2" spans="1:28" x14ac:dyDescent="0.3">
      <c r="A2" s="220"/>
      <c r="B2" s="220"/>
      <c r="C2" s="220"/>
      <c r="D2" s="220"/>
      <c r="E2" s="220"/>
      <c r="F2" s="220"/>
      <c r="G2" s="220"/>
      <c r="H2" s="220"/>
      <c r="I2" s="220"/>
      <c r="J2" s="220"/>
      <c r="K2" s="220"/>
      <c r="L2" s="220"/>
      <c r="M2" s="220"/>
      <c r="N2" s="220"/>
      <c r="O2" s="220"/>
      <c r="P2" s="220"/>
      <c r="Q2" s="220"/>
      <c r="R2" s="220"/>
    </row>
    <row r="3" spans="1:28" x14ac:dyDescent="0.3">
      <c r="A3" s="220"/>
      <c r="B3" s="220"/>
      <c r="C3" s="220"/>
      <c r="D3" s="220"/>
      <c r="E3" s="220"/>
      <c r="F3" s="220"/>
      <c r="G3" s="220"/>
      <c r="H3" s="220"/>
      <c r="I3" s="220"/>
      <c r="J3" s="220"/>
      <c r="K3" s="220"/>
      <c r="L3" s="220"/>
      <c r="M3" s="220"/>
      <c r="N3" s="220"/>
      <c r="O3" s="220"/>
      <c r="P3" s="220"/>
      <c r="Q3" s="220"/>
      <c r="R3" s="220"/>
    </row>
    <row r="5" spans="1:28" ht="15" thickBot="1" x14ac:dyDescent="0.35">
      <c r="A5" s="192" t="s">
        <v>341</v>
      </c>
    </row>
    <row r="6" spans="1:28" x14ac:dyDescent="0.3">
      <c r="A6" s="160" t="s">
        <v>333</v>
      </c>
      <c r="B6" s="161"/>
      <c r="C6" s="161"/>
      <c r="D6" s="161"/>
      <c r="E6" s="162"/>
    </row>
    <row r="7" spans="1:28" x14ac:dyDescent="0.3">
      <c r="A7" s="163" t="s">
        <v>213</v>
      </c>
      <c r="B7" s="164" t="s">
        <v>334</v>
      </c>
      <c r="C7" s="165"/>
      <c r="D7" s="165"/>
      <c r="E7" s="166"/>
    </row>
    <row r="8" spans="1:28" x14ac:dyDescent="0.3">
      <c r="A8" s="163" t="s">
        <v>215</v>
      </c>
      <c r="B8" s="167" t="s">
        <v>216</v>
      </c>
      <c r="C8" s="165"/>
      <c r="D8" s="165"/>
      <c r="E8" s="166"/>
    </row>
    <row r="9" spans="1:28" x14ac:dyDescent="0.3">
      <c r="A9" s="168"/>
      <c r="B9" s="165"/>
      <c r="C9" s="165"/>
      <c r="D9" s="165"/>
      <c r="E9" s="166"/>
    </row>
    <row r="10" spans="1:28" x14ac:dyDescent="0.3">
      <c r="A10" s="169" t="s">
        <v>217</v>
      </c>
      <c r="B10" s="167" t="s">
        <v>218</v>
      </c>
      <c r="C10" s="165"/>
      <c r="D10" s="165"/>
      <c r="E10" s="166"/>
    </row>
    <row r="11" spans="1:28" ht="15" thickBot="1" x14ac:dyDescent="0.35">
      <c r="A11" s="170" t="s">
        <v>221</v>
      </c>
      <c r="B11" s="171" t="s">
        <v>28</v>
      </c>
      <c r="C11" s="172"/>
      <c r="D11" s="172"/>
      <c r="E11" s="173"/>
    </row>
    <row r="13" spans="1:28" x14ac:dyDescent="0.3">
      <c r="A13" s="213" t="s">
        <v>81</v>
      </c>
      <c r="B13" s="213" t="s">
        <v>81</v>
      </c>
      <c r="C13" s="212" t="s">
        <v>101</v>
      </c>
      <c r="D13" s="212" t="s">
        <v>101</v>
      </c>
      <c r="E13" s="212" t="s">
        <v>102</v>
      </c>
      <c r="F13" s="212" t="s">
        <v>102</v>
      </c>
      <c r="G13" s="212" t="s">
        <v>103</v>
      </c>
      <c r="H13" s="212" t="s">
        <v>103</v>
      </c>
      <c r="I13" s="212" t="s">
        <v>104</v>
      </c>
      <c r="J13" s="212" t="s">
        <v>104</v>
      </c>
      <c r="K13" s="212" t="s">
        <v>105</v>
      </c>
      <c r="L13" s="212" t="s">
        <v>105</v>
      </c>
      <c r="M13" s="212" t="s">
        <v>106</v>
      </c>
      <c r="N13" s="212" t="s">
        <v>106</v>
      </c>
      <c r="O13" s="212" t="s">
        <v>107</v>
      </c>
      <c r="P13" s="212" t="s">
        <v>107</v>
      </c>
      <c r="Q13" s="212" t="s">
        <v>108</v>
      </c>
      <c r="R13" s="212" t="s">
        <v>108</v>
      </c>
      <c r="S13" s="212" t="s">
        <v>109</v>
      </c>
      <c r="T13" s="212" t="s">
        <v>109</v>
      </c>
      <c r="U13" s="212" t="s">
        <v>110</v>
      </c>
      <c r="V13" s="212" t="s">
        <v>110</v>
      </c>
      <c r="W13" s="212" t="s">
        <v>111</v>
      </c>
      <c r="X13" s="212" t="s">
        <v>111</v>
      </c>
      <c r="Y13" s="212" t="s">
        <v>112</v>
      </c>
      <c r="Z13" s="212" t="s">
        <v>112</v>
      </c>
      <c r="AA13" s="212" t="s">
        <v>113</v>
      </c>
      <c r="AB13" s="212" t="s">
        <v>113</v>
      </c>
    </row>
    <row r="14" spans="1:28" x14ac:dyDescent="0.3">
      <c r="A14" s="213" t="s">
        <v>335</v>
      </c>
      <c r="B14" s="213" t="s">
        <v>335</v>
      </c>
      <c r="C14" s="154" t="s">
        <v>220</v>
      </c>
      <c r="D14" s="154" t="s">
        <v>336</v>
      </c>
      <c r="E14" s="154" t="s">
        <v>220</v>
      </c>
      <c r="F14" s="154" t="s">
        <v>336</v>
      </c>
      <c r="G14" s="154" t="s">
        <v>220</v>
      </c>
      <c r="H14" s="154" t="s">
        <v>336</v>
      </c>
      <c r="I14" s="154" t="s">
        <v>220</v>
      </c>
      <c r="J14" s="154" t="s">
        <v>336</v>
      </c>
      <c r="K14" s="154" t="s">
        <v>220</v>
      </c>
      <c r="L14" s="154" t="s">
        <v>336</v>
      </c>
      <c r="M14" s="154" t="s">
        <v>220</v>
      </c>
      <c r="N14" s="154" t="s">
        <v>336</v>
      </c>
      <c r="O14" s="154" t="s">
        <v>220</v>
      </c>
      <c r="P14" s="154" t="s">
        <v>336</v>
      </c>
      <c r="Q14" s="154" t="s">
        <v>220</v>
      </c>
      <c r="R14" s="154" t="s">
        <v>336</v>
      </c>
      <c r="S14" s="154" t="s">
        <v>220</v>
      </c>
      <c r="T14" s="154" t="s">
        <v>336</v>
      </c>
      <c r="U14" s="154" t="s">
        <v>220</v>
      </c>
      <c r="V14" s="154" t="s">
        <v>336</v>
      </c>
      <c r="W14" s="154" t="s">
        <v>220</v>
      </c>
      <c r="X14" s="154" t="s">
        <v>336</v>
      </c>
      <c r="Y14" s="154" t="s">
        <v>220</v>
      </c>
      <c r="Z14" s="154" t="s">
        <v>336</v>
      </c>
      <c r="AA14" s="154" t="s">
        <v>220</v>
      </c>
      <c r="AB14" s="154" t="s">
        <v>336</v>
      </c>
    </row>
    <row r="15" spans="1:28" x14ac:dyDescent="0.3">
      <c r="A15" s="155" t="s">
        <v>116</v>
      </c>
      <c r="B15" s="155" t="s">
        <v>117</v>
      </c>
      <c r="C15" s="156" t="s">
        <v>83</v>
      </c>
      <c r="D15" s="156" t="s">
        <v>83</v>
      </c>
      <c r="E15" s="156" t="s">
        <v>83</v>
      </c>
      <c r="F15" s="156" t="s">
        <v>83</v>
      </c>
      <c r="G15" s="156" t="s">
        <v>83</v>
      </c>
      <c r="H15" s="156" t="s">
        <v>83</v>
      </c>
      <c r="I15" s="156" t="s">
        <v>83</v>
      </c>
      <c r="J15" s="156" t="s">
        <v>83</v>
      </c>
      <c r="K15" s="156" t="s">
        <v>83</v>
      </c>
      <c r="L15" s="156" t="s">
        <v>83</v>
      </c>
      <c r="M15" s="156" t="s">
        <v>83</v>
      </c>
      <c r="N15" s="156" t="s">
        <v>83</v>
      </c>
      <c r="O15" s="156" t="s">
        <v>83</v>
      </c>
      <c r="P15" s="156" t="s">
        <v>83</v>
      </c>
      <c r="Q15" s="156" t="s">
        <v>83</v>
      </c>
      <c r="R15" s="156" t="s">
        <v>83</v>
      </c>
      <c r="S15" s="156" t="s">
        <v>83</v>
      </c>
      <c r="T15" s="156" t="s">
        <v>83</v>
      </c>
      <c r="U15" s="156" t="s">
        <v>83</v>
      </c>
      <c r="V15" s="156" t="s">
        <v>83</v>
      </c>
      <c r="W15" s="156" t="s">
        <v>83</v>
      </c>
      <c r="X15" s="156" t="s">
        <v>83</v>
      </c>
      <c r="Y15" s="156" t="s">
        <v>83</v>
      </c>
      <c r="Z15" s="156" t="s">
        <v>83</v>
      </c>
      <c r="AA15" s="156" t="s">
        <v>83</v>
      </c>
      <c r="AB15" s="156" t="s">
        <v>83</v>
      </c>
    </row>
    <row r="16" spans="1:28" x14ac:dyDescent="0.3">
      <c r="A16" s="214" t="s">
        <v>118</v>
      </c>
      <c r="B16" s="157" t="s">
        <v>41</v>
      </c>
      <c r="C16" s="158">
        <v>719407.48300000001</v>
      </c>
      <c r="D16" s="158">
        <v>11.209</v>
      </c>
      <c r="E16" s="158">
        <v>659054.64500000002</v>
      </c>
      <c r="F16" s="158">
        <v>10.217000000000001</v>
      </c>
      <c r="G16" s="158">
        <v>636404.277</v>
      </c>
      <c r="H16" s="158">
        <v>9.8179999999999996</v>
      </c>
      <c r="I16" s="158">
        <v>654972.22199999995</v>
      </c>
      <c r="J16" s="158">
        <v>10.057</v>
      </c>
      <c r="K16" s="158">
        <v>634447.49600000004</v>
      </c>
      <c r="L16" s="158">
        <v>9.6950000000000003</v>
      </c>
      <c r="M16" s="158">
        <v>636331.50699999998</v>
      </c>
      <c r="N16" s="158">
        <v>9.6750000000000007</v>
      </c>
      <c r="O16" s="158">
        <v>639682.09100000001</v>
      </c>
      <c r="P16" s="158">
        <v>9.6470000000000002</v>
      </c>
      <c r="Q16" s="158">
        <v>594668.75</v>
      </c>
      <c r="R16" s="158">
        <v>8.9359999999999999</v>
      </c>
      <c r="S16" s="158">
        <v>578366.89</v>
      </c>
      <c r="T16" s="158">
        <v>8.6679999999999993</v>
      </c>
      <c r="U16" s="158">
        <v>630285.071</v>
      </c>
      <c r="V16" s="158">
        <v>9.4190000000000005</v>
      </c>
      <c r="W16" s="158">
        <v>623726.38199999998</v>
      </c>
      <c r="X16" s="158">
        <v>9.2870000000000008</v>
      </c>
      <c r="Y16" s="158">
        <v>647763.93400000001</v>
      </c>
      <c r="Z16" s="158">
        <v>9.6120000000000001</v>
      </c>
      <c r="AA16" s="158">
        <v>590064.04399999999</v>
      </c>
      <c r="AB16" s="158">
        <v>8.7319999999999993</v>
      </c>
    </row>
    <row r="17" spans="1:28" x14ac:dyDescent="0.3">
      <c r="A17" s="215"/>
      <c r="B17" s="157" t="s">
        <v>13</v>
      </c>
      <c r="C17" s="159">
        <v>272155.74699999997</v>
      </c>
      <c r="D17" s="159">
        <v>4.2409999999999997</v>
      </c>
      <c r="E17" s="159">
        <v>269510.77</v>
      </c>
      <c r="F17" s="159">
        <v>4.1779999999999999</v>
      </c>
      <c r="G17" s="159">
        <v>255619.94099999999</v>
      </c>
      <c r="H17" s="159">
        <v>3.944</v>
      </c>
      <c r="I17" s="159">
        <v>257340.03899999999</v>
      </c>
      <c r="J17" s="159">
        <v>3.9510000000000001</v>
      </c>
      <c r="K17" s="159">
        <v>263887.14600000001</v>
      </c>
      <c r="L17" s="159">
        <v>4.0330000000000004</v>
      </c>
      <c r="M17" s="159">
        <v>262402.41800000001</v>
      </c>
      <c r="N17" s="159">
        <v>3.99</v>
      </c>
      <c r="O17" s="159">
        <v>286930.04599999997</v>
      </c>
      <c r="P17" s="159">
        <v>4.327</v>
      </c>
      <c r="Q17" s="159">
        <v>257101.36300000001</v>
      </c>
      <c r="R17" s="159">
        <v>3.863</v>
      </c>
      <c r="S17" s="159">
        <v>237910.883</v>
      </c>
      <c r="T17" s="159">
        <v>3.5659999999999998</v>
      </c>
      <c r="U17" s="159">
        <v>274132.09299999999</v>
      </c>
      <c r="V17" s="159">
        <v>4.0970000000000004</v>
      </c>
      <c r="W17" s="159">
        <v>249869.065</v>
      </c>
      <c r="X17" s="159">
        <v>3.7210000000000001</v>
      </c>
      <c r="Y17" s="159">
        <v>253574.861</v>
      </c>
      <c r="Z17" s="159">
        <v>3.7629999999999999</v>
      </c>
      <c r="AA17" s="159">
        <v>226381.69</v>
      </c>
      <c r="AB17" s="159">
        <v>3.35</v>
      </c>
    </row>
    <row r="18" spans="1:28" x14ac:dyDescent="0.3">
      <c r="A18" s="215"/>
      <c r="B18" s="157" t="s">
        <v>157</v>
      </c>
      <c r="C18" s="159">
        <v>112.97</v>
      </c>
      <c r="D18" s="159">
        <v>2E-3</v>
      </c>
      <c r="E18" s="159">
        <v>145.947</v>
      </c>
      <c r="F18" s="159">
        <v>2E-3</v>
      </c>
      <c r="G18" s="159">
        <v>155.256</v>
      </c>
      <c r="H18" s="159">
        <v>2E-3</v>
      </c>
      <c r="I18" s="159">
        <v>99.478999999999999</v>
      </c>
      <c r="J18" s="159">
        <v>2E-3</v>
      </c>
      <c r="K18" s="159">
        <v>66.617000000000004</v>
      </c>
      <c r="L18" s="159">
        <v>1E-3</v>
      </c>
      <c r="M18" s="159">
        <v>175.95400000000001</v>
      </c>
      <c r="N18" s="159">
        <v>3.0000000000000001E-3</v>
      </c>
      <c r="O18" s="159">
        <v>119.194</v>
      </c>
      <c r="P18" s="159">
        <v>2E-3</v>
      </c>
      <c r="Q18" s="159">
        <v>96.504000000000005</v>
      </c>
      <c r="R18" s="159">
        <v>1E-3</v>
      </c>
      <c r="S18" s="159">
        <v>165.23500000000001</v>
      </c>
      <c r="T18" s="159">
        <v>2E-3</v>
      </c>
      <c r="U18" s="159">
        <v>212.084</v>
      </c>
      <c r="V18" s="159">
        <v>3.0000000000000001E-3</v>
      </c>
      <c r="W18" s="159">
        <v>186.33099999999999</v>
      </c>
      <c r="X18" s="159">
        <v>3.0000000000000001E-3</v>
      </c>
      <c r="Y18" s="159">
        <v>193.33699999999999</v>
      </c>
      <c r="Z18" s="159">
        <v>3.0000000000000001E-3</v>
      </c>
      <c r="AA18" s="159">
        <v>207.98400000000001</v>
      </c>
      <c r="AB18" s="159">
        <v>3.0000000000000001E-3</v>
      </c>
    </row>
    <row r="19" spans="1:28" x14ac:dyDescent="0.3">
      <c r="A19" s="215"/>
      <c r="B19" s="157" t="s">
        <v>171</v>
      </c>
      <c r="C19" s="159">
        <v>445117.16600000003</v>
      </c>
      <c r="D19" s="159">
        <v>6.9359999999999999</v>
      </c>
      <c r="E19" s="159">
        <v>387623.12800000003</v>
      </c>
      <c r="F19" s="159">
        <v>6.0090000000000003</v>
      </c>
      <c r="G19" s="159">
        <v>378850.48</v>
      </c>
      <c r="H19" s="159">
        <v>5.8449999999999998</v>
      </c>
      <c r="I19" s="159">
        <v>396037.94</v>
      </c>
      <c r="J19" s="159">
        <v>6.0810000000000004</v>
      </c>
      <c r="K19" s="159">
        <v>368994.03600000002</v>
      </c>
      <c r="L19" s="159">
        <v>5.6390000000000002</v>
      </c>
      <c r="M19" s="159">
        <v>372392.26199999999</v>
      </c>
      <c r="N19" s="159">
        <v>5.6619999999999999</v>
      </c>
      <c r="O19" s="159">
        <v>351551.68800000002</v>
      </c>
      <c r="P19" s="159">
        <v>5.3010000000000002</v>
      </c>
      <c r="Q19" s="159">
        <v>336623.826</v>
      </c>
      <c r="R19" s="159">
        <v>5.0579999999999998</v>
      </c>
      <c r="S19" s="159">
        <v>339458.73800000001</v>
      </c>
      <c r="T19" s="159">
        <v>5.0869999999999997</v>
      </c>
      <c r="U19" s="159">
        <v>355170.28899999999</v>
      </c>
      <c r="V19" s="159">
        <v>5.3079999999999998</v>
      </c>
      <c r="W19" s="159">
        <v>372888.08</v>
      </c>
      <c r="X19" s="159">
        <v>5.5519999999999996</v>
      </c>
      <c r="Y19" s="159">
        <v>393262.94799999997</v>
      </c>
      <c r="Z19" s="159">
        <v>5.8360000000000003</v>
      </c>
      <c r="AA19" s="159">
        <v>362814.49099999998</v>
      </c>
      <c r="AB19" s="159">
        <v>5.3689999999999998</v>
      </c>
    </row>
    <row r="20" spans="1:28" x14ac:dyDescent="0.3">
      <c r="A20" s="216"/>
      <c r="B20" s="157" t="s">
        <v>182</v>
      </c>
      <c r="C20" s="159">
        <v>2021.6</v>
      </c>
      <c r="D20" s="159">
        <v>3.1E-2</v>
      </c>
      <c r="E20" s="159">
        <v>1774.8</v>
      </c>
      <c r="F20" s="159">
        <v>2.8000000000000001E-2</v>
      </c>
      <c r="G20" s="159">
        <v>1778.6</v>
      </c>
      <c r="H20" s="159">
        <v>2.7E-2</v>
      </c>
      <c r="I20" s="159">
        <v>1494.7639999999999</v>
      </c>
      <c r="J20" s="159">
        <v>2.3E-2</v>
      </c>
      <c r="K20" s="159">
        <v>1499.6969999999999</v>
      </c>
      <c r="L20" s="159">
        <v>2.3E-2</v>
      </c>
      <c r="M20" s="159">
        <v>1360.8720000000001</v>
      </c>
      <c r="N20" s="159">
        <v>2.1000000000000001E-2</v>
      </c>
      <c r="O20" s="159">
        <v>1081.163</v>
      </c>
      <c r="P20" s="159">
        <v>1.6E-2</v>
      </c>
      <c r="Q20" s="159">
        <v>847.05799999999999</v>
      </c>
      <c r="R20" s="159">
        <v>1.2999999999999999E-2</v>
      </c>
      <c r="S20" s="159">
        <v>832.03300000000002</v>
      </c>
      <c r="T20" s="159">
        <v>1.2E-2</v>
      </c>
      <c r="U20" s="159">
        <v>770.60500000000002</v>
      </c>
      <c r="V20" s="159">
        <v>1.2E-2</v>
      </c>
      <c r="W20" s="159">
        <v>782.90599999999995</v>
      </c>
      <c r="X20" s="159">
        <v>1.2E-2</v>
      </c>
      <c r="Y20" s="159">
        <v>732.78800000000001</v>
      </c>
      <c r="Z20" s="159">
        <v>1.0999999999999999E-2</v>
      </c>
      <c r="AA20" s="159">
        <v>659.87900000000002</v>
      </c>
      <c r="AB20" s="159">
        <v>0.01</v>
      </c>
    </row>
    <row r="21" spans="1:28" x14ac:dyDescent="0.3">
      <c r="A21" s="217" t="s">
        <v>337</v>
      </c>
      <c r="B21" s="157" t="s">
        <v>41</v>
      </c>
      <c r="C21" s="158">
        <v>929858.65300000005</v>
      </c>
      <c r="D21" s="158">
        <v>14.489000000000001</v>
      </c>
      <c r="E21" s="158">
        <v>843726.72100000002</v>
      </c>
      <c r="F21" s="158">
        <v>13.08</v>
      </c>
      <c r="G21" s="158">
        <v>732633.76</v>
      </c>
      <c r="H21" s="158">
        <v>11.303000000000001</v>
      </c>
      <c r="I21" s="158">
        <v>764468.125</v>
      </c>
      <c r="J21" s="158">
        <v>11.738</v>
      </c>
      <c r="K21" s="158">
        <v>732955.67700000003</v>
      </c>
      <c r="L21" s="158">
        <v>11.201000000000001</v>
      </c>
      <c r="M21" s="158">
        <v>742805.78399999999</v>
      </c>
      <c r="N21" s="158">
        <v>11.294</v>
      </c>
      <c r="O21" s="158">
        <v>745678.18099999998</v>
      </c>
      <c r="P21" s="158">
        <v>11.244999999999999</v>
      </c>
      <c r="Q21" s="158">
        <v>745287.62399999995</v>
      </c>
      <c r="R21" s="158">
        <v>11.199</v>
      </c>
      <c r="S21" s="158">
        <v>743185.25300000003</v>
      </c>
      <c r="T21" s="158">
        <v>11.138</v>
      </c>
      <c r="U21" s="158">
        <v>821723.33299999998</v>
      </c>
      <c r="V21" s="158">
        <v>12.28</v>
      </c>
      <c r="W21" s="158">
        <v>816273.41200000001</v>
      </c>
      <c r="X21" s="158">
        <v>12.154</v>
      </c>
      <c r="Y21" s="158">
        <v>807342.52899999998</v>
      </c>
      <c r="Z21" s="158">
        <v>11.981</v>
      </c>
      <c r="AA21" s="158">
        <v>732206.06499999994</v>
      </c>
      <c r="AB21" s="158">
        <v>10.836</v>
      </c>
    </row>
    <row r="22" spans="1:28" x14ac:dyDescent="0.3">
      <c r="A22" s="218"/>
      <c r="B22" s="157" t="s">
        <v>13</v>
      </c>
      <c r="C22" s="159">
        <v>84408.634999999995</v>
      </c>
      <c r="D22" s="159">
        <v>1.3149999999999999</v>
      </c>
      <c r="E22" s="159">
        <v>79848.502999999997</v>
      </c>
      <c r="F22" s="159">
        <v>1.238</v>
      </c>
      <c r="G22" s="159">
        <v>77062.485000000001</v>
      </c>
      <c r="H22" s="159">
        <v>1.1890000000000001</v>
      </c>
      <c r="I22" s="159">
        <v>80085.293999999994</v>
      </c>
      <c r="J22" s="159">
        <v>1.23</v>
      </c>
      <c r="K22" s="159">
        <v>76876.298999999999</v>
      </c>
      <c r="L22" s="159">
        <v>1.175</v>
      </c>
      <c r="M22" s="159">
        <v>81290.010999999999</v>
      </c>
      <c r="N22" s="159">
        <v>1.236</v>
      </c>
      <c r="O22" s="159">
        <v>85626.486000000004</v>
      </c>
      <c r="P22" s="159">
        <v>1.2909999999999999</v>
      </c>
      <c r="Q22" s="159">
        <v>81287.202999999994</v>
      </c>
      <c r="R22" s="159">
        <v>1.2210000000000001</v>
      </c>
      <c r="S22" s="159">
        <v>84043.808000000005</v>
      </c>
      <c r="T22" s="159">
        <v>1.26</v>
      </c>
      <c r="U22" s="159">
        <v>87895.28</v>
      </c>
      <c r="V22" s="159">
        <v>1.3129999999999999</v>
      </c>
      <c r="W22" s="159">
        <v>87005.505999999994</v>
      </c>
      <c r="X22" s="159">
        <v>1.296</v>
      </c>
      <c r="Y22" s="159">
        <v>90036.695999999996</v>
      </c>
      <c r="Z22" s="159">
        <v>1.3360000000000001</v>
      </c>
      <c r="AA22" s="159">
        <v>92397.409</v>
      </c>
      <c r="AB22" s="159">
        <v>1.367</v>
      </c>
    </row>
    <row r="23" spans="1:28" x14ac:dyDescent="0.3">
      <c r="A23" s="218"/>
      <c r="B23" s="157" t="s">
        <v>157</v>
      </c>
      <c r="C23" s="159">
        <v>285086.18400000001</v>
      </c>
      <c r="D23" s="159">
        <v>4.4420000000000002</v>
      </c>
      <c r="E23" s="159">
        <v>174509.26300000001</v>
      </c>
      <c r="F23" s="159">
        <v>2.7050000000000001</v>
      </c>
      <c r="G23" s="159">
        <v>208052.58</v>
      </c>
      <c r="H23" s="159">
        <v>3.21</v>
      </c>
      <c r="I23" s="159">
        <v>207411.49799999999</v>
      </c>
      <c r="J23" s="159">
        <v>3.1850000000000001</v>
      </c>
      <c r="K23" s="159">
        <v>191891.86900000001</v>
      </c>
      <c r="L23" s="159">
        <v>2.9319999999999999</v>
      </c>
      <c r="M23" s="159">
        <v>197465.49100000001</v>
      </c>
      <c r="N23" s="159">
        <v>3.0019999999999998</v>
      </c>
      <c r="O23" s="159">
        <v>210447.24299999999</v>
      </c>
      <c r="P23" s="159">
        <v>3.1739999999999999</v>
      </c>
      <c r="Q23" s="159">
        <v>197280.5</v>
      </c>
      <c r="R23" s="159">
        <v>2.964</v>
      </c>
      <c r="S23" s="159">
        <v>206406.443</v>
      </c>
      <c r="T23" s="159">
        <v>3.093</v>
      </c>
      <c r="U23" s="159">
        <v>222563.14300000001</v>
      </c>
      <c r="V23" s="159">
        <v>3.3260000000000001</v>
      </c>
      <c r="W23" s="159">
        <v>238431.196</v>
      </c>
      <c r="X23" s="159">
        <v>3.55</v>
      </c>
      <c r="Y23" s="159">
        <v>210341.37599999999</v>
      </c>
      <c r="Z23" s="159">
        <v>3.121</v>
      </c>
      <c r="AA23" s="159">
        <v>193646.359</v>
      </c>
      <c r="AB23" s="159">
        <v>2.8660000000000001</v>
      </c>
    </row>
    <row r="24" spans="1:28" x14ac:dyDescent="0.3">
      <c r="A24" s="218"/>
      <c r="B24" s="157" t="s">
        <v>171</v>
      </c>
      <c r="C24" s="159">
        <v>188993.685</v>
      </c>
      <c r="D24" s="159">
        <v>2.9449999999999998</v>
      </c>
      <c r="E24" s="159">
        <v>202688.212</v>
      </c>
      <c r="F24" s="159">
        <v>3.1419999999999999</v>
      </c>
      <c r="G24" s="159">
        <v>147255.47399999999</v>
      </c>
      <c r="H24" s="159">
        <v>2.2719999999999998</v>
      </c>
      <c r="I24" s="159">
        <v>167464.90100000001</v>
      </c>
      <c r="J24" s="159">
        <v>2.5710000000000002</v>
      </c>
      <c r="K24" s="159">
        <v>152687.27299999999</v>
      </c>
      <c r="L24" s="159">
        <v>2.3330000000000002</v>
      </c>
      <c r="M24" s="159">
        <v>144537.03700000001</v>
      </c>
      <c r="N24" s="159">
        <v>2.198</v>
      </c>
      <c r="O24" s="159">
        <v>139103.61199999999</v>
      </c>
      <c r="P24" s="159">
        <v>2.0979999999999999</v>
      </c>
      <c r="Q24" s="159">
        <v>147671.383</v>
      </c>
      <c r="R24" s="159">
        <v>2.2189999999999999</v>
      </c>
      <c r="S24" s="159">
        <v>141617.02799999999</v>
      </c>
      <c r="T24" s="159">
        <v>2.1219999999999999</v>
      </c>
      <c r="U24" s="159">
        <v>201232.568</v>
      </c>
      <c r="V24" s="159">
        <v>3.0070000000000001</v>
      </c>
      <c r="W24" s="159">
        <v>186656.86600000001</v>
      </c>
      <c r="X24" s="159">
        <v>2.7789999999999999</v>
      </c>
      <c r="Y24" s="159">
        <v>204757.29699999999</v>
      </c>
      <c r="Z24" s="159">
        <v>3.0379999999999998</v>
      </c>
      <c r="AA24" s="159">
        <v>191279.87899999999</v>
      </c>
      <c r="AB24" s="159">
        <v>2.831</v>
      </c>
    </row>
    <row r="25" spans="1:28" x14ac:dyDescent="0.3">
      <c r="A25" s="219"/>
      <c r="B25" s="157" t="s">
        <v>182</v>
      </c>
      <c r="C25" s="159">
        <v>371370.14899999998</v>
      </c>
      <c r="D25" s="159">
        <v>5.7869999999999999</v>
      </c>
      <c r="E25" s="159">
        <v>386680.74400000001</v>
      </c>
      <c r="F25" s="159">
        <v>5.9950000000000001</v>
      </c>
      <c r="G25" s="159">
        <v>300263.22200000001</v>
      </c>
      <c r="H25" s="159">
        <v>4.6319999999999997</v>
      </c>
      <c r="I25" s="159">
        <v>309506.43199999997</v>
      </c>
      <c r="J25" s="159">
        <v>4.7519999999999998</v>
      </c>
      <c r="K25" s="159">
        <v>311500.23700000002</v>
      </c>
      <c r="L25" s="159">
        <v>4.76</v>
      </c>
      <c r="M25" s="159">
        <v>319513.24400000001</v>
      </c>
      <c r="N25" s="159">
        <v>4.8579999999999997</v>
      </c>
      <c r="O25" s="159">
        <v>310500.84000000003</v>
      </c>
      <c r="P25" s="159">
        <v>4.6820000000000004</v>
      </c>
      <c r="Q25" s="159">
        <v>319048.538</v>
      </c>
      <c r="R25" s="159">
        <v>4.7939999999999996</v>
      </c>
      <c r="S25" s="159">
        <v>311117.97399999999</v>
      </c>
      <c r="T25" s="159">
        <v>4.6630000000000003</v>
      </c>
      <c r="U25" s="159">
        <v>310032.342</v>
      </c>
      <c r="V25" s="159">
        <v>4.633</v>
      </c>
      <c r="W25" s="159">
        <v>304179.84399999998</v>
      </c>
      <c r="X25" s="159">
        <v>4.5289999999999999</v>
      </c>
      <c r="Y25" s="159">
        <v>302207.15899999999</v>
      </c>
      <c r="Z25" s="159">
        <v>4.4850000000000003</v>
      </c>
      <c r="AA25" s="159">
        <v>254882.41800000001</v>
      </c>
      <c r="AB25" s="159">
        <v>3.7719999999999998</v>
      </c>
    </row>
    <row r="26" spans="1:28" x14ac:dyDescent="0.3">
      <c r="A26" s="217" t="s">
        <v>338</v>
      </c>
      <c r="B26" s="157" t="s">
        <v>41</v>
      </c>
      <c r="C26" s="158">
        <v>572298.02399999998</v>
      </c>
      <c r="D26" s="158">
        <v>8.9169999999999998</v>
      </c>
      <c r="E26" s="158">
        <v>512847.39</v>
      </c>
      <c r="F26" s="158">
        <v>7.9509999999999996</v>
      </c>
      <c r="G26" s="158">
        <v>486334.636</v>
      </c>
      <c r="H26" s="158">
        <v>7.5030000000000001</v>
      </c>
      <c r="I26" s="158">
        <v>504714.38400000002</v>
      </c>
      <c r="J26" s="158">
        <v>7.75</v>
      </c>
      <c r="K26" s="158">
        <v>472508.375</v>
      </c>
      <c r="L26" s="158">
        <v>7.2210000000000001</v>
      </c>
      <c r="M26" s="158">
        <v>479685.97499999998</v>
      </c>
      <c r="N26" s="158">
        <v>7.2930000000000001</v>
      </c>
      <c r="O26" s="158">
        <v>483313.40399999998</v>
      </c>
      <c r="P26" s="158">
        <v>7.2880000000000003</v>
      </c>
      <c r="Q26" s="158">
        <v>491134.18</v>
      </c>
      <c r="R26" s="158">
        <v>7.38</v>
      </c>
      <c r="S26" s="158">
        <v>471557.73599999998</v>
      </c>
      <c r="T26" s="158">
        <v>7.0670000000000002</v>
      </c>
      <c r="U26" s="158">
        <v>530660.69799999997</v>
      </c>
      <c r="V26" s="158">
        <v>7.93</v>
      </c>
      <c r="W26" s="158">
        <v>521976.82400000002</v>
      </c>
      <c r="X26" s="158">
        <v>7.7720000000000002</v>
      </c>
      <c r="Y26" s="158">
        <v>526084.58299999998</v>
      </c>
      <c r="Z26" s="158">
        <v>7.8070000000000004</v>
      </c>
      <c r="AA26" s="158">
        <v>464153.39</v>
      </c>
      <c r="AB26" s="158">
        <v>6.8689999999999998</v>
      </c>
    </row>
    <row r="27" spans="1:28" x14ac:dyDescent="0.3">
      <c r="A27" s="218"/>
      <c r="B27" s="157" t="s">
        <v>13</v>
      </c>
      <c r="C27" s="159">
        <v>98473.671000000002</v>
      </c>
      <c r="D27" s="159">
        <v>1.534</v>
      </c>
      <c r="E27" s="159">
        <v>96339.123999999996</v>
      </c>
      <c r="F27" s="159">
        <v>1.494</v>
      </c>
      <c r="G27" s="159">
        <v>120290.22900000001</v>
      </c>
      <c r="H27" s="159">
        <v>1.8560000000000001</v>
      </c>
      <c r="I27" s="159">
        <v>121549.887</v>
      </c>
      <c r="J27" s="159">
        <v>1.8660000000000001</v>
      </c>
      <c r="K27" s="159">
        <v>112370.79700000001</v>
      </c>
      <c r="L27" s="159">
        <v>1.7170000000000001</v>
      </c>
      <c r="M27" s="159">
        <v>118659.462</v>
      </c>
      <c r="N27" s="159">
        <v>1.804</v>
      </c>
      <c r="O27" s="159">
        <v>122329.69899999999</v>
      </c>
      <c r="P27" s="159">
        <v>1.845</v>
      </c>
      <c r="Q27" s="159">
        <v>121067.048</v>
      </c>
      <c r="R27" s="159">
        <v>1.819</v>
      </c>
      <c r="S27" s="159">
        <v>114685.29300000001</v>
      </c>
      <c r="T27" s="159">
        <v>1.7190000000000001</v>
      </c>
      <c r="U27" s="159">
        <v>112874.44100000001</v>
      </c>
      <c r="V27" s="159">
        <v>1.6870000000000001</v>
      </c>
      <c r="W27" s="159">
        <v>116770.19100000001</v>
      </c>
      <c r="X27" s="159">
        <v>1.7390000000000001</v>
      </c>
      <c r="Y27" s="159">
        <v>118917.849</v>
      </c>
      <c r="Z27" s="159">
        <v>1.7649999999999999</v>
      </c>
      <c r="AA27" s="159">
        <v>115997.13099999999</v>
      </c>
      <c r="AB27" s="159">
        <v>1.7170000000000001</v>
      </c>
    </row>
    <row r="28" spans="1:28" x14ac:dyDescent="0.3">
      <c r="A28" s="218"/>
      <c r="B28" s="157" t="s">
        <v>157</v>
      </c>
      <c r="C28" s="159">
        <v>175188.19399999999</v>
      </c>
      <c r="D28" s="159">
        <v>2.73</v>
      </c>
      <c r="E28" s="159">
        <v>113878.52</v>
      </c>
      <c r="F28" s="159">
        <v>1.7649999999999999</v>
      </c>
      <c r="G28" s="159">
        <v>127864.16899999999</v>
      </c>
      <c r="H28" s="159">
        <v>1.9730000000000001</v>
      </c>
      <c r="I28" s="159">
        <v>126295.901</v>
      </c>
      <c r="J28" s="159">
        <v>1.9390000000000001</v>
      </c>
      <c r="K28" s="159">
        <v>117937.71</v>
      </c>
      <c r="L28" s="159">
        <v>1.802</v>
      </c>
      <c r="M28" s="159">
        <v>122840.413</v>
      </c>
      <c r="N28" s="159">
        <v>1.8680000000000001</v>
      </c>
      <c r="O28" s="159">
        <v>125765.542</v>
      </c>
      <c r="P28" s="159">
        <v>1.897</v>
      </c>
      <c r="Q28" s="159">
        <v>122969.727</v>
      </c>
      <c r="R28" s="159">
        <v>1.8480000000000001</v>
      </c>
      <c r="S28" s="159">
        <v>122890.569</v>
      </c>
      <c r="T28" s="159">
        <v>1.8420000000000001</v>
      </c>
      <c r="U28" s="159">
        <v>133375.005</v>
      </c>
      <c r="V28" s="159">
        <v>1.9930000000000001</v>
      </c>
      <c r="W28" s="159">
        <v>134100.51199999999</v>
      </c>
      <c r="X28" s="159">
        <v>1.9970000000000001</v>
      </c>
      <c r="Y28" s="159">
        <v>122708.89200000001</v>
      </c>
      <c r="Z28" s="159">
        <v>1.821</v>
      </c>
      <c r="AA28" s="159">
        <v>107837.56600000001</v>
      </c>
      <c r="AB28" s="159">
        <v>1.5960000000000001</v>
      </c>
    </row>
    <row r="29" spans="1:28" x14ac:dyDescent="0.3">
      <c r="A29" s="218"/>
      <c r="B29" s="157" t="s">
        <v>171</v>
      </c>
      <c r="C29" s="159">
        <v>145391.87400000001</v>
      </c>
      <c r="D29" s="159">
        <v>2.2650000000000001</v>
      </c>
      <c r="E29" s="159">
        <v>154339.51</v>
      </c>
      <c r="F29" s="159">
        <v>2.3929999999999998</v>
      </c>
      <c r="G29" s="159">
        <v>120424.6</v>
      </c>
      <c r="H29" s="159">
        <v>1.8580000000000001</v>
      </c>
      <c r="I29" s="159">
        <v>132665.02499999999</v>
      </c>
      <c r="J29" s="159">
        <v>2.0369999999999999</v>
      </c>
      <c r="K29" s="159">
        <v>121050.568</v>
      </c>
      <c r="L29" s="159">
        <v>1.85</v>
      </c>
      <c r="M29" s="159">
        <v>114341.77800000001</v>
      </c>
      <c r="N29" s="159">
        <v>1.738</v>
      </c>
      <c r="O29" s="159">
        <v>111137.849</v>
      </c>
      <c r="P29" s="159">
        <v>1.6759999999999999</v>
      </c>
      <c r="Q29" s="159">
        <v>118795.848</v>
      </c>
      <c r="R29" s="159">
        <v>1.7849999999999999</v>
      </c>
      <c r="S29" s="159">
        <v>110486.337</v>
      </c>
      <c r="T29" s="159">
        <v>1.6559999999999999</v>
      </c>
      <c r="U29" s="159">
        <v>159258.62299999999</v>
      </c>
      <c r="V29" s="159">
        <v>2.38</v>
      </c>
      <c r="W29" s="159">
        <v>146608.584</v>
      </c>
      <c r="X29" s="159">
        <v>2.1829999999999998</v>
      </c>
      <c r="Y29" s="159">
        <v>160412.889</v>
      </c>
      <c r="Z29" s="159">
        <v>2.38</v>
      </c>
      <c r="AA29" s="159">
        <v>141913.51</v>
      </c>
      <c r="AB29" s="159">
        <v>2.1</v>
      </c>
    </row>
    <row r="30" spans="1:28" x14ac:dyDescent="0.3">
      <c r="A30" s="219"/>
      <c r="B30" s="157" t="s">
        <v>182</v>
      </c>
      <c r="C30" s="159">
        <v>153244.28400000001</v>
      </c>
      <c r="D30" s="159">
        <v>2.3879999999999999</v>
      </c>
      <c r="E30" s="159">
        <v>148290.236</v>
      </c>
      <c r="F30" s="159">
        <v>2.2989999999999999</v>
      </c>
      <c r="G30" s="159">
        <v>117755.63800000001</v>
      </c>
      <c r="H30" s="159">
        <v>1.8169999999999999</v>
      </c>
      <c r="I30" s="159">
        <v>124203.571</v>
      </c>
      <c r="J30" s="159">
        <v>1.907</v>
      </c>
      <c r="K30" s="159">
        <v>121149.3</v>
      </c>
      <c r="L30" s="159">
        <v>1.851</v>
      </c>
      <c r="M30" s="159">
        <v>123844.322</v>
      </c>
      <c r="N30" s="159">
        <v>1.883</v>
      </c>
      <c r="O30" s="159">
        <v>124080.314</v>
      </c>
      <c r="P30" s="159">
        <v>1.871</v>
      </c>
      <c r="Q30" s="159">
        <v>128301.558</v>
      </c>
      <c r="R30" s="159">
        <v>1.9279999999999999</v>
      </c>
      <c r="S30" s="159">
        <v>123495.538</v>
      </c>
      <c r="T30" s="159">
        <v>1.851</v>
      </c>
      <c r="U30" s="159">
        <v>125152.628</v>
      </c>
      <c r="V30" s="159">
        <v>1.87</v>
      </c>
      <c r="W30" s="159">
        <v>124497.537</v>
      </c>
      <c r="X30" s="159">
        <v>1.8540000000000001</v>
      </c>
      <c r="Y30" s="159">
        <v>124044.952</v>
      </c>
      <c r="Z30" s="159">
        <v>1.841</v>
      </c>
      <c r="AA30" s="159">
        <v>98405.183000000005</v>
      </c>
      <c r="AB30" s="159">
        <v>1.456</v>
      </c>
    </row>
    <row r="31" spans="1:28" x14ac:dyDescent="0.3">
      <c r="A31" s="217" t="s">
        <v>339</v>
      </c>
      <c r="B31" s="157" t="s">
        <v>41</v>
      </c>
      <c r="C31" s="174">
        <v>1076968.112</v>
      </c>
      <c r="D31" s="174">
        <v>16.780999999999999</v>
      </c>
      <c r="E31" s="174">
        <v>989933.97600000002</v>
      </c>
      <c r="F31" s="174">
        <v>15.347</v>
      </c>
      <c r="G31" s="174">
        <v>882703.40099999995</v>
      </c>
      <c r="H31" s="174">
        <v>13.618</v>
      </c>
      <c r="I31" s="174">
        <v>914725.96299999999</v>
      </c>
      <c r="J31" s="174">
        <v>14.045</v>
      </c>
      <c r="K31" s="174">
        <v>894894.79700000002</v>
      </c>
      <c r="L31" s="174">
        <v>13.675000000000001</v>
      </c>
      <c r="M31" s="174">
        <v>899451.31599999999</v>
      </c>
      <c r="N31" s="174">
        <v>13.675000000000001</v>
      </c>
      <c r="O31" s="174">
        <v>902046.86800000002</v>
      </c>
      <c r="P31" s="174">
        <v>13.603</v>
      </c>
      <c r="Q31" s="174">
        <v>848822.19400000002</v>
      </c>
      <c r="R31" s="174">
        <v>12.755000000000001</v>
      </c>
      <c r="S31" s="174">
        <v>849994.40700000001</v>
      </c>
      <c r="T31" s="174">
        <v>12.739000000000001</v>
      </c>
      <c r="U31" s="174">
        <v>921347.70700000005</v>
      </c>
      <c r="V31" s="174">
        <v>13.768000000000001</v>
      </c>
      <c r="W31" s="174">
        <v>918022.97</v>
      </c>
      <c r="X31" s="174">
        <v>13.67</v>
      </c>
      <c r="Y31" s="174">
        <v>929021.88</v>
      </c>
      <c r="Z31" s="174">
        <v>13.786</v>
      </c>
      <c r="AA31" s="174">
        <v>858116.71900000004</v>
      </c>
      <c r="AB31" s="174">
        <v>12.699</v>
      </c>
    </row>
    <row r="32" spans="1:28" x14ac:dyDescent="0.3">
      <c r="A32" s="218"/>
      <c r="B32" s="157" t="s">
        <v>13</v>
      </c>
      <c r="C32" s="159">
        <v>258090.71100000001</v>
      </c>
      <c r="D32" s="159">
        <v>4.0209999999999999</v>
      </c>
      <c r="E32" s="159">
        <v>253020.14799999999</v>
      </c>
      <c r="F32" s="159">
        <v>3.923</v>
      </c>
      <c r="G32" s="159">
        <v>212392.198</v>
      </c>
      <c r="H32" s="159">
        <v>3.2770000000000001</v>
      </c>
      <c r="I32" s="159">
        <v>215875.446</v>
      </c>
      <c r="J32" s="159">
        <v>3.3149999999999999</v>
      </c>
      <c r="K32" s="159">
        <v>228392.64799999999</v>
      </c>
      <c r="L32" s="159">
        <v>3.49</v>
      </c>
      <c r="M32" s="159">
        <v>225032.96799999999</v>
      </c>
      <c r="N32" s="159">
        <v>3.4209999999999998</v>
      </c>
      <c r="O32" s="159">
        <v>250226.83300000001</v>
      </c>
      <c r="P32" s="159">
        <v>3.7730000000000001</v>
      </c>
      <c r="Q32" s="159">
        <v>217321.51800000001</v>
      </c>
      <c r="R32" s="159">
        <v>3.266</v>
      </c>
      <c r="S32" s="159">
        <v>207269.399</v>
      </c>
      <c r="T32" s="159">
        <v>3.1059999999999999</v>
      </c>
      <c r="U32" s="159">
        <v>249152.93299999999</v>
      </c>
      <c r="V32" s="159">
        <v>3.7229999999999999</v>
      </c>
      <c r="W32" s="159">
        <v>220104.38</v>
      </c>
      <c r="X32" s="159">
        <v>3.2770000000000001</v>
      </c>
      <c r="Y32" s="159">
        <v>224693.70800000001</v>
      </c>
      <c r="Z32" s="159">
        <v>3.3340000000000001</v>
      </c>
      <c r="AA32" s="159">
        <v>202781.967</v>
      </c>
      <c r="AB32" s="159">
        <v>3.0009999999999999</v>
      </c>
    </row>
    <row r="33" spans="1:28" x14ac:dyDescent="0.3">
      <c r="A33" s="218"/>
      <c r="B33" s="157" t="s">
        <v>157</v>
      </c>
      <c r="C33" s="159">
        <v>110010.959</v>
      </c>
      <c r="D33" s="159">
        <v>1.714</v>
      </c>
      <c r="E33" s="159">
        <v>60776.688999999998</v>
      </c>
      <c r="F33" s="159">
        <v>0.94199999999999995</v>
      </c>
      <c r="G33" s="159">
        <v>80343.665999999997</v>
      </c>
      <c r="H33" s="159">
        <v>1.24</v>
      </c>
      <c r="I33" s="159">
        <v>81215.076000000001</v>
      </c>
      <c r="J33" s="159">
        <v>1.2470000000000001</v>
      </c>
      <c r="K33" s="159">
        <v>74020.775999999998</v>
      </c>
      <c r="L33" s="159">
        <v>1.131</v>
      </c>
      <c r="M33" s="159">
        <v>74801.032999999996</v>
      </c>
      <c r="N33" s="159">
        <v>1.137</v>
      </c>
      <c r="O33" s="159">
        <v>84800.895000000004</v>
      </c>
      <c r="P33" s="159">
        <v>1.2789999999999999</v>
      </c>
      <c r="Q33" s="159">
        <v>74407.277000000002</v>
      </c>
      <c r="R33" s="159">
        <v>1.1180000000000001</v>
      </c>
      <c r="S33" s="159">
        <v>83681.108999999997</v>
      </c>
      <c r="T33" s="159">
        <v>1.254</v>
      </c>
      <c r="U33" s="159">
        <v>89400.221000000005</v>
      </c>
      <c r="V33" s="159">
        <v>1.3360000000000001</v>
      </c>
      <c r="W33" s="159">
        <v>104517.014</v>
      </c>
      <c r="X33" s="159">
        <v>1.556</v>
      </c>
      <c r="Y33" s="159">
        <v>87825.82</v>
      </c>
      <c r="Z33" s="159">
        <v>1.3029999999999999</v>
      </c>
      <c r="AA33" s="159">
        <v>86016.777000000002</v>
      </c>
      <c r="AB33" s="159">
        <v>1.2729999999999999</v>
      </c>
    </row>
    <row r="34" spans="1:28" x14ac:dyDescent="0.3">
      <c r="A34" s="218"/>
      <c r="B34" s="157" t="s">
        <v>171</v>
      </c>
      <c r="C34" s="159">
        <v>488718.97700000001</v>
      </c>
      <c r="D34" s="159">
        <v>7.6150000000000002</v>
      </c>
      <c r="E34" s="159">
        <v>435971.83</v>
      </c>
      <c r="F34" s="159">
        <v>6.7590000000000003</v>
      </c>
      <c r="G34" s="159">
        <v>405681.353</v>
      </c>
      <c r="H34" s="159">
        <v>6.2590000000000003</v>
      </c>
      <c r="I34" s="159">
        <v>430837.81699999998</v>
      </c>
      <c r="J34" s="159">
        <v>6.6150000000000002</v>
      </c>
      <c r="K34" s="159">
        <v>400630.74099999998</v>
      </c>
      <c r="L34" s="159">
        <v>6.1219999999999999</v>
      </c>
      <c r="M34" s="159">
        <v>402587.52100000001</v>
      </c>
      <c r="N34" s="159">
        <v>6.1210000000000004</v>
      </c>
      <c r="O34" s="159">
        <v>379517.451</v>
      </c>
      <c r="P34" s="159">
        <v>5.7229999999999999</v>
      </c>
      <c r="Q34" s="159">
        <v>365499.36200000002</v>
      </c>
      <c r="R34" s="159">
        <v>5.492</v>
      </c>
      <c r="S34" s="159">
        <v>370589.429</v>
      </c>
      <c r="T34" s="159">
        <v>5.5540000000000003</v>
      </c>
      <c r="U34" s="159">
        <v>397144.234</v>
      </c>
      <c r="V34" s="159">
        <v>5.9349999999999996</v>
      </c>
      <c r="W34" s="159">
        <v>412936.36200000002</v>
      </c>
      <c r="X34" s="159">
        <v>6.149</v>
      </c>
      <c r="Y34" s="159">
        <v>437607.35600000003</v>
      </c>
      <c r="Z34" s="159">
        <v>6.4939999999999998</v>
      </c>
      <c r="AA34" s="159">
        <v>412180.86</v>
      </c>
      <c r="AB34" s="159">
        <v>6.1</v>
      </c>
    </row>
    <row r="35" spans="1:28" x14ac:dyDescent="0.3">
      <c r="A35" s="219"/>
      <c r="B35" s="157" t="s">
        <v>182</v>
      </c>
      <c r="C35" s="159">
        <v>220147.46400000001</v>
      </c>
      <c r="D35" s="159">
        <v>3.43</v>
      </c>
      <c r="E35" s="159">
        <v>240165.30900000001</v>
      </c>
      <c r="F35" s="159">
        <v>3.7229999999999999</v>
      </c>
      <c r="G35" s="159">
        <v>184286.18400000001</v>
      </c>
      <c r="H35" s="159">
        <v>2.843</v>
      </c>
      <c r="I35" s="159">
        <v>186797.62400000001</v>
      </c>
      <c r="J35" s="159">
        <v>2.8679999999999999</v>
      </c>
      <c r="K35" s="159">
        <v>191850.633</v>
      </c>
      <c r="L35" s="159">
        <v>2.9319999999999999</v>
      </c>
      <c r="M35" s="159">
        <v>197029.79399999999</v>
      </c>
      <c r="N35" s="159">
        <v>2.996</v>
      </c>
      <c r="O35" s="159">
        <v>187501.68900000001</v>
      </c>
      <c r="P35" s="159">
        <v>2.8279999999999998</v>
      </c>
      <c r="Q35" s="159">
        <v>191594.03700000001</v>
      </c>
      <c r="R35" s="159">
        <v>2.879</v>
      </c>
      <c r="S35" s="159">
        <v>188454.46900000001</v>
      </c>
      <c r="T35" s="159">
        <v>2.8239999999999998</v>
      </c>
      <c r="U35" s="159">
        <v>185650.31899999999</v>
      </c>
      <c r="V35" s="159">
        <v>2.774</v>
      </c>
      <c r="W35" s="159">
        <v>180465.21299999999</v>
      </c>
      <c r="X35" s="159">
        <v>2.6869999999999998</v>
      </c>
      <c r="Y35" s="159">
        <v>178894.99600000001</v>
      </c>
      <c r="Z35" s="159">
        <v>2.6549999999999998</v>
      </c>
      <c r="AA35" s="159">
        <v>157137.11499999999</v>
      </c>
      <c r="AB35" s="159">
        <v>2.3260000000000001</v>
      </c>
    </row>
    <row r="37" spans="1:28" x14ac:dyDescent="0.3">
      <c r="A37" s="153" t="s">
        <v>202</v>
      </c>
    </row>
    <row r="38" spans="1:28" x14ac:dyDescent="0.3">
      <c r="A38" s="153" t="s">
        <v>121</v>
      </c>
      <c r="B38" s="152" t="s">
        <v>203</v>
      </c>
    </row>
  </sheetData>
  <mergeCells count="20">
    <mergeCell ref="A31:A35"/>
    <mergeCell ref="A21:A25"/>
    <mergeCell ref="A26:A30"/>
    <mergeCell ref="A1:R3"/>
    <mergeCell ref="Y13:Z13"/>
    <mergeCell ref="Q13:R13"/>
    <mergeCell ref="S13:T13"/>
    <mergeCell ref="U13:V13"/>
    <mergeCell ref="W13:X13"/>
    <mergeCell ref="A13:B13"/>
    <mergeCell ref="C13:D13"/>
    <mergeCell ref="E13:F13"/>
    <mergeCell ref="G13:H13"/>
    <mergeCell ref="I13:J13"/>
    <mergeCell ref="K13:L13"/>
    <mergeCell ref="AA13:AB13"/>
    <mergeCell ref="A14:B14"/>
    <mergeCell ref="A16:A20"/>
    <mergeCell ref="M13:N13"/>
    <mergeCell ref="O13:P13"/>
  </mergeCells>
  <hyperlinks>
    <hyperlink ref="A5"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49"/>
  <sheetViews>
    <sheetView showGridLines="0" workbookViewId="0">
      <selection activeCell="A56" sqref="A56"/>
    </sheetView>
  </sheetViews>
  <sheetFormatPr baseColWidth="10" defaultColWidth="17.44140625" defaultRowHeight="14.4" x14ac:dyDescent="0.3"/>
  <cols>
    <col min="1" max="1" width="25.44140625" customWidth="1"/>
  </cols>
  <sheetData>
    <row r="1" spans="1:35" x14ac:dyDescent="0.3">
      <c r="A1" s="205" t="s">
        <v>266</v>
      </c>
      <c r="B1" s="205"/>
      <c r="C1" s="205"/>
      <c r="D1" s="205"/>
      <c r="E1" s="205"/>
      <c r="F1" s="205"/>
      <c r="G1" s="205"/>
      <c r="H1" s="205"/>
      <c r="I1" s="205"/>
      <c r="J1" s="205"/>
      <c r="K1" s="205"/>
      <c r="L1" s="205"/>
      <c r="M1" s="205"/>
      <c r="N1" s="205"/>
      <c r="O1" s="205"/>
    </row>
    <row r="2" spans="1:35" x14ac:dyDescent="0.3">
      <c r="A2" s="205"/>
      <c r="B2" s="205"/>
      <c r="C2" s="205"/>
      <c r="D2" s="205"/>
      <c r="E2" s="205"/>
      <c r="F2" s="205"/>
      <c r="G2" s="205"/>
      <c r="H2" s="205"/>
      <c r="I2" s="205"/>
      <c r="J2" s="205"/>
      <c r="K2" s="205"/>
      <c r="L2" s="205"/>
      <c r="M2" s="205"/>
      <c r="N2" s="205"/>
      <c r="O2" s="205"/>
    </row>
    <row r="3" spans="1:35" x14ac:dyDescent="0.3">
      <c r="A3" s="205"/>
      <c r="B3" s="205"/>
      <c r="C3" s="205"/>
      <c r="D3" s="205"/>
      <c r="E3" s="205"/>
      <c r="F3" s="205"/>
      <c r="G3" s="205"/>
      <c r="H3" s="205"/>
      <c r="I3" s="205"/>
      <c r="J3" s="205"/>
      <c r="K3" s="205"/>
      <c r="L3" s="205"/>
      <c r="M3" s="205"/>
      <c r="N3" s="205"/>
      <c r="O3" s="205"/>
    </row>
    <row r="4" spans="1:35" x14ac:dyDescent="0.3">
      <c r="A4" s="205"/>
      <c r="B4" s="205"/>
      <c r="C4" s="205"/>
      <c r="D4" s="205"/>
      <c r="E4" s="205"/>
      <c r="F4" s="205"/>
      <c r="G4" s="205"/>
      <c r="H4" s="205"/>
      <c r="I4" s="205"/>
      <c r="J4" s="205"/>
      <c r="K4" s="205"/>
      <c r="L4" s="205"/>
      <c r="M4" s="205"/>
      <c r="N4" s="205"/>
      <c r="O4" s="205"/>
    </row>
    <row r="6" spans="1:35" s="71" customFormat="1" ht="15" thickBot="1" x14ac:dyDescent="0.35">
      <c r="A6" s="192" t="s">
        <v>263</v>
      </c>
    </row>
    <row r="7" spans="1:35" x14ac:dyDescent="0.3">
      <c r="A7" s="55" t="s">
        <v>267</v>
      </c>
      <c r="B7" s="56"/>
      <c r="C7" s="57"/>
    </row>
    <row r="8" spans="1:35" x14ac:dyDescent="0.3">
      <c r="A8" s="58" t="s">
        <v>213</v>
      </c>
      <c r="B8" s="59" t="s">
        <v>268</v>
      </c>
      <c r="C8" s="60"/>
    </row>
    <row r="9" spans="1:35" x14ac:dyDescent="0.3">
      <c r="A9" s="58" t="s">
        <v>215</v>
      </c>
      <c r="B9" s="72">
        <v>44943</v>
      </c>
      <c r="C9" s="60"/>
    </row>
    <row r="10" spans="1:35" x14ac:dyDescent="0.3">
      <c r="A10" s="62"/>
      <c r="B10" s="63"/>
      <c r="C10" s="64"/>
    </row>
    <row r="11" spans="1:35" x14ac:dyDescent="0.3">
      <c r="A11" s="65" t="s">
        <v>217</v>
      </c>
      <c r="B11" s="66"/>
      <c r="C11" s="67" t="s">
        <v>218</v>
      </c>
    </row>
    <row r="12" spans="1:35" x14ac:dyDescent="0.3">
      <c r="A12" s="65" t="s">
        <v>219</v>
      </c>
      <c r="B12" s="66"/>
      <c r="C12" s="67" t="s">
        <v>269</v>
      </c>
    </row>
    <row r="13" spans="1:35" ht="15" thickBot="1" x14ac:dyDescent="0.35">
      <c r="A13" s="68"/>
      <c r="B13" s="69"/>
      <c r="C13" s="70"/>
    </row>
    <row r="15" spans="1:35" x14ac:dyDescent="0.3">
      <c r="A15" s="74" t="s">
        <v>222</v>
      </c>
      <c r="B15" s="73">
        <v>1990</v>
      </c>
      <c r="C15" s="73">
        <v>1991</v>
      </c>
      <c r="D15" s="73">
        <v>1992</v>
      </c>
      <c r="E15" s="73">
        <v>1993</v>
      </c>
      <c r="F15" s="73">
        <v>1994</v>
      </c>
      <c r="G15" s="73">
        <v>1995</v>
      </c>
      <c r="H15" s="73">
        <v>1996</v>
      </c>
      <c r="I15" s="73">
        <v>1997</v>
      </c>
      <c r="J15" s="73">
        <v>1998</v>
      </c>
      <c r="K15" s="73">
        <v>1999</v>
      </c>
      <c r="L15" s="73">
        <v>2000</v>
      </c>
      <c r="M15" s="73">
        <v>2001</v>
      </c>
      <c r="N15" s="73">
        <v>2002</v>
      </c>
      <c r="O15" s="73">
        <v>2003</v>
      </c>
      <c r="P15" s="73">
        <v>2004</v>
      </c>
      <c r="Q15" s="73">
        <v>2005</v>
      </c>
      <c r="R15" s="73">
        <v>2006</v>
      </c>
      <c r="S15" s="73">
        <v>2007</v>
      </c>
      <c r="T15" s="73">
        <v>2008</v>
      </c>
      <c r="U15" s="73">
        <v>2009</v>
      </c>
      <c r="V15" s="73">
        <v>2010</v>
      </c>
      <c r="W15" s="73">
        <v>2011</v>
      </c>
      <c r="X15" s="73">
        <v>2012</v>
      </c>
      <c r="Y15" s="73">
        <v>2013</v>
      </c>
      <c r="Z15" s="73">
        <v>2014</v>
      </c>
      <c r="AA15" s="73">
        <v>2015</v>
      </c>
      <c r="AB15" s="73">
        <v>2016</v>
      </c>
      <c r="AC15" s="73">
        <v>2017</v>
      </c>
      <c r="AD15" s="73">
        <v>2018</v>
      </c>
      <c r="AE15" s="73">
        <v>2019</v>
      </c>
      <c r="AF15" s="73">
        <v>2020</v>
      </c>
      <c r="AG15" s="73">
        <v>2021</v>
      </c>
      <c r="AH15" s="73">
        <v>2022</v>
      </c>
      <c r="AI15" s="73">
        <v>2023</v>
      </c>
    </row>
    <row r="16" spans="1:35" x14ac:dyDescent="0.3">
      <c r="A16" s="74" t="s">
        <v>223</v>
      </c>
      <c r="B16" s="137">
        <v>57996401</v>
      </c>
      <c r="C16" s="137">
        <v>58280135</v>
      </c>
      <c r="D16" s="137">
        <v>58571237</v>
      </c>
      <c r="E16" s="137">
        <v>58852002</v>
      </c>
      <c r="F16" s="137">
        <v>59070077</v>
      </c>
      <c r="G16" s="137">
        <v>59280577</v>
      </c>
      <c r="H16" s="137">
        <v>59487413</v>
      </c>
      <c r="I16" s="137">
        <v>59691177</v>
      </c>
      <c r="J16" s="137">
        <v>59899347</v>
      </c>
      <c r="K16" s="137">
        <v>60122665</v>
      </c>
      <c r="L16" s="137">
        <v>60508150</v>
      </c>
      <c r="M16" s="137">
        <v>60941410</v>
      </c>
      <c r="N16" s="137">
        <v>61385070</v>
      </c>
      <c r="O16" s="137">
        <v>61824030</v>
      </c>
      <c r="P16" s="137">
        <v>62251062</v>
      </c>
      <c r="Q16" s="137">
        <v>62730537</v>
      </c>
      <c r="R16" s="137">
        <v>63186117</v>
      </c>
      <c r="S16" s="137">
        <v>63600690</v>
      </c>
      <c r="T16" s="137">
        <v>63961859</v>
      </c>
      <c r="U16" s="137">
        <v>64304500</v>
      </c>
      <c r="V16" s="137">
        <v>64612939</v>
      </c>
      <c r="W16" s="137">
        <v>64933400</v>
      </c>
      <c r="X16" s="137">
        <v>65241241</v>
      </c>
      <c r="Y16" s="137">
        <v>65564756</v>
      </c>
      <c r="Z16" s="137">
        <v>66130873</v>
      </c>
      <c r="AA16" s="137">
        <v>66422469</v>
      </c>
      <c r="AB16" s="137">
        <v>66602645</v>
      </c>
      <c r="AC16" s="137">
        <v>66774482</v>
      </c>
      <c r="AD16" s="137">
        <v>66992159</v>
      </c>
      <c r="AE16" s="137">
        <v>67257982</v>
      </c>
      <c r="AF16" s="137">
        <v>67441850</v>
      </c>
      <c r="AG16" s="137">
        <v>67635124</v>
      </c>
      <c r="AH16" s="137">
        <v>67842591</v>
      </c>
      <c r="AI16" s="137">
        <v>68042591</v>
      </c>
    </row>
    <row r="17" spans="1:35" x14ac:dyDescent="0.3">
      <c r="A17" s="74" t="s">
        <v>224</v>
      </c>
      <c r="B17" s="133">
        <v>56577000</v>
      </c>
      <c r="C17" s="133" t="s">
        <v>257</v>
      </c>
      <c r="D17" s="133" t="s">
        <v>256</v>
      </c>
      <c r="E17" s="133" t="s">
        <v>255</v>
      </c>
      <c r="F17" s="133" t="s">
        <v>254</v>
      </c>
      <c r="G17" s="133" t="s">
        <v>253</v>
      </c>
      <c r="H17" s="133" t="s">
        <v>252</v>
      </c>
      <c r="I17" s="133" t="s">
        <v>251</v>
      </c>
      <c r="J17" s="133" t="s">
        <v>250</v>
      </c>
      <c r="K17" s="133" t="s">
        <v>249</v>
      </c>
      <c r="L17" s="133" t="s">
        <v>248</v>
      </c>
      <c r="M17" s="133" t="s">
        <v>247</v>
      </c>
      <c r="N17" s="133" t="s">
        <v>246</v>
      </c>
      <c r="O17" s="133" t="s">
        <v>245</v>
      </c>
      <c r="P17" s="133" t="s">
        <v>244</v>
      </c>
      <c r="Q17" s="133" t="s">
        <v>243</v>
      </c>
      <c r="R17" s="133" t="s">
        <v>242</v>
      </c>
      <c r="S17" s="133" t="s">
        <v>241</v>
      </c>
      <c r="T17" s="133" t="s">
        <v>240</v>
      </c>
      <c r="U17" s="133" t="s">
        <v>239</v>
      </c>
      <c r="V17" s="133" t="s">
        <v>238</v>
      </c>
      <c r="W17" s="133" t="s">
        <v>237</v>
      </c>
      <c r="X17" s="133" t="s">
        <v>236</v>
      </c>
      <c r="Y17" s="133" t="s">
        <v>235</v>
      </c>
      <c r="Z17" s="133" t="s">
        <v>234</v>
      </c>
      <c r="AA17" s="133" t="s">
        <v>233</v>
      </c>
      <c r="AB17" s="133" t="s">
        <v>232</v>
      </c>
      <c r="AC17" s="133" t="s">
        <v>231</v>
      </c>
      <c r="AD17" s="133" t="s">
        <v>230</v>
      </c>
      <c r="AE17" s="133" t="s">
        <v>229</v>
      </c>
      <c r="AF17" s="133" t="s">
        <v>228</v>
      </c>
      <c r="AG17" s="133" t="s">
        <v>227</v>
      </c>
      <c r="AH17" s="133" t="s">
        <v>226</v>
      </c>
      <c r="AI17" s="133" t="s">
        <v>225</v>
      </c>
    </row>
    <row r="18" spans="1:35" ht="15" thickBot="1" x14ac:dyDescent="0.35">
      <c r="A18" s="75"/>
      <c r="AG18" s="76" t="s">
        <v>264</v>
      </c>
      <c r="AH18" s="76" t="s">
        <v>264</v>
      </c>
      <c r="AI18" s="76" t="s">
        <v>264</v>
      </c>
    </row>
    <row r="19" spans="1:35" ht="13.5" customHeight="1" x14ac:dyDescent="0.3">
      <c r="A19" s="225" t="s">
        <v>258</v>
      </c>
      <c r="B19" s="226"/>
      <c r="C19" s="76"/>
      <c r="D19" s="76"/>
    </row>
    <row r="20" spans="1:35" ht="13.5" customHeight="1" x14ac:dyDescent="0.3">
      <c r="A20" s="223" t="s">
        <v>259</v>
      </c>
      <c r="B20" s="224"/>
      <c r="C20" s="76"/>
      <c r="D20" s="76"/>
    </row>
    <row r="21" spans="1:35" ht="13.5" customHeight="1" x14ac:dyDescent="0.3">
      <c r="A21" s="223" t="s">
        <v>260</v>
      </c>
      <c r="B21" s="224"/>
      <c r="C21" s="76"/>
      <c r="D21" s="76"/>
    </row>
    <row r="22" spans="1:35" ht="13.5" customHeight="1" x14ac:dyDescent="0.3">
      <c r="A22" s="223" t="s">
        <v>261</v>
      </c>
      <c r="B22" s="224"/>
      <c r="C22" s="76"/>
      <c r="D22" s="76"/>
    </row>
    <row r="23" spans="1:35" ht="13.5" customHeight="1" thickBot="1" x14ac:dyDescent="0.35">
      <c r="A23" s="221" t="s">
        <v>262</v>
      </c>
      <c r="B23" s="222"/>
      <c r="C23" s="76"/>
      <c r="D23" s="76"/>
    </row>
    <row r="24" spans="1:35" x14ac:dyDescent="0.3">
      <c r="A24" s="75"/>
      <c r="B24" s="76"/>
      <c r="C24" s="76"/>
      <c r="D24" s="76"/>
    </row>
    <row r="26" spans="1:35" s="71" customFormat="1" x14ac:dyDescent="0.3">
      <c r="A26" s="192" t="s">
        <v>270</v>
      </c>
    </row>
    <row r="27" spans="1:35" x14ac:dyDescent="0.3">
      <c r="A27" s="82" t="s">
        <v>272</v>
      </c>
      <c r="B27" s="82" t="s">
        <v>273</v>
      </c>
      <c r="C27" s="82" t="s">
        <v>274</v>
      </c>
      <c r="D27" s="82" t="s">
        <v>275</v>
      </c>
      <c r="E27" s="82" t="s">
        <v>276</v>
      </c>
      <c r="F27" s="82" t="s">
        <v>277</v>
      </c>
      <c r="G27" s="82" t="s">
        <v>278</v>
      </c>
      <c r="H27" s="82" t="s">
        <v>279</v>
      </c>
      <c r="I27" s="82" t="s">
        <v>280</v>
      </c>
      <c r="J27" s="82" t="s">
        <v>281</v>
      </c>
      <c r="K27" s="82" t="s">
        <v>282</v>
      </c>
      <c r="L27" s="82" t="s">
        <v>283</v>
      </c>
      <c r="M27" s="82" t="s">
        <v>284</v>
      </c>
    </row>
    <row r="28" spans="1:35" s="81" customFormat="1" ht="27" customHeight="1" x14ac:dyDescent="0.3">
      <c r="A28" s="83" t="s">
        <v>285</v>
      </c>
      <c r="B28" s="83" t="s">
        <v>286</v>
      </c>
      <c r="C28" s="83" t="s">
        <v>28</v>
      </c>
      <c r="D28" s="83" t="s">
        <v>271</v>
      </c>
      <c r="E28" s="83" t="s">
        <v>287</v>
      </c>
      <c r="F28" s="83" t="s">
        <v>288</v>
      </c>
      <c r="G28" s="83" t="s">
        <v>289</v>
      </c>
      <c r="H28" s="83" t="s">
        <v>290</v>
      </c>
      <c r="I28" s="83" t="s">
        <v>291</v>
      </c>
      <c r="J28" s="83" t="s">
        <v>292</v>
      </c>
      <c r="K28" s="83" t="s">
        <v>290</v>
      </c>
      <c r="L28" s="83" t="s">
        <v>293</v>
      </c>
      <c r="M28" s="83" t="s">
        <v>294</v>
      </c>
    </row>
    <row r="29" spans="1:35" x14ac:dyDescent="0.3">
      <c r="A29" s="77"/>
      <c r="B29" s="78"/>
      <c r="C29" s="79"/>
    </row>
    <row r="30" spans="1:35" x14ac:dyDescent="0.3">
      <c r="A30" s="73" t="s">
        <v>295</v>
      </c>
      <c r="B30" s="84" t="s">
        <v>82</v>
      </c>
      <c r="C30" s="84" t="s">
        <v>84</v>
      </c>
      <c r="D30" s="84" t="s">
        <v>85</v>
      </c>
      <c r="E30" s="84" t="s">
        <v>86</v>
      </c>
      <c r="F30" s="84" t="s">
        <v>87</v>
      </c>
      <c r="G30" s="84" t="s">
        <v>88</v>
      </c>
      <c r="H30" s="84" t="s">
        <v>89</v>
      </c>
      <c r="I30" s="84" t="s">
        <v>90</v>
      </c>
      <c r="J30" s="84" t="s">
        <v>91</v>
      </c>
      <c r="K30" s="84" t="s">
        <v>92</v>
      </c>
      <c r="L30" s="84" t="s">
        <v>93</v>
      </c>
      <c r="M30" s="84" t="s">
        <v>94</v>
      </c>
      <c r="N30" s="84" t="s">
        <v>95</v>
      </c>
      <c r="O30" s="84" t="s">
        <v>96</v>
      </c>
      <c r="P30" s="84" t="s">
        <v>97</v>
      </c>
      <c r="Q30" s="84" t="s">
        <v>98</v>
      </c>
      <c r="R30" s="84" t="s">
        <v>99</v>
      </c>
      <c r="S30" s="84" t="s">
        <v>100</v>
      </c>
      <c r="T30" s="84" t="s">
        <v>101</v>
      </c>
      <c r="U30" s="84" t="s">
        <v>102</v>
      </c>
      <c r="V30" s="84" t="s">
        <v>103</v>
      </c>
      <c r="W30" s="84" t="s">
        <v>104</v>
      </c>
      <c r="X30" s="84" t="s">
        <v>105</v>
      </c>
      <c r="Y30" s="84" t="s">
        <v>106</v>
      </c>
      <c r="Z30" s="84" t="s">
        <v>107</v>
      </c>
      <c r="AA30" s="84" t="s">
        <v>108</v>
      </c>
      <c r="AB30" s="84" t="s">
        <v>109</v>
      </c>
      <c r="AC30" s="84" t="s">
        <v>110</v>
      </c>
      <c r="AD30" s="84" t="s">
        <v>111</v>
      </c>
      <c r="AE30" s="84" t="s">
        <v>112</v>
      </c>
      <c r="AF30" s="84" t="s">
        <v>113</v>
      </c>
      <c r="AG30" s="84" t="s">
        <v>114</v>
      </c>
      <c r="AH30" s="84" t="s">
        <v>115</v>
      </c>
    </row>
    <row r="31" spans="1:35" x14ac:dyDescent="0.3">
      <c r="A31" s="85" t="s">
        <v>17</v>
      </c>
      <c r="B31" s="86">
        <v>1480286</v>
      </c>
      <c r="C31" s="86">
        <v>1495802</v>
      </c>
      <c r="D31" s="86">
        <v>1519725</v>
      </c>
      <c r="E31" s="86">
        <v>1510171</v>
      </c>
      <c r="F31" s="86">
        <v>1545787</v>
      </c>
      <c r="G31" s="86">
        <v>1578351</v>
      </c>
      <c r="H31" s="86">
        <v>1600653</v>
      </c>
      <c r="I31" s="86">
        <v>1638049</v>
      </c>
      <c r="J31" s="86">
        <v>1696833</v>
      </c>
      <c r="K31" s="86">
        <v>1754888</v>
      </c>
      <c r="L31" s="86">
        <v>1823744</v>
      </c>
      <c r="M31" s="86">
        <v>1859922</v>
      </c>
      <c r="N31" s="86">
        <v>1881042</v>
      </c>
      <c r="O31" s="86">
        <v>1896526</v>
      </c>
      <c r="P31" s="86">
        <v>1950193</v>
      </c>
      <c r="Q31" s="86">
        <v>1982629</v>
      </c>
      <c r="R31" s="86">
        <v>2031190</v>
      </c>
      <c r="S31" s="86">
        <v>2080441</v>
      </c>
      <c r="T31" s="86">
        <v>2085745</v>
      </c>
      <c r="U31" s="86">
        <v>2025815</v>
      </c>
      <c r="V31" s="86">
        <v>2065307</v>
      </c>
      <c r="W31" s="86">
        <v>2110593</v>
      </c>
      <c r="X31" s="86">
        <v>2117202</v>
      </c>
      <c r="Y31" s="86">
        <v>2129404</v>
      </c>
      <c r="Z31" s="86">
        <v>2149765</v>
      </c>
      <c r="AA31" s="86">
        <v>2173690</v>
      </c>
      <c r="AB31" s="86">
        <v>2197502</v>
      </c>
      <c r="AC31" s="86">
        <v>2247856</v>
      </c>
      <c r="AD31" s="86">
        <v>2289780</v>
      </c>
      <c r="AE31" s="86">
        <v>2331980</v>
      </c>
      <c r="AF31" s="86">
        <v>2156138</v>
      </c>
      <c r="AG31" s="87">
        <v>2294890</v>
      </c>
      <c r="AH31" s="88">
        <v>2351224</v>
      </c>
    </row>
    <row r="32" spans="1:35" ht="15" thickBot="1" x14ac:dyDescent="0.35">
      <c r="A32" s="80"/>
      <c r="B32" s="79"/>
      <c r="C32" s="77"/>
    </row>
    <row r="33" spans="1:35" ht="21.6" x14ac:dyDescent="0.3">
      <c r="A33" s="89" t="s">
        <v>296</v>
      </c>
      <c r="B33" s="90" t="s">
        <v>297</v>
      </c>
      <c r="C33" s="77"/>
    </row>
    <row r="34" spans="1:35" x14ac:dyDescent="0.3">
      <c r="A34" s="91" t="s">
        <v>298</v>
      </c>
      <c r="B34" s="92" t="s">
        <v>299</v>
      </c>
    </row>
    <row r="35" spans="1:35" s="76" customFormat="1" x14ac:dyDescent="0.3">
      <c r="A35" s="91" t="s">
        <v>300</v>
      </c>
      <c r="B35" s="92" t="s">
        <v>301</v>
      </c>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row>
    <row r="36" spans="1:35" s="76" customFormat="1" x14ac:dyDescent="0.3">
      <c r="A36" s="91" t="s">
        <v>302</v>
      </c>
      <c r="B36" s="92" t="s">
        <v>303</v>
      </c>
    </row>
    <row r="37" spans="1:35" s="76" customFormat="1" x14ac:dyDescent="0.3">
      <c r="A37" s="91" t="s">
        <v>304</v>
      </c>
      <c r="B37" s="92" t="s">
        <v>305</v>
      </c>
    </row>
    <row r="38" spans="1:35" s="76" customFormat="1" x14ac:dyDescent="0.3">
      <c r="A38" s="91" t="s">
        <v>306</v>
      </c>
      <c r="B38" s="92" t="s">
        <v>307</v>
      </c>
    </row>
    <row r="39" spans="1:35" x14ac:dyDescent="0.3">
      <c r="A39" s="91" t="s">
        <v>308</v>
      </c>
      <c r="B39" s="92" t="s">
        <v>309</v>
      </c>
      <c r="D39" s="76"/>
    </row>
    <row r="40" spans="1:35" x14ac:dyDescent="0.3">
      <c r="A40" s="91" t="s">
        <v>310</v>
      </c>
      <c r="B40" s="92" t="s">
        <v>311</v>
      </c>
      <c r="D40" s="76"/>
    </row>
    <row r="41" spans="1:35" x14ac:dyDescent="0.3">
      <c r="A41" s="91" t="s">
        <v>312</v>
      </c>
      <c r="B41" s="92" t="s">
        <v>313</v>
      </c>
      <c r="D41" s="76"/>
    </row>
    <row r="42" spans="1:35" ht="15" thickBot="1" x14ac:dyDescent="0.35">
      <c r="A42" s="93" t="s">
        <v>314</v>
      </c>
      <c r="B42" s="94" t="s">
        <v>315</v>
      </c>
      <c r="D42" s="76"/>
    </row>
    <row r="43" spans="1:35" x14ac:dyDescent="0.3">
      <c r="D43" s="76"/>
    </row>
    <row r="44" spans="1:35" x14ac:dyDescent="0.3">
      <c r="A44" s="75"/>
      <c r="B44" s="76"/>
      <c r="C44" s="76"/>
      <c r="D44" s="76"/>
    </row>
    <row r="45" spans="1:35" x14ac:dyDescent="0.3">
      <c r="A45" s="75"/>
      <c r="B45" s="76"/>
      <c r="C45" s="76"/>
      <c r="D45" s="76"/>
    </row>
    <row r="46" spans="1:35" x14ac:dyDescent="0.3">
      <c r="A46" s="75"/>
      <c r="B46" s="76"/>
      <c r="C46" s="76"/>
      <c r="D46" s="76"/>
    </row>
    <row r="47" spans="1:35" x14ac:dyDescent="0.3">
      <c r="A47" s="75"/>
      <c r="B47" s="76"/>
      <c r="C47" s="76"/>
      <c r="D47" s="76"/>
    </row>
    <row r="48" spans="1:35" x14ac:dyDescent="0.3">
      <c r="A48" s="75"/>
      <c r="B48" s="76"/>
      <c r="C48" s="76"/>
      <c r="D48" s="76"/>
    </row>
    <row r="49" spans="1:4" x14ac:dyDescent="0.3">
      <c r="A49" s="75"/>
      <c r="B49" s="76"/>
      <c r="C49" s="76"/>
      <c r="D49" s="76"/>
    </row>
  </sheetData>
  <mergeCells count="6">
    <mergeCell ref="A23:B23"/>
    <mergeCell ref="A1:O4"/>
    <mergeCell ref="A22:B22"/>
    <mergeCell ref="A19:B19"/>
    <mergeCell ref="A20:B20"/>
    <mergeCell ref="A21:B21"/>
  </mergeCells>
  <hyperlinks>
    <hyperlink ref="A6" r:id="rId1" location="tableau-figure1" xr:uid="{00000000-0004-0000-0300-000000000000}"/>
    <hyperlink ref="A26" r:id="rId2" location="Telechargement"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27"/>
  <sheetViews>
    <sheetView showGridLines="0" topLeftCell="A2" workbookViewId="0">
      <pane xSplit="2" ySplit="6" topLeftCell="C8" activePane="bottomRight" state="frozen"/>
      <selection activeCell="A2" sqref="A2"/>
      <selection pane="topRight" activeCell="C2" sqref="C2"/>
      <selection pane="bottomLeft" activeCell="A8" sqref="A8"/>
      <selection pane="bottomRight" activeCell="A236" sqref="A236"/>
    </sheetView>
  </sheetViews>
  <sheetFormatPr baseColWidth="10" defaultRowHeight="14.4" x14ac:dyDescent="0.3"/>
  <cols>
    <col min="1" max="1" width="26.21875" customWidth="1"/>
    <col min="2" max="2" width="2.44140625" customWidth="1"/>
  </cols>
  <sheetData>
    <row r="1" spans="1:26" hidden="1" x14ac:dyDescent="0.3">
      <c r="A1" s="175" t="e">
        <f ca="1">DotStatQuery(B1)</f>
        <v>#NAME?</v>
      </c>
      <c r="B1" s="175" t="s">
        <v>342</v>
      </c>
    </row>
    <row r="2" spans="1:26" x14ac:dyDescent="0.3">
      <c r="A2" s="193" t="s">
        <v>562</v>
      </c>
      <c r="B2" s="186"/>
    </row>
    <row r="3" spans="1:26" ht="24" x14ac:dyDescent="0.3">
      <c r="A3" s="176" t="s">
        <v>343</v>
      </c>
    </row>
    <row r="4" spans="1:26" x14ac:dyDescent="0.3">
      <c r="A4" s="227" t="s">
        <v>344</v>
      </c>
      <c r="B4" s="228"/>
      <c r="C4" s="229" t="s">
        <v>345</v>
      </c>
      <c r="D4" s="230"/>
      <c r="E4" s="230"/>
      <c r="F4" s="230"/>
      <c r="G4" s="230"/>
      <c r="H4" s="230"/>
      <c r="I4" s="230"/>
      <c r="J4" s="230"/>
      <c r="K4" s="230"/>
      <c r="L4" s="230"/>
      <c r="M4" s="230"/>
      <c r="N4" s="230"/>
      <c r="O4" s="230"/>
      <c r="P4" s="230"/>
      <c r="Q4" s="230"/>
      <c r="R4" s="230"/>
      <c r="S4" s="230"/>
      <c r="T4" s="230"/>
      <c r="U4" s="230"/>
      <c r="V4" s="230"/>
      <c r="W4" s="230"/>
      <c r="X4" s="230"/>
      <c r="Y4" s="230"/>
      <c r="Z4" s="231"/>
    </row>
    <row r="5" spans="1:26" x14ac:dyDescent="0.3">
      <c r="A5" s="227" t="s">
        <v>346</v>
      </c>
      <c r="B5" s="228"/>
      <c r="C5" s="229" t="s">
        <v>41</v>
      </c>
      <c r="D5" s="230"/>
      <c r="E5" s="230"/>
      <c r="F5" s="230"/>
      <c r="G5" s="230"/>
      <c r="H5" s="230"/>
      <c r="I5" s="230"/>
      <c r="J5" s="230"/>
      <c r="K5" s="230"/>
      <c r="L5" s="230"/>
      <c r="M5" s="230"/>
      <c r="N5" s="230"/>
      <c r="O5" s="230"/>
      <c r="P5" s="230"/>
      <c r="Q5" s="230"/>
      <c r="R5" s="230"/>
      <c r="S5" s="230"/>
      <c r="T5" s="230"/>
      <c r="U5" s="230"/>
      <c r="V5" s="230"/>
      <c r="W5" s="230"/>
      <c r="X5" s="230"/>
      <c r="Y5" s="230"/>
      <c r="Z5" s="231"/>
    </row>
    <row r="6" spans="1:26" x14ac:dyDescent="0.3">
      <c r="A6" s="227" t="s">
        <v>280</v>
      </c>
      <c r="B6" s="228"/>
      <c r="C6" s="229" t="s">
        <v>83</v>
      </c>
      <c r="D6" s="230"/>
      <c r="E6" s="230"/>
      <c r="F6" s="230"/>
      <c r="G6" s="230"/>
      <c r="H6" s="230"/>
      <c r="I6" s="230"/>
      <c r="J6" s="230"/>
      <c r="K6" s="230"/>
      <c r="L6" s="230"/>
      <c r="M6" s="230"/>
      <c r="N6" s="230"/>
      <c r="O6" s="230"/>
      <c r="P6" s="230"/>
      <c r="Q6" s="230"/>
      <c r="R6" s="230"/>
      <c r="S6" s="230"/>
      <c r="T6" s="230"/>
      <c r="U6" s="230"/>
      <c r="V6" s="230"/>
      <c r="W6" s="230"/>
      <c r="X6" s="230"/>
      <c r="Y6" s="230"/>
      <c r="Z6" s="231"/>
    </row>
    <row r="7" spans="1:26" x14ac:dyDescent="0.3">
      <c r="A7" s="232" t="s">
        <v>222</v>
      </c>
      <c r="B7" s="233"/>
      <c r="C7" s="234" t="s">
        <v>347</v>
      </c>
      <c r="D7" s="235"/>
      <c r="E7" s="234" t="s">
        <v>348</v>
      </c>
      <c r="F7" s="235"/>
      <c r="G7" s="234" t="s">
        <v>82</v>
      </c>
      <c r="H7" s="235"/>
      <c r="I7" s="234" t="s">
        <v>93</v>
      </c>
      <c r="J7" s="235"/>
      <c r="K7" s="234" t="s">
        <v>98</v>
      </c>
      <c r="L7" s="235"/>
      <c r="M7" s="234" t="s">
        <v>103</v>
      </c>
      <c r="N7" s="235"/>
      <c r="O7" s="234" t="s">
        <v>108</v>
      </c>
      <c r="P7" s="235"/>
      <c r="Q7" s="234" t="s">
        <v>109</v>
      </c>
      <c r="R7" s="235"/>
      <c r="S7" s="234" t="s">
        <v>110</v>
      </c>
      <c r="T7" s="235"/>
      <c r="U7" s="234" t="s">
        <v>111</v>
      </c>
      <c r="V7" s="235"/>
      <c r="W7" s="234" t="s">
        <v>112</v>
      </c>
      <c r="X7" s="235"/>
      <c r="Y7" s="234" t="s">
        <v>113</v>
      </c>
      <c r="Z7" s="235"/>
    </row>
    <row r="8" spans="1:26" x14ac:dyDescent="0.3">
      <c r="A8" s="177" t="s">
        <v>24</v>
      </c>
      <c r="B8" s="178" t="s">
        <v>83</v>
      </c>
      <c r="C8" s="236" t="s">
        <v>83</v>
      </c>
      <c r="D8" s="237"/>
      <c r="E8" s="236" t="s">
        <v>83</v>
      </c>
      <c r="F8" s="237"/>
      <c r="G8" s="236" t="s">
        <v>83</v>
      </c>
      <c r="H8" s="237"/>
      <c r="I8" s="236" t="s">
        <v>83</v>
      </c>
      <c r="J8" s="237"/>
      <c r="K8" s="236" t="s">
        <v>83</v>
      </c>
      <c r="L8" s="237"/>
      <c r="M8" s="236" t="s">
        <v>83</v>
      </c>
      <c r="N8" s="237"/>
      <c r="O8" s="236" t="s">
        <v>83</v>
      </c>
      <c r="P8" s="237"/>
      <c r="Q8" s="236" t="s">
        <v>83</v>
      </c>
      <c r="R8" s="237"/>
      <c r="S8" s="236" t="s">
        <v>83</v>
      </c>
      <c r="T8" s="237"/>
      <c r="U8" s="236" t="s">
        <v>83</v>
      </c>
      <c r="V8" s="237"/>
      <c r="W8" s="236" t="s">
        <v>83</v>
      </c>
      <c r="X8" s="237"/>
      <c r="Y8" s="236" t="s">
        <v>83</v>
      </c>
      <c r="Z8" s="237"/>
    </row>
    <row r="9" spans="1:26" s="190" customFormat="1" ht="15" x14ac:dyDescent="0.3">
      <c r="A9" s="187" t="s">
        <v>331</v>
      </c>
      <c r="B9" s="178" t="s">
        <v>83</v>
      </c>
      <c r="C9" s="188" t="s">
        <v>83</v>
      </c>
      <c r="D9" s="189">
        <v>513.94680000000005</v>
      </c>
      <c r="E9" s="188" t="s">
        <v>83</v>
      </c>
      <c r="F9" s="189">
        <v>646.34619999999995</v>
      </c>
      <c r="G9" s="188" t="s">
        <v>83</v>
      </c>
      <c r="H9" s="189">
        <v>758.41909999999996</v>
      </c>
      <c r="I9" s="188" t="s">
        <v>83</v>
      </c>
      <c r="J9" s="189">
        <v>873.3383</v>
      </c>
      <c r="K9" s="188" t="s">
        <v>83</v>
      </c>
      <c r="L9" s="189">
        <v>880.20770000000005</v>
      </c>
      <c r="M9" s="188" t="s">
        <v>83</v>
      </c>
      <c r="N9" s="189">
        <v>805.41579999999999</v>
      </c>
      <c r="O9" s="188" t="s">
        <v>83</v>
      </c>
      <c r="P9" s="189">
        <v>862.17250000000001</v>
      </c>
      <c r="Q9" s="188" t="s">
        <v>83</v>
      </c>
      <c r="R9" s="189">
        <v>825.15139999999997</v>
      </c>
      <c r="S9" s="188" t="s">
        <v>83</v>
      </c>
      <c r="T9" s="189">
        <v>955.49929999999995</v>
      </c>
      <c r="U9" s="188" t="s">
        <v>83</v>
      </c>
      <c r="V9" s="189">
        <v>970.41269999999997</v>
      </c>
      <c r="W9" s="188" t="s">
        <v>83</v>
      </c>
      <c r="X9" s="189">
        <v>1022.115</v>
      </c>
      <c r="Y9" s="188" t="s">
        <v>83</v>
      </c>
      <c r="Z9" s="189" t="s">
        <v>349</v>
      </c>
    </row>
    <row r="10" spans="1:26" ht="15" x14ac:dyDescent="0.3">
      <c r="A10" s="179" t="s">
        <v>350</v>
      </c>
      <c r="B10" s="178" t="s">
        <v>83</v>
      </c>
      <c r="C10" s="180" t="s">
        <v>83</v>
      </c>
      <c r="D10" s="181" t="s">
        <v>349</v>
      </c>
      <c r="E10" s="180" t="s">
        <v>83</v>
      </c>
      <c r="F10" s="181" t="s">
        <v>349</v>
      </c>
      <c r="G10" s="180" t="s">
        <v>83</v>
      </c>
      <c r="H10" s="181" t="s">
        <v>349</v>
      </c>
      <c r="I10" s="180" t="s">
        <v>351</v>
      </c>
      <c r="J10" s="181">
        <v>161.46700000000001</v>
      </c>
      <c r="K10" s="180" t="s">
        <v>83</v>
      </c>
      <c r="L10" s="181">
        <v>172.18709999999999</v>
      </c>
      <c r="M10" s="180" t="s">
        <v>83</v>
      </c>
      <c r="N10" s="181">
        <v>160.12719999999999</v>
      </c>
      <c r="O10" s="180" t="s">
        <v>83</v>
      </c>
      <c r="P10" s="181">
        <v>159.12520000000001</v>
      </c>
      <c r="Q10" s="180" t="s">
        <v>83</v>
      </c>
      <c r="R10" s="181">
        <v>167.68549999999999</v>
      </c>
      <c r="S10" s="180" t="s">
        <v>83</v>
      </c>
      <c r="T10" s="181">
        <v>166.28479999999999</v>
      </c>
      <c r="U10" s="180" t="s">
        <v>83</v>
      </c>
      <c r="V10" s="181">
        <v>168.28829999999999</v>
      </c>
      <c r="W10" s="180" t="s">
        <v>83</v>
      </c>
      <c r="X10" s="181">
        <v>167.34119999999999</v>
      </c>
      <c r="Y10" s="180" t="s">
        <v>352</v>
      </c>
      <c r="Z10" s="181">
        <v>165.8329</v>
      </c>
    </row>
    <row r="11" spans="1:26" ht="15" x14ac:dyDescent="0.3">
      <c r="A11" s="179" t="s">
        <v>353</v>
      </c>
      <c r="B11" s="178" t="s">
        <v>83</v>
      </c>
      <c r="C11" s="180" t="s">
        <v>83</v>
      </c>
      <c r="D11" s="181" t="s">
        <v>349</v>
      </c>
      <c r="E11" s="180" t="s">
        <v>83</v>
      </c>
      <c r="F11" s="181" t="s">
        <v>349</v>
      </c>
      <c r="G11" s="180" t="s">
        <v>83</v>
      </c>
      <c r="H11" s="181">
        <v>147.18279999999999</v>
      </c>
      <c r="I11" s="180" t="s">
        <v>83</v>
      </c>
      <c r="J11" s="181">
        <v>161.1036</v>
      </c>
      <c r="K11" s="180" t="s">
        <v>83</v>
      </c>
      <c r="L11" s="181">
        <v>159.47280000000001</v>
      </c>
      <c r="M11" s="180" t="s">
        <v>83</v>
      </c>
      <c r="N11" s="181">
        <v>162.08330000000001</v>
      </c>
      <c r="O11" s="180" t="s">
        <v>83</v>
      </c>
      <c r="P11" s="181">
        <v>152.89590000000001</v>
      </c>
      <c r="Q11" s="180" t="s">
        <v>83</v>
      </c>
      <c r="R11" s="181">
        <v>153.304</v>
      </c>
      <c r="S11" s="180" t="s">
        <v>83</v>
      </c>
      <c r="T11" s="181">
        <v>157.7259</v>
      </c>
      <c r="U11" s="180" t="s">
        <v>83</v>
      </c>
      <c r="V11" s="181">
        <v>153.6463</v>
      </c>
      <c r="W11" s="180" t="s">
        <v>83</v>
      </c>
      <c r="X11" s="181">
        <v>158.67689999999999</v>
      </c>
      <c r="Y11" s="180" t="s">
        <v>352</v>
      </c>
      <c r="Z11" s="181">
        <v>156.09520000000001</v>
      </c>
    </row>
    <row r="12" spans="1:26" ht="15" x14ac:dyDescent="0.3">
      <c r="A12" s="179" t="s">
        <v>354</v>
      </c>
      <c r="B12" s="178" t="s">
        <v>83</v>
      </c>
      <c r="C12" s="180" t="s">
        <v>83</v>
      </c>
      <c r="D12" s="181">
        <v>814.88549999999998</v>
      </c>
      <c r="E12" s="180" t="s">
        <v>83</v>
      </c>
      <c r="F12" s="181">
        <v>1142.2550000000001</v>
      </c>
      <c r="G12" s="180" t="s">
        <v>83</v>
      </c>
      <c r="H12" s="181">
        <v>1266.3920000000001</v>
      </c>
      <c r="I12" s="180" t="s">
        <v>83</v>
      </c>
      <c r="J12" s="181">
        <v>1468.01</v>
      </c>
      <c r="K12" s="180" t="s">
        <v>83</v>
      </c>
      <c r="L12" s="181">
        <v>1557.481</v>
      </c>
      <c r="M12" s="180" t="s">
        <v>83</v>
      </c>
      <c r="N12" s="181">
        <v>1796.09</v>
      </c>
      <c r="O12" s="180" t="s">
        <v>83</v>
      </c>
      <c r="P12" s="181">
        <v>2039.979</v>
      </c>
      <c r="Q12" s="180" t="s">
        <v>83</v>
      </c>
      <c r="R12" s="181">
        <v>1995.5509999999999</v>
      </c>
      <c r="S12" s="180" t="s">
        <v>83</v>
      </c>
      <c r="T12" s="181">
        <v>2109.6779999999999</v>
      </c>
      <c r="U12" s="180" t="s">
        <v>83</v>
      </c>
      <c r="V12" s="181">
        <v>2074.9580000000001</v>
      </c>
      <c r="W12" s="180" t="s">
        <v>83</v>
      </c>
      <c r="X12" s="181">
        <v>2134.25</v>
      </c>
      <c r="Y12" s="180" t="s">
        <v>83</v>
      </c>
      <c r="Z12" s="181" t="s">
        <v>349</v>
      </c>
    </row>
    <row r="13" spans="1:26" s="190" customFormat="1" ht="15" x14ac:dyDescent="0.3">
      <c r="A13" s="187" t="s">
        <v>355</v>
      </c>
      <c r="B13" s="178" t="s">
        <v>83</v>
      </c>
      <c r="C13" s="188" t="s">
        <v>83</v>
      </c>
      <c r="D13" s="189">
        <v>98.733000000000004</v>
      </c>
      <c r="E13" s="188" t="s">
        <v>83</v>
      </c>
      <c r="F13" s="189">
        <v>137.85720000000001</v>
      </c>
      <c r="G13" s="188" t="s">
        <v>83</v>
      </c>
      <c r="H13" s="189">
        <v>212.75309999999999</v>
      </c>
      <c r="I13" s="188" t="s">
        <v>83</v>
      </c>
      <c r="J13" s="189">
        <v>665.59699999999998</v>
      </c>
      <c r="K13" s="188" t="s">
        <v>83</v>
      </c>
      <c r="L13" s="189">
        <v>826.45659999999998</v>
      </c>
      <c r="M13" s="188" t="s">
        <v>83</v>
      </c>
      <c r="N13" s="189">
        <v>845.94920000000002</v>
      </c>
      <c r="O13" s="188" t="s">
        <v>83</v>
      </c>
      <c r="P13" s="189">
        <v>920.31899999999996</v>
      </c>
      <c r="Q13" s="188" t="s">
        <v>83</v>
      </c>
      <c r="R13" s="189">
        <v>930.21040000000005</v>
      </c>
      <c r="S13" s="188" t="s">
        <v>83</v>
      </c>
      <c r="T13" s="189">
        <v>929.64139999999998</v>
      </c>
      <c r="U13" s="188" t="s">
        <v>83</v>
      </c>
      <c r="V13" s="189">
        <v>980.95029999999997</v>
      </c>
      <c r="W13" s="188" t="s">
        <v>83</v>
      </c>
      <c r="X13" s="189">
        <v>1004.123</v>
      </c>
      <c r="Y13" s="188" t="s">
        <v>83</v>
      </c>
      <c r="Z13" s="189" t="s">
        <v>349</v>
      </c>
    </row>
    <row r="14" spans="1:26" ht="15" x14ac:dyDescent="0.3">
      <c r="A14" s="179" t="s">
        <v>356</v>
      </c>
      <c r="B14" s="178" t="s">
        <v>83</v>
      </c>
      <c r="C14" s="180" t="s">
        <v>83</v>
      </c>
      <c r="D14" s="181">
        <v>156.93530000000001</v>
      </c>
      <c r="E14" s="180" t="s">
        <v>83</v>
      </c>
      <c r="F14" s="181">
        <v>211.87620000000001</v>
      </c>
      <c r="G14" s="180" t="s">
        <v>83</v>
      </c>
      <c r="H14" s="181">
        <v>248.41540000000001</v>
      </c>
      <c r="I14" s="180" t="s">
        <v>83</v>
      </c>
      <c r="J14" s="181">
        <v>289.61340000000001</v>
      </c>
      <c r="K14" s="180" t="s">
        <v>83</v>
      </c>
      <c r="L14" s="181">
        <v>311.76799999999997</v>
      </c>
      <c r="M14" s="180" t="s">
        <v>83</v>
      </c>
      <c r="N14" s="181">
        <v>325.95830000000001</v>
      </c>
      <c r="O14" s="180" t="s">
        <v>83</v>
      </c>
      <c r="P14" s="181">
        <v>392.69720000000001</v>
      </c>
      <c r="Q14" s="180" t="s">
        <v>83</v>
      </c>
      <c r="R14" s="181">
        <v>380.63010000000003</v>
      </c>
      <c r="S14" s="180" t="s">
        <v>83</v>
      </c>
      <c r="T14" s="181">
        <v>339.94940000000003</v>
      </c>
      <c r="U14" s="180" t="s">
        <v>83</v>
      </c>
      <c r="V14" s="181">
        <v>360.98289999999997</v>
      </c>
      <c r="W14" s="180" t="s">
        <v>83</v>
      </c>
      <c r="X14" s="181">
        <v>383.1309</v>
      </c>
      <c r="Y14" s="180" t="s">
        <v>83</v>
      </c>
      <c r="Z14" s="181" t="s">
        <v>349</v>
      </c>
    </row>
    <row r="15" spans="1:26" ht="15" x14ac:dyDescent="0.3">
      <c r="A15" s="179" t="s">
        <v>357</v>
      </c>
      <c r="B15" s="178" t="s">
        <v>83</v>
      </c>
      <c r="C15" s="180" t="s">
        <v>83</v>
      </c>
      <c r="D15" s="181">
        <v>15.290100000000001</v>
      </c>
      <c r="E15" s="180" t="s">
        <v>83</v>
      </c>
      <c r="F15" s="181">
        <v>22.424600000000002</v>
      </c>
      <c r="G15" s="180" t="s">
        <v>83</v>
      </c>
      <c r="H15" s="181">
        <v>25.845700000000001</v>
      </c>
      <c r="I15" s="180" t="s">
        <v>83</v>
      </c>
      <c r="J15" s="181">
        <v>33.795499999999997</v>
      </c>
      <c r="K15" s="180" t="s">
        <v>83</v>
      </c>
      <c r="L15" s="181">
        <v>36.408299999999997</v>
      </c>
      <c r="M15" s="180" t="s">
        <v>83</v>
      </c>
      <c r="N15" s="181">
        <v>45.773099999999999</v>
      </c>
      <c r="O15" s="180" t="s">
        <v>83</v>
      </c>
      <c r="P15" s="181">
        <v>46.654800000000002</v>
      </c>
      <c r="Q15" s="180" t="s">
        <v>83</v>
      </c>
      <c r="R15" s="181">
        <v>47.823399999999999</v>
      </c>
      <c r="S15" s="180" t="s">
        <v>83</v>
      </c>
      <c r="T15" s="181">
        <v>51.576300000000003</v>
      </c>
      <c r="U15" s="180" t="s">
        <v>83</v>
      </c>
      <c r="V15" s="181">
        <v>47.844200000000001</v>
      </c>
      <c r="W15" s="180" t="s">
        <v>83</v>
      </c>
      <c r="X15" s="181">
        <v>49.167700000000004</v>
      </c>
      <c r="Y15" s="180" t="s">
        <v>83</v>
      </c>
      <c r="Z15" s="181" t="s">
        <v>349</v>
      </c>
    </row>
    <row r="16" spans="1:26" ht="15" x14ac:dyDescent="0.3">
      <c r="A16" s="179" t="s">
        <v>358</v>
      </c>
      <c r="B16" s="178" t="s">
        <v>83</v>
      </c>
      <c r="C16" s="180" t="s">
        <v>83</v>
      </c>
      <c r="D16" s="181" t="s">
        <v>349</v>
      </c>
      <c r="E16" s="180" t="s">
        <v>83</v>
      </c>
      <c r="F16" s="181" t="s">
        <v>349</v>
      </c>
      <c r="G16" s="180" t="s">
        <v>83</v>
      </c>
      <c r="H16" s="181" t="s">
        <v>349</v>
      </c>
      <c r="I16" s="180" t="s">
        <v>83</v>
      </c>
      <c r="J16" s="181">
        <v>179.83</v>
      </c>
      <c r="K16" s="180" t="s">
        <v>83</v>
      </c>
      <c r="L16" s="181">
        <v>187.73490000000001</v>
      </c>
      <c r="M16" s="180" t="s">
        <v>83</v>
      </c>
      <c r="N16" s="181">
        <v>167.62899999999999</v>
      </c>
      <c r="O16" s="180" t="s">
        <v>83</v>
      </c>
      <c r="P16" s="181">
        <v>166.91329999999999</v>
      </c>
      <c r="Q16" s="180" t="s">
        <v>83</v>
      </c>
      <c r="R16" s="181">
        <v>164.69159999999999</v>
      </c>
      <c r="S16" s="180" t="s">
        <v>83</v>
      </c>
      <c r="T16" s="181">
        <v>165.941</v>
      </c>
      <c r="U16" s="180" t="s">
        <v>83</v>
      </c>
      <c r="V16" s="181">
        <v>168.67959999999999</v>
      </c>
      <c r="W16" s="180" t="s">
        <v>83</v>
      </c>
      <c r="X16" s="181">
        <v>169.8013</v>
      </c>
      <c r="Y16" s="180" t="s">
        <v>83</v>
      </c>
      <c r="Z16" s="181">
        <v>157.5301</v>
      </c>
    </row>
    <row r="17" spans="1:26" ht="15" x14ac:dyDescent="0.3">
      <c r="A17" s="179" t="s">
        <v>359</v>
      </c>
      <c r="B17" s="178" t="s">
        <v>83</v>
      </c>
      <c r="C17" s="180" t="s">
        <v>83</v>
      </c>
      <c r="D17" s="181" t="s">
        <v>349</v>
      </c>
      <c r="E17" s="180" t="s">
        <v>83</v>
      </c>
      <c r="F17" s="181" t="s">
        <v>349</v>
      </c>
      <c r="G17" s="180" t="s">
        <v>83</v>
      </c>
      <c r="H17" s="181" t="s">
        <v>349</v>
      </c>
      <c r="I17" s="180" t="s">
        <v>83</v>
      </c>
      <c r="J17" s="181">
        <v>137.3561</v>
      </c>
      <c r="K17" s="180" t="s">
        <v>83</v>
      </c>
      <c r="L17" s="181">
        <v>151.76390000000001</v>
      </c>
      <c r="M17" s="180" t="s">
        <v>83</v>
      </c>
      <c r="N17" s="181">
        <v>118.0106</v>
      </c>
      <c r="O17" s="180" t="s">
        <v>83</v>
      </c>
      <c r="P17" s="181">
        <v>130.5847</v>
      </c>
      <c r="Q17" s="180" t="s">
        <v>83</v>
      </c>
      <c r="R17" s="181">
        <v>135.40719999999999</v>
      </c>
      <c r="S17" s="180" t="s">
        <v>83</v>
      </c>
      <c r="T17" s="181">
        <v>140.25470000000001</v>
      </c>
      <c r="U17" s="180" t="s">
        <v>83</v>
      </c>
      <c r="V17" s="181">
        <v>140.5993</v>
      </c>
      <c r="W17" s="180" t="s">
        <v>83</v>
      </c>
      <c r="X17" s="181">
        <v>142.6721</v>
      </c>
      <c r="Y17" s="180" t="s">
        <v>83</v>
      </c>
      <c r="Z17" s="181">
        <v>140.10650000000001</v>
      </c>
    </row>
    <row r="18" spans="1:26" ht="15" x14ac:dyDescent="0.3">
      <c r="A18" s="179" t="s">
        <v>360</v>
      </c>
      <c r="B18" s="178" t="s">
        <v>83</v>
      </c>
      <c r="C18" s="180" t="s">
        <v>83</v>
      </c>
      <c r="D18" s="181" t="s">
        <v>349</v>
      </c>
      <c r="E18" s="180" t="s">
        <v>83</v>
      </c>
      <c r="F18" s="181" t="s">
        <v>349</v>
      </c>
      <c r="G18" s="180" t="s">
        <v>83</v>
      </c>
      <c r="H18" s="181" t="s">
        <v>349</v>
      </c>
      <c r="I18" s="180" t="s">
        <v>83</v>
      </c>
      <c r="J18" s="181">
        <v>21.736599999999999</v>
      </c>
      <c r="K18" s="180" t="s">
        <v>83</v>
      </c>
      <c r="L18" s="181">
        <v>30.563700000000001</v>
      </c>
      <c r="M18" s="180" t="s">
        <v>83</v>
      </c>
      <c r="N18" s="181">
        <v>32.154699999999998</v>
      </c>
      <c r="O18" s="180" t="s">
        <v>83</v>
      </c>
      <c r="P18" s="181">
        <v>34.384700000000002</v>
      </c>
      <c r="Q18" s="180" t="s">
        <v>83</v>
      </c>
      <c r="R18" s="181">
        <v>33.919899999999998</v>
      </c>
      <c r="S18" s="180" t="s">
        <v>83</v>
      </c>
      <c r="T18" s="181">
        <v>40.207299999999996</v>
      </c>
      <c r="U18" s="180" t="s">
        <v>83</v>
      </c>
      <c r="V18" s="181">
        <v>41.922800000000002</v>
      </c>
      <c r="W18" s="180" t="s">
        <v>83</v>
      </c>
      <c r="X18" s="181">
        <v>37.6434</v>
      </c>
      <c r="Y18" s="180" t="s">
        <v>83</v>
      </c>
      <c r="Z18" s="181">
        <v>37.9054</v>
      </c>
    </row>
    <row r="19" spans="1:26" s="190" customFormat="1" ht="15" x14ac:dyDescent="0.3">
      <c r="A19" s="187" t="s">
        <v>30</v>
      </c>
      <c r="B19" s="178" t="s">
        <v>83</v>
      </c>
      <c r="C19" s="188" t="s">
        <v>83</v>
      </c>
      <c r="D19" s="189" t="s">
        <v>349</v>
      </c>
      <c r="E19" s="188" t="s">
        <v>83</v>
      </c>
      <c r="F19" s="189" t="s">
        <v>349</v>
      </c>
      <c r="G19" s="188" t="s">
        <v>83</v>
      </c>
      <c r="H19" s="189" t="s">
        <v>349</v>
      </c>
      <c r="I19" s="188" t="s">
        <v>352</v>
      </c>
      <c r="J19" s="189">
        <v>173.43219999999999</v>
      </c>
      <c r="K19" s="188" t="s">
        <v>352</v>
      </c>
      <c r="L19" s="189">
        <v>191.02950000000001</v>
      </c>
      <c r="M19" s="188" t="s">
        <v>352</v>
      </c>
      <c r="N19" s="189">
        <v>182.9768</v>
      </c>
      <c r="O19" s="188" t="s">
        <v>83</v>
      </c>
      <c r="P19" s="189">
        <v>166.1961</v>
      </c>
      <c r="Q19" s="188" t="s">
        <v>83</v>
      </c>
      <c r="R19" s="189">
        <v>172.101</v>
      </c>
      <c r="S19" s="188" t="s">
        <v>83</v>
      </c>
      <c r="T19" s="189">
        <v>180.7765</v>
      </c>
      <c r="U19" s="188" t="s">
        <v>83</v>
      </c>
      <c r="V19" s="189">
        <v>189.76259999999999</v>
      </c>
      <c r="W19" s="188" t="s">
        <v>83</v>
      </c>
      <c r="X19" s="189">
        <v>173.3802</v>
      </c>
      <c r="Y19" s="188" t="s">
        <v>83</v>
      </c>
      <c r="Z19" s="189">
        <v>181.85599999999999</v>
      </c>
    </row>
    <row r="20" spans="1:26" s="190" customFormat="1" ht="15" x14ac:dyDescent="0.3">
      <c r="A20" s="187" t="s">
        <v>28</v>
      </c>
      <c r="B20" s="178" t="s">
        <v>83</v>
      </c>
      <c r="C20" s="188" t="s">
        <v>83</v>
      </c>
      <c r="D20" s="189" t="s">
        <v>349</v>
      </c>
      <c r="E20" s="188" t="s">
        <v>83</v>
      </c>
      <c r="F20" s="189" t="s">
        <v>349</v>
      </c>
      <c r="G20" s="188" t="s">
        <v>83</v>
      </c>
      <c r="H20" s="189">
        <v>825.96420000000001</v>
      </c>
      <c r="I20" s="188" t="s">
        <v>83</v>
      </c>
      <c r="J20" s="189">
        <v>880.97749999999996</v>
      </c>
      <c r="K20" s="188" t="s">
        <v>83</v>
      </c>
      <c r="L20" s="189">
        <v>851.93349999999998</v>
      </c>
      <c r="M20" s="188" t="s">
        <v>83</v>
      </c>
      <c r="N20" s="189">
        <v>778.17790000000002</v>
      </c>
      <c r="O20" s="188" t="s">
        <v>83</v>
      </c>
      <c r="P20" s="189">
        <v>734.41520000000003</v>
      </c>
      <c r="Q20" s="188" t="s">
        <v>83</v>
      </c>
      <c r="R20" s="189">
        <v>718.09400000000005</v>
      </c>
      <c r="S20" s="188" t="s">
        <v>83</v>
      </c>
      <c r="T20" s="189">
        <v>776.70609999999999</v>
      </c>
      <c r="U20" s="188" t="s">
        <v>83</v>
      </c>
      <c r="V20" s="189">
        <v>760.2894</v>
      </c>
      <c r="W20" s="188" t="s">
        <v>83</v>
      </c>
      <c r="X20" s="189">
        <v>767.4615</v>
      </c>
      <c r="Y20" s="188" t="s">
        <v>352</v>
      </c>
      <c r="Z20" s="189">
        <v>691.11069999999995</v>
      </c>
    </row>
    <row r="21" spans="1:26" s="190" customFormat="1" ht="15" x14ac:dyDescent="0.3">
      <c r="A21" s="191" t="s">
        <v>29</v>
      </c>
      <c r="B21" s="178" t="s">
        <v>83</v>
      </c>
      <c r="C21" s="188" t="s">
        <v>83</v>
      </c>
      <c r="D21" s="189" t="s">
        <v>349</v>
      </c>
      <c r="E21" s="188" t="s">
        <v>83</v>
      </c>
      <c r="F21" s="189" t="s">
        <v>349</v>
      </c>
      <c r="G21" s="188" t="s">
        <v>83</v>
      </c>
      <c r="H21" s="189" t="s">
        <v>349</v>
      </c>
      <c r="I21" s="188" t="s">
        <v>83</v>
      </c>
      <c r="J21" s="189">
        <v>1430.1980000000001</v>
      </c>
      <c r="K21" s="188" t="s">
        <v>83</v>
      </c>
      <c r="L21" s="189">
        <v>1265.3789999999999</v>
      </c>
      <c r="M21" s="188" t="s">
        <v>83</v>
      </c>
      <c r="N21" s="189">
        <v>1217.7380000000001</v>
      </c>
      <c r="O21" s="188" t="s">
        <v>83</v>
      </c>
      <c r="P21" s="189">
        <v>1233.971</v>
      </c>
      <c r="Q21" s="188" t="s">
        <v>83</v>
      </c>
      <c r="R21" s="189">
        <v>1251.0160000000001</v>
      </c>
      <c r="S21" s="188" t="s">
        <v>83</v>
      </c>
      <c r="T21" s="189">
        <v>1266.114</v>
      </c>
      <c r="U21" s="188" t="s">
        <v>83</v>
      </c>
      <c r="V21" s="189">
        <v>1234.6500000000001</v>
      </c>
      <c r="W21" s="188" t="s">
        <v>83</v>
      </c>
      <c r="X21" s="189">
        <v>1184.452</v>
      </c>
      <c r="Y21" s="188" t="s">
        <v>352</v>
      </c>
      <c r="Z21" s="189">
        <v>1106.079</v>
      </c>
    </row>
    <row r="22" spans="1:26" ht="15" x14ac:dyDescent="0.3">
      <c r="A22" s="179" t="s">
        <v>361</v>
      </c>
      <c r="B22" s="178" t="s">
        <v>83</v>
      </c>
      <c r="C22" s="180" t="s">
        <v>83</v>
      </c>
      <c r="D22" s="181" t="s">
        <v>349</v>
      </c>
      <c r="E22" s="180" t="s">
        <v>83</v>
      </c>
      <c r="F22" s="181" t="s">
        <v>349</v>
      </c>
      <c r="G22" s="180" t="s">
        <v>83</v>
      </c>
      <c r="H22" s="181" t="s">
        <v>349</v>
      </c>
      <c r="I22" s="180" t="s">
        <v>352</v>
      </c>
      <c r="J22" s="181">
        <v>160.24199999999999</v>
      </c>
      <c r="K22" s="180" t="s">
        <v>352</v>
      </c>
      <c r="L22" s="181">
        <v>187.8237</v>
      </c>
      <c r="M22" s="180" t="s">
        <v>83</v>
      </c>
      <c r="N22" s="181">
        <v>186.1739</v>
      </c>
      <c r="O22" s="180" t="s">
        <v>83</v>
      </c>
      <c r="P22" s="181">
        <v>144.76390000000001</v>
      </c>
      <c r="Q22" s="180" t="s">
        <v>83</v>
      </c>
      <c r="R22" s="181">
        <v>136.83539999999999</v>
      </c>
      <c r="S22" s="180" t="s">
        <v>83</v>
      </c>
      <c r="T22" s="181">
        <v>134.9127</v>
      </c>
      <c r="U22" s="180" t="s">
        <v>83</v>
      </c>
      <c r="V22" s="181">
        <v>130.75540000000001</v>
      </c>
      <c r="W22" s="180" t="s">
        <v>83</v>
      </c>
      <c r="X22" s="181">
        <v>124.2336</v>
      </c>
      <c r="Y22" s="180" t="s">
        <v>352</v>
      </c>
      <c r="Z22" s="181">
        <v>99.450199999999995</v>
      </c>
    </row>
    <row r="23" spans="1:26" ht="15" x14ac:dyDescent="0.3">
      <c r="A23" s="179" t="s">
        <v>362</v>
      </c>
      <c r="B23" s="178" t="s">
        <v>83</v>
      </c>
      <c r="C23" s="180" t="s">
        <v>83</v>
      </c>
      <c r="D23" s="181" t="s">
        <v>349</v>
      </c>
      <c r="E23" s="180" t="s">
        <v>83</v>
      </c>
      <c r="F23" s="181" t="s">
        <v>349</v>
      </c>
      <c r="G23" s="180" t="s">
        <v>83</v>
      </c>
      <c r="H23" s="181" t="s">
        <v>349</v>
      </c>
      <c r="I23" s="180" t="s">
        <v>83</v>
      </c>
      <c r="J23" s="181">
        <v>117.5064</v>
      </c>
      <c r="K23" s="180" t="s">
        <v>83</v>
      </c>
      <c r="L23" s="181">
        <v>179.32849999999999</v>
      </c>
      <c r="M23" s="180" t="s">
        <v>83</v>
      </c>
      <c r="N23" s="181">
        <v>98.109499999999997</v>
      </c>
      <c r="O23" s="180" t="s">
        <v>83</v>
      </c>
      <c r="P23" s="181">
        <v>125.262</v>
      </c>
      <c r="Q23" s="180" t="s">
        <v>83</v>
      </c>
      <c r="R23" s="181">
        <v>119.8436</v>
      </c>
      <c r="S23" s="180" t="s">
        <v>83</v>
      </c>
      <c r="T23" s="181">
        <v>133.89340000000001</v>
      </c>
      <c r="U23" s="180" t="s">
        <v>83</v>
      </c>
      <c r="V23" s="181">
        <v>153.16229999999999</v>
      </c>
      <c r="W23" s="180" t="s">
        <v>83</v>
      </c>
      <c r="X23" s="181">
        <v>159.25540000000001</v>
      </c>
      <c r="Y23" s="180" t="s">
        <v>352</v>
      </c>
      <c r="Z23" s="181">
        <v>139.851</v>
      </c>
    </row>
    <row r="24" spans="1:26" ht="15" x14ac:dyDescent="0.3">
      <c r="A24" s="179" t="s">
        <v>363</v>
      </c>
      <c r="B24" s="178" t="s">
        <v>83</v>
      </c>
      <c r="C24" s="180" t="s">
        <v>83</v>
      </c>
      <c r="D24" s="181">
        <v>2.4441000000000002</v>
      </c>
      <c r="E24" s="180" t="s">
        <v>83</v>
      </c>
      <c r="F24" s="181">
        <v>4.0800999999999998</v>
      </c>
      <c r="G24" s="180" t="s">
        <v>83</v>
      </c>
      <c r="H24" s="181">
        <v>3.3834</v>
      </c>
      <c r="I24" s="180" t="s">
        <v>83</v>
      </c>
      <c r="J24" s="181">
        <v>7.6074999999999999</v>
      </c>
      <c r="K24" s="180" t="s">
        <v>83</v>
      </c>
      <c r="L24" s="181">
        <v>12.888500000000001</v>
      </c>
      <c r="M24" s="180" t="s">
        <v>83</v>
      </c>
      <c r="N24" s="181">
        <v>10.1965</v>
      </c>
      <c r="O24" s="180" t="s">
        <v>83</v>
      </c>
      <c r="P24" s="181">
        <v>7.2572999999999999</v>
      </c>
      <c r="Q24" s="180" t="s">
        <v>83</v>
      </c>
      <c r="R24" s="181">
        <v>9.8313000000000006</v>
      </c>
      <c r="S24" s="180" t="s">
        <v>83</v>
      </c>
      <c r="T24" s="181">
        <v>7.8825000000000003</v>
      </c>
      <c r="U24" s="180" t="s">
        <v>83</v>
      </c>
      <c r="V24" s="181">
        <v>8.3745999999999992</v>
      </c>
      <c r="W24" s="180" t="s">
        <v>83</v>
      </c>
      <c r="X24" s="181">
        <v>6.8082000000000003</v>
      </c>
      <c r="Y24" s="180" t="s">
        <v>83</v>
      </c>
      <c r="Z24" s="181">
        <v>5.1460999999999997</v>
      </c>
    </row>
    <row r="25" spans="1:26" ht="15" x14ac:dyDescent="0.3">
      <c r="A25" s="179" t="s">
        <v>364</v>
      </c>
      <c r="B25" s="178" t="s">
        <v>83</v>
      </c>
      <c r="C25" s="180" t="s">
        <v>83</v>
      </c>
      <c r="D25" s="181" t="s">
        <v>349</v>
      </c>
      <c r="E25" s="180" t="s">
        <v>83</v>
      </c>
      <c r="F25" s="181" t="s">
        <v>349</v>
      </c>
      <c r="G25" s="180" t="s">
        <v>83</v>
      </c>
      <c r="H25" s="181" t="s">
        <v>349</v>
      </c>
      <c r="I25" s="180" t="s">
        <v>83</v>
      </c>
      <c r="J25" s="181">
        <v>126.9019</v>
      </c>
      <c r="K25" s="180" t="s">
        <v>83</v>
      </c>
      <c r="L25" s="181">
        <v>161.59729999999999</v>
      </c>
      <c r="M25" s="180" t="s">
        <v>83</v>
      </c>
      <c r="N25" s="181">
        <v>103.0895</v>
      </c>
      <c r="O25" s="180" t="s">
        <v>83</v>
      </c>
      <c r="P25" s="181">
        <v>95.39</v>
      </c>
      <c r="Q25" s="180" t="s">
        <v>83</v>
      </c>
      <c r="R25" s="181">
        <v>102.3348</v>
      </c>
      <c r="S25" s="180" t="s">
        <v>83</v>
      </c>
      <c r="T25" s="181">
        <v>109.26860000000001</v>
      </c>
      <c r="U25" s="180" t="s">
        <v>83</v>
      </c>
      <c r="V25" s="181">
        <v>116.989</v>
      </c>
      <c r="W25" s="180" t="s">
        <v>83</v>
      </c>
      <c r="X25" s="181">
        <v>120.4314</v>
      </c>
      <c r="Y25" s="180" t="s">
        <v>83</v>
      </c>
      <c r="Z25" s="181">
        <v>110.5284</v>
      </c>
    </row>
    <row r="26" spans="1:26" ht="15" x14ac:dyDescent="0.3">
      <c r="A26" s="182" t="s">
        <v>365</v>
      </c>
      <c r="B26" s="178" t="s">
        <v>83</v>
      </c>
      <c r="C26" s="180" t="s">
        <v>83</v>
      </c>
      <c r="D26" s="181">
        <v>24.032399999999999</v>
      </c>
      <c r="E26" s="180" t="s">
        <v>83</v>
      </c>
      <c r="F26" s="181">
        <v>73.173100000000005</v>
      </c>
      <c r="G26" s="180" t="s">
        <v>83</v>
      </c>
      <c r="H26" s="181">
        <v>109.0438</v>
      </c>
      <c r="I26" s="180" t="s">
        <v>83</v>
      </c>
      <c r="J26" s="181">
        <v>91.406000000000006</v>
      </c>
      <c r="K26" s="180" t="s">
        <v>83</v>
      </c>
      <c r="L26" s="181">
        <v>97.186499999999995</v>
      </c>
      <c r="M26" s="180" t="s">
        <v>83</v>
      </c>
      <c r="N26" s="181">
        <v>106.1571</v>
      </c>
      <c r="O26" s="180" t="s">
        <v>83</v>
      </c>
      <c r="P26" s="181">
        <v>169.57239999999999</v>
      </c>
      <c r="Q26" s="180" t="s">
        <v>83</v>
      </c>
      <c r="R26" s="181">
        <v>122.1284</v>
      </c>
      <c r="S26" s="180" t="s">
        <v>83</v>
      </c>
      <c r="T26" s="181">
        <v>186.72669999999999</v>
      </c>
      <c r="U26" s="180" t="s">
        <v>83</v>
      </c>
      <c r="V26" s="181">
        <v>186.94460000000001</v>
      </c>
      <c r="W26" s="180" t="s">
        <v>83</v>
      </c>
      <c r="X26" s="181">
        <v>193.26419999999999</v>
      </c>
      <c r="Y26" s="180" t="s">
        <v>83</v>
      </c>
      <c r="Z26" s="181" t="s">
        <v>349</v>
      </c>
    </row>
    <row r="27" spans="1:26" ht="15" x14ac:dyDescent="0.3">
      <c r="A27" s="179" t="s">
        <v>329</v>
      </c>
      <c r="B27" s="178" t="s">
        <v>83</v>
      </c>
      <c r="C27" s="180" t="s">
        <v>83</v>
      </c>
      <c r="D27" s="181" t="s">
        <v>349</v>
      </c>
      <c r="E27" s="180" t="s">
        <v>83</v>
      </c>
      <c r="F27" s="181" t="s">
        <v>349</v>
      </c>
      <c r="G27" s="180" t="s">
        <v>83</v>
      </c>
      <c r="H27" s="181" t="s">
        <v>349</v>
      </c>
      <c r="I27" s="180" t="s">
        <v>83</v>
      </c>
      <c r="J27" s="181">
        <v>758.04060000000004</v>
      </c>
      <c r="K27" s="180" t="s">
        <v>83</v>
      </c>
      <c r="L27" s="181">
        <v>834.84720000000004</v>
      </c>
      <c r="M27" s="180" t="s">
        <v>83</v>
      </c>
      <c r="N27" s="181">
        <v>687.25919999999996</v>
      </c>
      <c r="O27" s="180" t="s">
        <v>83</v>
      </c>
      <c r="P27" s="181">
        <v>486.45370000000003</v>
      </c>
      <c r="Q27" s="180" t="s">
        <v>83</v>
      </c>
      <c r="R27" s="181">
        <v>487.85219999999998</v>
      </c>
      <c r="S27" s="180" t="s">
        <v>83</v>
      </c>
      <c r="T27" s="181">
        <v>485.32369999999997</v>
      </c>
      <c r="U27" s="180" t="s">
        <v>83</v>
      </c>
      <c r="V27" s="181">
        <v>490.911</v>
      </c>
      <c r="W27" s="180" t="s">
        <v>83</v>
      </c>
      <c r="X27" s="181">
        <v>502.75020000000001</v>
      </c>
      <c r="Y27" s="180" t="s">
        <v>352</v>
      </c>
      <c r="Z27" s="181">
        <v>462.95949999999999</v>
      </c>
    </row>
    <row r="28" spans="1:26" s="190" customFormat="1" ht="15" x14ac:dyDescent="0.3">
      <c r="A28" s="187" t="s">
        <v>332</v>
      </c>
      <c r="B28" s="178" t="s">
        <v>83</v>
      </c>
      <c r="C28" s="188" t="s">
        <v>83</v>
      </c>
      <c r="D28" s="189">
        <v>954.96100000000001</v>
      </c>
      <c r="E28" s="188" t="s">
        <v>83</v>
      </c>
      <c r="F28" s="189">
        <v>1508.279</v>
      </c>
      <c r="G28" s="188" t="s">
        <v>83</v>
      </c>
      <c r="H28" s="189">
        <v>1735.694</v>
      </c>
      <c r="I28" s="188" t="s">
        <v>83</v>
      </c>
      <c r="J28" s="189">
        <v>1684.768</v>
      </c>
      <c r="K28" s="188" t="s">
        <v>83</v>
      </c>
      <c r="L28" s="189">
        <v>1581.3489999999999</v>
      </c>
      <c r="M28" s="188" t="s">
        <v>83</v>
      </c>
      <c r="N28" s="189">
        <v>1399.048</v>
      </c>
      <c r="O28" s="188" t="s">
        <v>83</v>
      </c>
      <c r="P28" s="189">
        <v>1430.9559999999999</v>
      </c>
      <c r="Q28" s="188" t="s">
        <v>83</v>
      </c>
      <c r="R28" s="189">
        <v>1414.117</v>
      </c>
      <c r="S28" s="188" t="s">
        <v>83</v>
      </c>
      <c r="T28" s="189">
        <v>1404.3209999999999</v>
      </c>
      <c r="U28" s="188" t="s">
        <v>83</v>
      </c>
      <c r="V28" s="189">
        <v>1383.6759999999999</v>
      </c>
      <c r="W28" s="188" t="s">
        <v>83</v>
      </c>
      <c r="X28" s="189">
        <v>1388.8579999999999</v>
      </c>
      <c r="Y28" s="188" t="s">
        <v>83</v>
      </c>
      <c r="Z28" s="189" t="s">
        <v>349</v>
      </c>
    </row>
    <row r="29" spans="1:26" ht="15" x14ac:dyDescent="0.3">
      <c r="A29" s="179" t="s">
        <v>366</v>
      </c>
      <c r="B29" s="178" t="s">
        <v>83</v>
      </c>
      <c r="C29" s="180" t="s">
        <v>83</v>
      </c>
      <c r="D29" s="181">
        <v>113.08929999999999</v>
      </c>
      <c r="E29" s="180" t="s">
        <v>83</v>
      </c>
      <c r="F29" s="181">
        <v>207.4007</v>
      </c>
      <c r="G29" s="180" t="s">
        <v>83</v>
      </c>
      <c r="H29" s="181">
        <v>487.22919999999999</v>
      </c>
      <c r="I29" s="180" t="s">
        <v>83</v>
      </c>
      <c r="J29" s="181">
        <v>787.18389999999999</v>
      </c>
      <c r="K29" s="180" t="s">
        <v>83</v>
      </c>
      <c r="L29" s="181">
        <v>793.8519</v>
      </c>
      <c r="M29" s="180" t="s">
        <v>83</v>
      </c>
      <c r="N29" s="181">
        <v>842.63070000000005</v>
      </c>
      <c r="O29" s="180" t="s">
        <v>83</v>
      </c>
      <c r="P29" s="181">
        <v>963.94069999999999</v>
      </c>
      <c r="Q29" s="180" t="s">
        <v>83</v>
      </c>
      <c r="R29" s="181">
        <v>1006.8049999999999</v>
      </c>
      <c r="S29" s="180" t="s">
        <v>83</v>
      </c>
      <c r="T29" s="181">
        <v>1036.1679999999999</v>
      </c>
      <c r="U29" s="180" t="s">
        <v>83</v>
      </c>
      <c r="V29" s="181">
        <v>1031.1849999999999</v>
      </c>
      <c r="W29" s="180" t="s">
        <v>83</v>
      </c>
      <c r="X29" s="181">
        <v>1020.561</v>
      </c>
      <c r="Y29" s="180" t="s">
        <v>83</v>
      </c>
      <c r="Z29" s="181" t="s">
        <v>349</v>
      </c>
    </row>
    <row r="30" spans="1:26" ht="15" x14ac:dyDescent="0.3">
      <c r="A30" s="179" t="s">
        <v>367</v>
      </c>
      <c r="B30" s="178" t="s">
        <v>83</v>
      </c>
      <c r="C30" s="180" t="s">
        <v>83</v>
      </c>
      <c r="D30" s="181" t="s">
        <v>349</v>
      </c>
      <c r="E30" s="180" t="s">
        <v>83</v>
      </c>
      <c r="F30" s="181" t="s">
        <v>349</v>
      </c>
      <c r="G30" s="180" t="s">
        <v>83</v>
      </c>
      <c r="H30" s="181" t="s">
        <v>349</v>
      </c>
      <c r="I30" s="180" t="s">
        <v>83</v>
      </c>
      <c r="J30" s="181">
        <v>15.1835</v>
      </c>
      <c r="K30" s="180" t="s">
        <v>83</v>
      </c>
      <c r="L30" s="181">
        <v>25.1145</v>
      </c>
      <c r="M30" s="180" t="s">
        <v>83</v>
      </c>
      <c r="N30" s="181">
        <v>20.258900000000001</v>
      </c>
      <c r="O30" s="180" t="s">
        <v>83</v>
      </c>
      <c r="P30" s="181">
        <v>25.6281</v>
      </c>
      <c r="Q30" s="180" t="s">
        <v>83</v>
      </c>
      <c r="R30" s="181">
        <v>22.8706</v>
      </c>
      <c r="S30" s="180" t="s">
        <v>83</v>
      </c>
      <c r="T30" s="181">
        <v>25.9833</v>
      </c>
      <c r="U30" s="180" t="s">
        <v>83</v>
      </c>
      <c r="V30" s="181">
        <v>28.179400000000001</v>
      </c>
      <c r="W30" s="180" t="s">
        <v>83</v>
      </c>
      <c r="X30" s="181">
        <v>28.323699999999999</v>
      </c>
      <c r="Y30" s="180" t="s">
        <v>83</v>
      </c>
      <c r="Z30" s="181">
        <v>28.231000000000002</v>
      </c>
    </row>
    <row r="31" spans="1:26" ht="15" x14ac:dyDescent="0.3">
      <c r="A31" s="179" t="s">
        <v>368</v>
      </c>
      <c r="B31" s="178" t="s">
        <v>83</v>
      </c>
      <c r="C31" s="180" t="s">
        <v>83</v>
      </c>
      <c r="D31" s="181" t="s">
        <v>349</v>
      </c>
      <c r="E31" s="180" t="s">
        <v>83</v>
      </c>
      <c r="F31" s="181" t="s">
        <v>349</v>
      </c>
      <c r="G31" s="180" t="s">
        <v>83</v>
      </c>
      <c r="H31" s="181" t="s">
        <v>349</v>
      </c>
      <c r="I31" s="180" t="s">
        <v>83</v>
      </c>
      <c r="J31" s="181">
        <v>28.941400000000002</v>
      </c>
      <c r="K31" s="180" t="s">
        <v>83</v>
      </c>
      <c r="L31" s="181">
        <v>40.691200000000002</v>
      </c>
      <c r="M31" s="180" t="s">
        <v>83</v>
      </c>
      <c r="N31" s="181">
        <v>38.698500000000003</v>
      </c>
      <c r="O31" s="180" t="s">
        <v>83</v>
      </c>
      <c r="P31" s="181">
        <v>44.344200000000001</v>
      </c>
      <c r="Q31" s="180" t="s">
        <v>83</v>
      </c>
      <c r="R31" s="181">
        <v>45.937600000000003</v>
      </c>
      <c r="S31" s="180" t="s">
        <v>83</v>
      </c>
      <c r="T31" s="181">
        <v>51.455300000000001</v>
      </c>
      <c r="U31" s="180" t="s">
        <v>83</v>
      </c>
      <c r="V31" s="181">
        <v>50.653500000000001</v>
      </c>
      <c r="W31" s="180" t="s">
        <v>83</v>
      </c>
      <c r="X31" s="181">
        <v>54.092700000000001</v>
      </c>
      <c r="Y31" s="180" t="s">
        <v>83</v>
      </c>
      <c r="Z31" s="181">
        <v>57.0595</v>
      </c>
    </row>
    <row r="32" spans="1:26" ht="15" x14ac:dyDescent="0.3">
      <c r="A32" s="179" t="s">
        <v>369</v>
      </c>
      <c r="B32" s="178" t="s">
        <v>83</v>
      </c>
      <c r="C32" s="180" t="s">
        <v>83</v>
      </c>
      <c r="D32" s="181" t="s">
        <v>349</v>
      </c>
      <c r="E32" s="180" t="s">
        <v>83</v>
      </c>
      <c r="F32" s="181" t="s">
        <v>349</v>
      </c>
      <c r="G32" s="180" t="s">
        <v>83</v>
      </c>
      <c r="H32" s="181" t="s">
        <v>349</v>
      </c>
      <c r="I32" s="180" t="s">
        <v>83</v>
      </c>
      <c r="J32" s="181">
        <v>11.4846</v>
      </c>
      <c r="K32" s="180" t="s">
        <v>83</v>
      </c>
      <c r="L32" s="181">
        <v>11.810600000000001</v>
      </c>
      <c r="M32" s="180" t="s">
        <v>83</v>
      </c>
      <c r="N32" s="181">
        <v>11.3009</v>
      </c>
      <c r="O32" s="180" t="s">
        <v>83</v>
      </c>
      <c r="P32" s="181">
        <v>13.4251</v>
      </c>
      <c r="Q32" s="180" t="s">
        <v>83</v>
      </c>
      <c r="R32" s="181">
        <v>13.5702</v>
      </c>
      <c r="S32" s="180" t="s">
        <v>83</v>
      </c>
      <c r="T32" s="181">
        <v>14.3468</v>
      </c>
      <c r="U32" s="180" t="s">
        <v>83</v>
      </c>
      <c r="V32" s="181">
        <v>13.3795</v>
      </c>
      <c r="W32" s="180" t="s">
        <v>83</v>
      </c>
      <c r="X32" s="181">
        <v>13.7827</v>
      </c>
      <c r="Y32" s="180" t="s">
        <v>83</v>
      </c>
      <c r="Z32" s="181">
        <v>13.2018</v>
      </c>
    </row>
    <row r="33" spans="1:26" ht="15" x14ac:dyDescent="0.3">
      <c r="A33" s="179" t="s">
        <v>370</v>
      </c>
      <c r="B33" s="178" t="s">
        <v>83</v>
      </c>
      <c r="C33" s="180" t="s">
        <v>83</v>
      </c>
      <c r="D33" s="181">
        <v>382.07319999999999</v>
      </c>
      <c r="E33" s="180" t="s">
        <v>83</v>
      </c>
      <c r="F33" s="181">
        <v>602.81809999999996</v>
      </c>
      <c r="G33" s="180" t="s">
        <v>83</v>
      </c>
      <c r="H33" s="181">
        <v>768.24279999999999</v>
      </c>
      <c r="I33" s="180" t="s">
        <v>83</v>
      </c>
      <c r="J33" s="181">
        <v>964.75310000000002</v>
      </c>
      <c r="K33" s="180" t="s">
        <v>83</v>
      </c>
      <c r="L33" s="181">
        <v>1095.29</v>
      </c>
      <c r="M33" s="180" t="s">
        <v>83</v>
      </c>
      <c r="N33" s="181">
        <v>1133.297</v>
      </c>
      <c r="O33" s="180" t="s">
        <v>83</v>
      </c>
      <c r="P33" s="181">
        <v>1333.085</v>
      </c>
      <c r="Q33" s="180" t="s">
        <v>83</v>
      </c>
      <c r="R33" s="181">
        <v>1385.7380000000001</v>
      </c>
      <c r="S33" s="180" t="s">
        <v>83</v>
      </c>
      <c r="T33" s="181">
        <v>1341.3820000000001</v>
      </c>
      <c r="U33" s="180" t="s">
        <v>83</v>
      </c>
      <c r="V33" s="181">
        <v>1403.94</v>
      </c>
      <c r="W33" s="180" t="s">
        <v>83</v>
      </c>
      <c r="X33" s="181">
        <v>1423.942</v>
      </c>
      <c r="Y33" s="180" t="s">
        <v>83</v>
      </c>
      <c r="Z33" s="181" t="s">
        <v>349</v>
      </c>
    </row>
    <row r="34" spans="1:26" ht="15" x14ac:dyDescent="0.3">
      <c r="A34" s="179" t="s">
        <v>330</v>
      </c>
      <c r="B34" s="178" t="s">
        <v>83</v>
      </c>
      <c r="C34" s="180" t="s">
        <v>83</v>
      </c>
      <c r="D34" s="181" t="s">
        <v>349</v>
      </c>
      <c r="E34" s="180" t="s">
        <v>83</v>
      </c>
      <c r="F34" s="181" t="s">
        <v>349</v>
      </c>
      <c r="G34" s="180" t="s">
        <v>83</v>
      </c>
      <c r="H34" s="181" t="s">
        <v>349</v>
      </c>
      <c r="I34" s="180" t="s">
        <v>83</v>
      </c>
      <c r="J34" s="181">
        <v>200.59569999999999</v>
      </c>
      <c r="K34" s="180" t="s">
        <v>83</v>
      </c>
      <c r="L34" s="181">
        <v>182.8348</v>
      </c>
      <c r="M34" s="180" t="s">
        <v>83</v>
      </c>
      <c r="N34" s="181">
        <v>191.9641</v>
      </c>
      <c r="O34" s="180" t="s">
        <v>83</v>
      </c>
      <c r="P34" s="181">
        <v>187.0993</v>
      </c>
      <c r="Q34" s="180" t="s">
        <v>83</v>
      </c>
      <c r="R34" s="181">
        <v>168.5607</v>
      </c>
      <c r="S34" s="180" t="s">
        <v>83</v>
      </c>
      <c r="T34" s="181">
        <v>155.8931</v>
      </c>
      <c r="U34" s="180" t="s">
        <v>83</v>
      </c>
      <c r="V34" s="181">
        <v>160.53190000000001</v>
      </c>
      <c r="W34" s="180" t="s">
        <v>352</v>
      </c>
      <c r="X34" s="181">
        <v>149.9051</v>
      </c>
      <c r="Y34" s="180" t="s">
        <v>352</v>
      </c>
      <c r="Z34" s="181">
        <v>139.42920000000001</v>
      </c>
    </row>
    <row r="35" spans="1:26" ht="15" x14ac:dyDescent="0.3">
      <c r="A35" s="179" t="s">
        <v>371</v>
      </c>
      <c r="B35" s="178" t="s">
        <v>83</v>
      </c>
      <c r="C35" s="180" t="s">
        <v>83</v>
      </c>
      <c r="D35" s="181">
        <v>132.13669999999999</v>
      </c>
      <c r="E35" s="180" t="s">
        <v>83</v>
      </c>
      <c r="F35" s="181">
        <v>127.08199999999999</v>
      </c>
      <c r="G35" s="180" t="s">
        <v>83</v>
      </c>
      <c r="H35" s="181">
        <v>123.61879999999999</v>
      </c>
      <c r="I35" s="180" t="s">
        <v>83</v>
      </c>
      <c r="J35" s="181">
        <v>141.82820000000001</v>
      </c>
      <c r="K35" s="180" t="s">
        <v>83</v>
      </c>
      <c r="L35" s="181">
        <v>153.87280000000001</v>
      </c>
      <c r="M35" s="180" t="s">
        <v>83</v>
      </c>
      <c r="N35" s="181">
        <v>138.0685</v>
      </c>
      <c r="O35" s="180" t="s">
        <v>83</v>
      </c>
      <c r="P35" s="181">
        <v>148.39060000000001</v>
      </c>
      <c r="Q35" s="180" t="s">
        <v>83</v>
      </c>
      <c r="R35" s="181">
        <v>147.55969999999999</v>
      </c>
      <c r="S35" s="180" t="s">
        <v>83</v>
      </c>
      <c r="T35" s="181">
        <v>145.40129999999999</v>
      </c>
      <c r="U35" s="180" t="s">
        <v>83</v>
      </c>
      <c r="V35" s="181">
        <v>147.71350000000001</v>
      </c>
      <c r="W35" s="180" t="s">
        <v>83</v>
      </c>
      <c r="X35" s="181">
        <v>147.19919999999999</v>
      </c>
      <c r="Y35" s="180" t="s">
        <v>83</v>
      </c>
      <c r="Z35" s="181" t="s">
        <v>349</v>
      </c>
    </row>
    <row r="36" spans="1:26" ht="15" x14ac:dyDescent="0.3">
      <c r="A36" s="179" t="s">
        <v>372</v>
      </c>
      <c r="B36" s="178" t="s">
        <v>83</v>
      </c>
      <c r="C36" s="180" t="s">
        <v>83</v>
      </c>
      <c r="D36" s="181" t="s">
        <v>349</v>
      </c>
      <c r="E36" s="180" t="s">
        <v>83</v>
      </c>
      <c r="F36" s="181" t="s">
        <v>349</v>
      </c>
      <c r="G36" s="180" t="s">
        <v>83</v>
      </c>
      <c r="H36" s="181" t="s">
        <v>349</v>
      </c>
      <c r="I36" s="180" t="s">
        <v>83</v>
      </c>
      <c r="J36" s="181" t="s">
        <v>349</v>
      </c>
      <c r="K36" s="180" t="s">
        <v>83</v>
      </c>
      <c r="L36" s="181" t="s">
        <v>349</v>
      </c>
      <c r="M36" s="180" t="s">
        <v>83</v>
      </c>
      <c r="N36" s="181">
        <v>129.3235</v>
      </c>
      <c r="O36" s="180" t="s">
        <v>83</v>
      </c>
      <c r="P36" s="181">
        <v>158.30420000000001</v>
      </c>
      <c r="Q36" s="180" t="s">
        <v>83</v>
      </c>
      <c r="R36" s="181">
        <v>130.79830000000001</v>
      </c>
      <c r="S36" s="180" t="s">
        <v>83</v>
      </c>
      <c r="T36" s="181">
        <v>129.63220000000001</v>
      </c>
      <c r="U36" s="180" t="s">
        <v>83</v>
      </c>
      <c r="V36" s="181">
        <v>142.75739999999999</v>
      </c>
      <c r="W36" s="180" t="s">
        <v>83</v>
      </c>
      <c r="X36" s="181">
        <v>167.13650000000001</v>
      </c>
      <c r="Y36" s="180" t="s">
        <v>83</v>
      </c>
      <c r="Z36" s="181" t="s">
        <v>349</v>
      </c>
    </row>
    <row r="37" spans="1:26" ht="15" x14ac:dyDescent="0.3">
      <c r="A37" s="179" t="s">
        <v>373</v>
      </c>
      <c r="B37" s="178" t="s">
        <v>83</v>
      </c>
      <c r="C37" s="180" t="s">
        <v>83</v>
      </c>
      <c r="D37" s="181" t="s">
        <v>349</v>
      </c>
      <c r="E37" s="180" t="s">
        <v>83</v>
      </c>
      <c r="F37" s="181" t="s">
        <v>349</v>
      </c>
      <c r="G37" s="180" t="s">
        <v>83</v>
      </c>
      <c r="H37" s="181" t="s">
        <v>349</v>
      </c>
      <c r="I37" s="180" t="s">
        <v>83</v>
      </c>
      <c r="J37" s="181">
        <v>523.00519999999995</v>
      </c>
      <c r="K37" s="180" t="s">
        <v>83</v>
      </c>
      <c r="L37" s="181">
        <v>531.226</v>
      </c>
      <c r="M37" s="180" t="s">
        <v>83</v>
      </c>
      <c r="N37" s="181">
        <v>622.68809999999996</v>
      </c>
      <c r="O37" s="180" t="s">
        <v>83</v>
      </c>
      <c r="P37" s="181">
        <v>623.44299999999998</v>
      </c>
      <c r="Q37" s="180" t="s">
        <v>83</v>
      </c>
      <c r="R37" s="181">
        <v>643.61800000000005</v>
      </c>
      <c r="S37" s="180" t="s">
        <v>83</v>
      </c>
      <c r="T37" s="181">
        <v>682.69200000000001</v>
      </c>
      <c r="U37" s="180" t="s">
        <v>83</v>
      </c>
      <c r="V37" s="181">
        <v>708.77080000000001</v>
      </c>
      <c r="W37" s="180" t="s">
        <v>83</v>
      </c>
      <c r="X37" s="181">
        <v>676.86519999999996</v>
      </c>
      <c r="Y37" s="180" t="s">
        <v>83</v>
      </c>
      <c r="Z37" s="181">
        <v>650.12130000000002</v>
      </c>
    </row>
    <row r="38" spans="1:26" ht="15" x14ac:dyDescent="0.3">
      <c r="A38" s="179" t="s">
        <v>374</v>
      </c>
      <c r="B38" s="178" t="s">
        <v>83</v>
      </c>
      <c r="C38" s="180" t="s">
        <v>83</v>
      </c>
      <c r="D38" s="181" t="s">
        <v>349</v>
      </c>
      <c r="E38" s="180" t="s">
        <v>83</v>
      </c>
      <c r="F38" s="181" t="s">
        <v>349</v>
      </c>
      <c r="G38" s="180" t="s">
        <v>83</v>
      </c>
      <c r="H38" s="181" t="s">
        <v>349</v>
      </c>
      <c r="I38" s="180" t="s">
        <v>83</v>
      </c>
      <c r="J38" s="181">
        <v>201.52520000000001</v>
      </c>
      <c r="K38" s="180" t="s">
        <v>83</v>
      </c>
      <c r="L38" s="181">
        <v>195.404</v>
      </c>
      <c r="M38" s="180" t="s">
        <v>83</v>
      </c>
      <c r="N38" s="181">
        <v>201.85390000000001</v>
      </c>
      <c r="O38" s="180" t="s">
        <v>83</v>
      </c>
      <c r="P38" s="181">
        <v>159.41929999999999</v>
      </c>
      <c r="Q38" s="180" t="s">
        <v>83</v>
      </c>
      <c r="R38" s="181">
        <v>152.57390000000001</v>
      </c>
      <c r="S38" s="180" t="s">
        <v>83</v>
      </c>
      <c r="T38" s="181">
        <v>167.17570000000001</v>
      </c>
      <c r="U38" s="180" t="s">
        <v>83</v>
      </c>
      <c r="V38" s="181">
        <v>166.1943</v>
      </c>
      <c r="W38" s="180" t="s">
        <v>83</v>
      </c>
      <c r="X38" s="181">
        <v>167.99</v>
      </c>
      <c r="Y38" s="180" t="s">
        <v>83</v>
      </c>
      <c r="Z38" s="181">
        <v>165.1506</v>
      </c>
    </row>
    <row r="39" spans="1:26" ht="15" x14ac:dyDescent="0.3">
      <c r="A39" s="179" t="s">
        <v>375</v>
      </c>
      <c r="B39" s="178" t="s">
        <v>83</v>
      </c>
      <c r="C39" s="180" t="s">
        <v>83</v>
      </c>
      <c r="D39" s="181" t="s">
        <v>349</v>
      </c>
      <c r="E39" s="180" t="s">
        <v>83</v>
      </c>
      <c r="F39" s="181" t="s">
        <v>349</v>
      </c>
      <c r="G39" s="180" t="s">
        <v>83</v>
      </c>
      <c r="H39" s="181" t="s">
        <v>349</v>
      </c>
      <c r="I39" s="180" t="s">
        <v>83</v>
      </c>
      <c r="J39" s="181">
        <v>54.362499999999997</v>
      </c>
      <c r="K39" s="180" t="s">
        <v>83</v>
      </c>
      <c r="L39" s="181">
        <v>74.536299999999997</v>
      </c>
      <c r="M39" s="180" t="s">
        <v>83</v>
      </c>
      <c r="N39" s="181">
        <v>71.252499999999998</v>
      </c>
      <c r="O39" s="180" t="s">
        <v>83</v>
      </c>
      <c r="P39" s="181">
        <v>67.013000000000005</v>
      </c>
      <c r="Q39" s="180" t="s">
        <v>83</v>
      </c>
      <c r="R39" s="181">
        <v>66.187200000000004</v>
      </c>
      <c r="S39" s="180" t="s">
        <v>83</v>
      </c>
      <c r="T39" s="181">
        <v>68.385599999999997</v>
      </c>
      <c r="U39" s="180" t="s">
        <v>83</v>
      </c>
      <c r="V39" s="181">
        <v>72.380700000000004</v>
      </c>
      <c r="W39" s="180" t="s">
        <v>83</v>
      </c>
      <c r="X39" s="181">
        <v>65.742500000000007</v>
      </c>
      <c r="Y39" s="180" t="s">
        <v>83</v>
      </c>
      <c r="Z39" s="181">
        <v>63.534399999999998</v>
      </c>
    </row>
    <row r="40" spans="1:26" ht="15" x14ac:dyDescent="0.3">
      <c r="A40" s="179" t="s">
        <v>376</v>
      </c>
      <c r="B40" s="178" t="s">
        <v>83</v>
      </c>
      <c r="C40" s="180" t="s">
        <v>83</v>
      </c>
      <c r="D40" s="181" t="s">
        <v>349</v>
      </c>
      <c r="E40" s="180" t="s">
        <v>83</v>
      </c>
      <c r="F40" s="181" t="s">
        <v>349</v>
      </c>
      <c r="G40" s="180" t="s">
        <v>83</v>
      </c>
      <c r="H40" s="181" t="s">
        <v>349</v>
      </c>
      <c r="I40" s="180" t="s">
        <v>83</v>
      </c>
      <c r="J40" s="181">
        <v>34.327300000000001</v>
      </c>
      <c r="K40" s="180" t="s">
        <v>83</v>
      </c>
      <c r="L40" s="181">
        <v>37.069099999999999</v>
      </c>
      <c r="M40" s="180" t="s">
        <v>83</v>
      </c>
      <c r="N40" s="181">
        <v>32.979500000000002</v>
      </c>
      <c r="O40" s="180" t="s">
        <v>83</v>
      </c>
      <c r="P40" s="181">
        <v>27.7196</v>
      </c>
      <c r="Q40" s="180" t="s">
        <v>83</v>
      </c>
      <c r="R40" s="181">
        <v>26.791799999999999</v>
      </c>
      <c r="S40" s="180" t="s">
        <v>83</v>
      </c>
      <c r="T40" s="181">
        <v>27.3627</v>
      </c>
      <c r="U40" s="180" t="s">
        <v>83</v>
      </c>
      <c r="V40" s="181">
        <v>30.068000000000001</v>
      </c>
      <c r="W40" s="180" t="s">
        <v>83</v>
      </c>
      <c r="X40" s="181">
        <v>28.49</v>
      </c>
      <c r="Y40" s="180" t="s">
        <v>83</v>
      </c>
      <c r="Z40" s="181">
        <v>27.707899999999999</v>
      </c>
    </row>
    <row r="41" spans="1:26" s="190" customFormat="1" ht="15" x14ac:dyDescent="0.3">
      <c r="A41" s="187" t="s">
        <v>27</v>
      </c>
      <c r="B41" s="178" t="s">
        <v>83</v>
      </c>
      <c r="C41" s="188" t="s">
        <v>83</v>
      </c>
      <c r="D41" s="189" t="s">
        <v>349</v>
      </c>
      <c r="E41" s="188" t="s">
        <v>83</v>
      </c>
      <c r="F41" s="189" t="s">
        <v>349</v>
      </c>
      <c r="G41" s="188" t="s">
        <v>83</v>
      </c>
      <c r="H41" s="189" t="s">
        <v>349</v>
      </c>
      <c r="I41" s="188" t="s">
        <v>83</v>
      </c>
      <c r="J41" s="189">
        <v>692.71579999999994</v>
      </c>
      <c r="K41" s="188" t="s">
        <v>83</v>
      </c>
      <c r="L41" s="189">
        <v>871.00130000000001</v>
      </c>
      <c r="M41" s="188" t="s">
        <v>83</v>
      </c>
      <c r="N41" s="189">
        <v>589.93730000000005</v>
      </c>
      <c r="O41" s="188" t="s">
        <v>83</v>
      </c>
      <c r="P41" s="189">
        <v>411.52879999999999</v>
      </c>
      <c r="Q41" s="188" t="s">
        <v>83</v>
      </c>
      <c r="R41" s="189">
        <v>403.8999</v>
      </c>
      <c r="S41" s="188" t="s">
        <v>83</v>
      </c>
      <c r="T41" s="189">
        <v>411.51240000000001</v>
      </c>
      <c r="U41" s="188" t="s">
        <v>83</v>
      </c>
      <c r="V41" s="189">
        <v>447.96280000000002</v>
      </c>
      <c r="W41" s="188" t="s">
        <v>83</v>
      </c>
      <c r="X41" s="189">
        <v>444.3134</v>
      </c>
      <c r="Y41" s="188" t="s">
        <v>352</v>
      </c>
      <c r="Z41" s="189">
        <v>433.45519999999999</v>
      </c>
    </row>
    <row r="42" spans="1:26" ht="15" x14ac:dyDescent="0.3">
      <c r="A42" s="179" t="s">
        <v>377</v>
      </c>
      <c r="B42" s="178" t="s">
        <v>83</v>
      </c>
      <c r="C42" s="180" t="s">
        <v>83</v>
      </c>
      <c r="D42" s="181" t="s">
        <v>349</v>
      </c>
      <c r="E42" s="180" t="s">
        <v>83</v>
      </c>
      <c r="F42" s="181" t="s">
        <v>349</v>
      </c>
      <c r="G42" s="180" t="s">
        <v>83</v>
      </c>
      <c r="H42" s="181" t="s">
        <v>349</v>
      </c>
      <c r="I42" s="180" t="s">
        <v>83</v>
      </c>
      <c r="J42" s="181">
        <v>178.9247</v>
      </c>
      <c r="K42" s="180" t="s">
        <v>83</v>
      </c>
      <c r="L42" s="181">
        <v>202.50970000000001</v>
      </c>
      <c r="M42" s="180" t="s">
        <v>83</v>
      </c>
      <c r="N42" s="181">
        <v>204.00489999999999</v>
      </c>
      <c r="O42" s="180" t="s">
        <v>83</v>
      </c>
      <c r="P42" s="181">
        <v>221.8064</v>
      </c>
      <c r="Q42" s="180" t="s">
        <v>83</v>
      </c>
      <c r="R42" s="181">
        <v>226.60919999999999</v>
      </c>
      <c r="S42" s="180" t="s">
        <v>83</v>
      </c>
      <c r="T42" s="181">
        <v>238.58199999999999</v>
      </c>
      <c r="U42" s="180" t="s">
        <v>83</v>
      </c>
      <c r="V42" s="181">
        <v>246.1618</v>
      </c>
      <c r="W42" s="180" t="s">
        <v>83</v>
      </c>
      <c r="X42" s="181">
        <v>258.601</v>
      </c>
      <c r="Y42" s="180" t="s">
        <v>83</v>
      </c>
      <c r="Z42" s="181">
        <v>250.2397</v>
      </c>
    </row>
    <row r="43" spans="1:26" ht="15" x14ac:dyDescent="0.3">
      <c r="A43" s="179" t="s">
        <v>378</v>
      </c>
      <c r="B43" s="178" t="s">
        <v>83</v>
      </c>
      <c r="C43" s="180" t="s">
        <v>83</v>
      </c>
      <c r="D43" s="181" t="s">
        <v>349</v>
      </c>
      <c r="E43" s="180" t="s">
        <v>83</v>
      </c>
      <c r="F43" s="181" t="s">
        <v>349</v>
      </c>
      <c r="G43" s="180" t="s">
        <v>83</v>
      </c>
      <c r="H43" s="181">
        <v>103.7657</v>
      </c>
      <c r="I43" s="180" t="s">
        <v>83</v>
      </c>
      <c r="J43" s="181">
        <v>88.851500000000001</v>
      </c>
      <c r="K43" s="180" t="s">
        <v>83</v>
      </c>
      <c r="L43" s="181">
        <v>90.338499999999996</v>
      </c>
      <c r="M43" s="180" t="s">
        <v>83</v>
      </c>
      <c r="N43" s="181">
        <v>95.095699999999994</v>
      </c>
      <c r="O43" s="180" t="s">
        <v>83</v>
      </c>
      <c r="P43" s="181">
        <v>91.988699999999994</v>
      </c>
      <c r="Q43" s="180" t="s">
        <v>83</v>
      </c>
      <c r="R43" s="181">
        <v>94.631299999999996</v>
      </c>
      <c r="S43" s="180" t="s">
        <v>83</v>
      </c>
      <c r="T43" s="181">
        <v>92.820599999999999</v>
      </c>
      <c r="U43" s="180" t="s">
        <v>83</v>
      </c>
      <c r="V43" s="181">
        <v>90.204700000000003</v>
      </c>
      <c r="W43" s="180" t="s">
        <v>83</v>
      </c>
      <c r="X43" s="181">
        <v>91.915000000000006</v>
      </c>
      <c r="Y43" s="180" t="s">
        <v>352</v>
      </c>
      <c r="Z43" s="181">
        <v>87.997799999999998</v>
      </c>
    </row>
    <row r="44" spans="1:26" ht="15" x14ac:dyDescent="0.3">
      <c r="A44" s="179" t="s">
        <v>379</v>
      </c>
      <c r="B44" s="178" t="s">
        <v>83</v>
      </c>
      <c r="C44" s="180" t="s">
        <v>83</v>
      </c>
      <c r="D44" s="181" t="s">
        <v>349</v>
      </c>
      <c r="E44" s="180" t="s">
        <v>83</v>
      </c>
      <c r="F44" s="181" t="s">
        <v>349</v>
      </c>
      <c r="G44" s="180" t="s">
        <v>83</v>
      </c>
      <c r="H44" s="181" t="s">
        <v>349</v>
      </c>
      <c r="I44" s="180" t="s">
        <v>83</v>
      </c>
      <c r="J44" s="181">
        <v>630.39739999999995</v>
      </c>
      <c r="K44" s="180" t="s">
        <v>83</v>
      </c>
      <c r="L44" s="181">
        <v>698.24670000000003</v>
      </c>
      <c r="M44" s="180" t="s">
        <v>83</v>
      </c>
      <c r="N44" s="181">
        <v>945.4579</v>
      </c>
      <c r="O44" s="180" t="s">
        <v>83</v>
      </c>
      <c r="P44" s="181">
        <v>1008.789</v>
      </c>
      <c r="Q44" s="180" t="s">
        <v>83</v>
      </c>
      <c r="R44" s="181">
        <v>1025.82</v>
      </c>
      <c r="S44" s="180" t="s">
        <v>83</v>
      </c>
      <c r="T44" s="181">
        <v>1078.4860000000001</v>
      </c>
      <c r="U44" s="180" t="s">
        <v>83</v>
      </c>
      <c r="V44" s="181">
        <v>995.61019999999996</v>
      </c>
      <c r="W44" s="180" t="s">
        <v>83</v>
      </c>
      <c r="X44" s="181">
        <v>887.04880000000003</v>
      </c>
      <c r="Y44" s="180" t="s">
        <v>83</v>
      </c>
      <c r="Z44" s="181" t="s">
        <v>349</v>
      </c>
    </row>
    <row r="45" spans="1:26" s="190" customFormat="1" ht="15" x14ac:dyDescent="0.3">
      <c r="A45" s="187" t="s">
        <v>50</v>
      </c>
      <c r="B45" s="178" t="s">
        <v>83</v>
      </c>
      <c r="C45" s="188" t="s">
        <v>83</v>
      </c>
      <c r="D45" s="189" t="s">
        <v>349</v>
      </c>
      <c r="E45" s="188" t="s">
        <v>83</v>
      </c>
      <c r="F45" s="189" t="s">
        <v>349</v>
      </c>
      <c r="G45" s="188" t="s">
        <v>83</v>
      </c>
      <c r="H45" s="189" t="s">
        <v>349</v>
      </c>
      <c r="I45" s="188" t="s">
        <v>83</v>
      </c>
      <c r="J45" s="189">
        <v>730.86149999999998</v>
      </c>
      <c r="K45" s="188" t="s">
        <v>83</v>
      </c>
      <c r="L45" s="189">
        <v>725.17269999999996</v>
      </c>
      <c r="M45" s="188" t="s">
        <v>83</v>
      </c>
      <c r="N45" s="189">
        <v>566.50260000000003</v>
      </c>
      <c r="O45" s="188" t="s">
        <v>83</v>
      </c>
      <c r="P45" s="189">
        <v>557.57420000000002</v>
      </c>
      <c r="Q45" s="188" t="s">
        <v>83</v>
      </c>
      <c r="R45" s="189">
        <v>549.61890000000005</v>
      </c>
      <c r="S45" s="188" t="s">
        <v>83</v>
      </c>
      <c r="T45" s="189">
        <v>560.88059999999996</v>
      </c>
      <c r="U45" s="188" t="s">
        <v>83</v>
      </c>
      <c r="V45" s="189">
        <v>560.59619999999995</v>
      </c>
      <c r="W45" s="188" t="s">
        <v>83</v>
      </c>
      <c r="X45" s="189">
        <v>556.58749999999998</v>
      </c>
      <c r="Y45" s="188" t="s">
        <v>83</v>
      </c>
      <c r="Z45" s="189" t="s">
        <v>349</v>
      </c>
    </row>
    <row r="46" spans="1:26" s="190" customFormat="1" ht="15" x14ac:dyDescent="0.3">
      <c r="A46" s="187" t="s">
        <v>380</v>
      </c>
      <c r="B46" s="178" t="s">
        <v>83</v>
      </c>
      <c r="C46" s="188" t="s">
        <v>83</v>
      </c>
      <c r="D46" s="189">
        <v>5843.0680000000002</v>
      </c>
      <c r="E46" s="188" t="s">
        <v>83</v>
      </c>
      <c r="F46" s="189">
        <v>6184.7520000000004</v>
      </c>
      <c r="G46" s="188" t="s">
        <v>83</v>
      </c>
      <c r="H46" s="189">
        <v>7225.4449999999997</v>
      </c>
      <c r="I46" s="188" t="s">
        <v>83</v>
      </c>
      <c r="J46" s="189">
        <v>8637.1</v>
      </c>
      <c r="K46" s="188" t="s">
        <v>83</v>
      </c>
      <c r="L46" s="189">
        <v>9026.2980000000007</v>
      </c>
      <c r="M46" s="188" t="s">
        <v>83</v>
      </c>
      <c r="N46" s="189">
        <v>7275.5559999999996</v>
      </c>
      <c r="O46" s="188" t="s">
        <v>83</v>
      </c>
      <c r="P46" s="189">
        <v>7751.1769999999997</v>
      </c>
      <c r="Q46" s="188" t="s">
        <v>83</v>
      </c>
      <c r="R46" s="189">
        <v>7858.3950000000004</v>
      </c>
      <c r="S46" s="188" t="s">
        <v>83</v>
      </c>
      <c r="T46" s="189">
        <v>7834.723</v>
      </c>
      <c r="U46" s="188" t="s">
        <v>83</v>
      </c>
      <c r="V46" s="189">
        <v>7912.335</v>
      </c>
      <c r="W46" s="188" t="s">
        <v>83</v>
      </c>
      <c r="X46" s="189">
        <v>7815.5810000000001</v>
      </c>
      <c r="Y46" s="188" t="s">
        <v>83</v>
      </c>
      <c r="Z46" s="189" t="s">
        <v>349</v>
      </c>
    </row>
    <row r="47" spans="1:26" s="190" customFormat="1" ht="15" x14ac:dyDescent="0.3">
      <c r="A47" s="187" t="s">
        <v>381</v>
      </c>
      <c r="B47" s="178" t="s">
        <v>83</v>
      </c>
      <c r="C47" s="188" t="s">
        <v>83</v>
      </c>
      <c r="D47" s="189" t="s">
        <v>349</v>
      </c>
      <c r="E47" s="188" t="s">
        <v>83</v>
      </c>
      <c r="F47" s="189" t="s">
        <v>349</v>
      </c>
      <c r="G47" s="188" t="s">
        <v>83</v>
      </c>
      <c r="H47" s="189" t="s">
        <v>349</v>
      </c>
      <c r="I47" s="188" t="s">
        <v>83</v>
      </c>
      <c r="J47" s="189">
        <v>5133.7016999999996</v>
      </c>
      <c r="K47" s="188" t="s">
        <v>83</v>
      </c>
      <c r="L47" s="189">
        <v>5315.0937999999996</v>
      </c>
      <c r="M47" s="188" t="s">
        <v>83</v>
      </c>
      <c r="N47" s="189">
        <v>4693.7583000000004</v>
      </c>
      <c r="O47" s="188" t="s">
        <v>83</v>
      </c>
      <c r="P47" s="189">
        <v>4161.5361000000003</v>
      </c>
      <c r="Q47" s="188" t="s">
        <v>83</v>
      </c>
      <c r="R47" s="189">
        <v>4142.4535999999998</v>
      </c>
      <c r="S47" s="188" t="s">
        <v>83</v>
      </c>
      <c r="T47" s="189">
        <v>4260.0844999999999</v>
      </c>
      <c r="U47" s="188" t="s">
        <v>83</v>
      </c>
      <c r="V47" s="189">
        <v>4277.8481000000002</v>
      </c>
      <c r="W47" s="188" t="s">
        <v>83</v>
      </c>
      <c r="X47" s="189">
        <v>4211.4184999999998</v>
      </c>
      <c r="Y47" s="188" t="s">
        <v>83</v>
      </c>
      <c r="Z47" s="189">
        <v>3962.2089999999998</v>
      </c>
    </row>
    <row r="48" spans="1:26" s="190" customFormat="1" ht="20.399999999999999" x14ac:dyDescent="0.3">
      <c r="A48" s="187" t="s">
        <v>382</v>
      </c>
      <c r="B48" s="178" t="s">
        <v>83</v>
      </c>
      <c r="C48" s="188" t="s">
        <v>83</v>
      </c>
      <c r="D48" s="189" t="s">
        <v>349</v>
      </c>
      <c r="E48" s="188" t="s">
        <v>83</v>
      </c>
      <c r="F48" s="189" t="s">
        <v>349</v>
      </c>
      <c r="G48" s="188" t="s">
        <v>83</v>
      </c>
      <c r="H48" s="189" t="s">
        <v>349</v>
      </c>
      <c r="I48" s="188" t="s">
        <v>83</v>
      </c>
      <c r="J48" s="189">
        <v>6579.8154000000004</v>
      </c>
      <c r="K48" s="188" t="s">
        <v>83</v>
      </c>
      <c r="L48" s="189">
        <v>7085.5766999999996</v>
      </c>
      <c r="M48" s="188" t="s">
        <v>83</v>
      </c>
      <c r="N48" s="189">
        <v>6346.6518999999998</v>
      </c>
      <c r="O48" s="188" t="s">
        <v>83</v>
      </c>
      <c r="P48" s="189">
        <v>6070.5829999999996</v>
      </c>
      <c r="Q48" s="188" t="s">
        <v>83</v>
      </c>
      <c r="R48" s="189">
        <v>6061.0918000000001</v>
      </c>
      <c r="S48" s="188" t="s">
        <v>83</v>
      </c>
      <c r="T48" s="189">
        <v>6220.3638000000001</v>
      </c>
      <c r="U48" s="188" t="s">
        <v>83</v>
      </c>
      <c r="V48" s="189">
        <v>6330.7426999999998</v>
      </c>
      <c r="W48" s="188" t="s">
        <v>83</v>
      </c>
      <c r="X48" s="189">
        <v>6341.0663999999997</v>
      </c>
      <c r="Y48" s="188" t="s">
        <v>83</v>
      </c>
      <c r="Z48" s="189">
        <v>6040.8301000000001</v>
      </c>
    </row>
    <row r="49" spans="1:26" s="190" customFormat="1" ht="15" x14ac:dyDescent="0.3">
      <c r="A49" s="187" t="s">
        <v>383</v>
      </c>
      <c r="B49" s="178" t="s">
        <v>83</v>
      </c>
      <c r="C49" s="188" t="s">
        <v>83</v>
      </c>
      <c r="D49" s="189" t="s">
        <v>349</v>
      </c>
      <c r="E49" s="188" t="s">
        <v>83</v>
      </c>
      <c r="F49" s="189" t="s">
        <v>349</v>
      </c>
      <c r="G49" s="188" t="s">
        <v>83</v>
      </c>
      <c r="H49" s="189" t="s">
        <v>349</v>
      </c>
      <c r="I49" s="188" t="s">
        <v>83</v>
      </c>
      <c r="J49" s="189" t="s">
        <v>349</v>
      </c>
      <c r="K49" s="188" t="s">
        <v>83</v>
      </c>
      <c r="L49" s="189" t="s">
        <v>349</v>
      </c>
      <c r="M49" s="188" t="s">
        <v>83</v>
      </c>
      <c r="N49" s="189">
        <v>7625.0443999999998</v>
      </c>
      <c r="O49" s="188" t="s">
        <v>83</v>
      </c>
      <c r="P49" s="189">
        <v>7235.6958000000004</v>
      </c>
      <c r="Q49" s="188" t="s">
        <v>83</v>
      </c>
      <c r="R49" s="189">
        <v>7224.4043000000001</v>
      </c>
      <c r="S49" s="188" t="s">
        <v>83</v>
      </c>
      <c r="T49" s="189">
        <v>7470.4994999999999</v>
      </c>
      <c r="U49" s="188" t="s">
        <v>83</v>
      </c>
      <c r="V49" s="189">
        <v>7471.4818999999998</v>
      </c>
      <c r="W49" s="188" t="s">
        <v>83</v>
      </c>
      <c r="X49" s="189">
        <v>7305.7016999999996</v>
      </c>
      <c r="Y49" s="188" t="s">
        <v>83</v>
      </c>
      <c r="Z49" s="189" t="s">
        <v>349</v>
      </c>
    </row>
    <row r="50" spans="1:26" s="190" customFormat="1" ht="15" x14ac:dyDescent="0.3">
      <c r="A50" s="187" t="s">
        <v>384</v>
      </c>
      <c r="B50" s="178" t="s">
        <v>83</v>
      </c>
      <c r="C50" s="188" t="s">
        <v>83</v>
      </c>
      <c r="D50" s="189" t="s">
        <v>349</v>
      </c>
      <c r="E50" s="188" t="s">
        <v>83</v>
      </c>
      <c r="F50" s="189" t="s">
        <v>349</v>
      </c>
      <c r="G50" s="188" t="s">
        <v>83</v>
      </c>
      <c r="H50" s="189" t="s">
        <v>349</v>
      </c>
      <c r="I50" s="188" t="s">
        <v>83</v>
      </c>
      <c r="J50" s="189" t="s">
        <v>349</v>
      </c>
      <c r="K50" s="188" t="s">
        <v>83</v>
      </c>
      <c r="L50" s="189" t="s">
        <v>349</v>
      </c>
      <c r="M50" s="188" t="s">
        <v>83</v>
      </c>
      <c r="N50" s="189">
        <v>22338.988300000001</v>
      </c>
      <c r="O50" s="188" t="s">
        <v>83</v>
      </c>
      <c r="P50" s="189">
        <v>23294.640599999999</v>
      </c>
      <c r="Q50" s="188" t="s">
        <v>83</v>
      </c>
      <c r="R50" s="189">
        <v>23338.5137</v>
      </c>
      <c r="S50" s="188" t="s">
        <v>83</v>
      </c>
      <c r="T50" s="189">
        <v>23805.5664</v>
      </c>
      <c r="U50" s="188" t="s">
        <v>83</v>
      </c>
      <c r="V50" s="189">
        <v>23972.4238</v>
      </c>
      <c r="W50" s="188" t="s">
        <v>83</v>
      </c>
      <c r="X50" s="189">
        <v>23887.892599999999</v>
      </c>
      <c r="Y50" s="188" t="s">
        <v>83</v>
      </c>
      <c r="Z50" s="189" t="s">
        <v>349</v>
      </c>
    </row>
    <row r="51" spans="1:26" ht="15" x14ac:dyDescent="0.3">
      <c r="A51" s="179" t="s">
        <v>385</v>
      </c>
      <c r="B51" s="178" t="s">
        <v>83</v>
      </c>
      <c r="C51" s="180" t="s">
        <v>83</v>
      </c>
      <c r="D51" s="181">
        <v>30.264299999999999</v>
      </c>
      <c r="E51" s="180" t="s">
        <v>83</v>
      </c>
      <c r="F51" s="181">
        <v>30.8565</v>
      </c>
      <c r="G51" s="180" t="s">
        <v>83</v>
      </c>
      <c r="H51" s="181">
        <v>22.0261</v>
      </c>
      <c r="I51" s="180" t="s">
        <v>83</v>
      </c>
      <c r="J51" s="181">
        <v>24.166</v>
      </c>
      <c r="K51" s="180" t="s">
        <v>83</v>
      </c>
      <c r="L51" s="181">
        <v>34.992199999999997</v>
      </c>
      <c r="M51" s="180" t="s">
        <v>83</v>
      </c>
      <c r="N51" s="181">
        <v>43.194000000000003</v>
      </c>
      <c r="O51" s="180" t="s">
        <v>83</v>
      </c>
      <c r="P51" s="181">
        <v>45.770499999999998</v>
      </c>
      <c r="Q51" s="180" t="s">
        <v>83</v>
      </c>
      <c r="R51" s="181">
        <v>46.868899999999996</v>
      </c>
      <c r="S51" s="180" t="s">
        <v>83</v>
      </c>
      <c r="T51" s="181">
        <v>43.658799999999999</v>
      </c>
      <c r="U51" s="180" t="s">
        <v>83</v>
      </c>
      <c r="V51" s="181">
        <v>44.832799999999999</v>
      </c>
      <c r="W51" s="180" t="s">
        <v>83</v>
      </c>
      <c r="X51" s="181">
        <v>44.630299999999998</v>
      </c>
      <c r="Y51" s="180" t="s">
        <v>83</v>
      </c>
      <c r="Z51" s="181" t="s">
        <v>349</v>
      </c>
    </row>
    <row r="52" spans="1:26" ht="15" x14ac:dyDescent="0.3">
      <c r="A52" s="179" t="s">
        <v>386</v>
      </c>
      <c r="B52" s="178" t="s">
        <v>83</v>
      </c>
      <c r="C52" s="180" t="s">
        <v>83</v>
      </c>
      <c r="D52" s="181">
        <v>10.395899999999999</v>
      </c>
      <c r="E52" s="180" t="s">
        <v>83</v>
      </c>
      <c r="F52" s="181">
        <v>18.693100000000001</v>
      </c>
      <c r="G52" s="180" t="s">
        <v>83</v>
      </c>
      <c r="H52" s="181" t="s">
        <v>349</v>
      </c>
      <c r="I52" s="180" t="s">
        <v>83</v>
      </c>
      <c r="J52" s="181" t="s">
        <v>349</v>
      </c>
      <c r="K52" s="180" t="s">
        <v>83</v>
      </c>
      <c r="L52" s="181" t="s">
        <v>349</v>
      </c>
      <c r="M52" s="180" t="s">
        <v>83</v>
      </c>
      <c r="N52" s="181">
        <v>20.256</v>
      </c>
      <c r="O52" s="180" t="s">
        <v>83</v>
      </c>
      <c r="P52" s="181">
        <v>25.988399999999999</v>
      </c>
      <c r="Q52" s="180" t="s">
        <v>83</v>
      </c>
      <c r="R52" s="181">
        <v>28.416699999999999</v>
      </c>
      <c r="S52" s="180" t="s">
        <v>83</v>
      </c>
      <c r="T52" s="181">
        <v>21.592099999999999</v>
      </c>
      <c r="U52" s="180" t="s">
        <v>83</v>
      </c>
      <c r="V52" s="181">
        <v>22.813199999999998</v>
      </c>
      <c r="W52" s="180" t="s">
        <v>83</v>
      </c>
      <c r="X52" s="181">
        <v>22.3125</v>
      </c>
      <c r="Y52" s="180" t="s">
        <v>83</v>
      </c>
      <c r="Z52" s="181" t="s">
        <v>349</v>
      </c>
    </row>
    <row r="53" spans="1:26" ht="15" x14ac:dyDescent="0.3">
      <c r="A53" s="179" t="s">
        <v>387</v>
      </c>
      <c r="B53" s="178" t="s">
        <v>83</v>
      </c>
      <c r="C53" s="180" t="s">
        <v>83</v>
      </c>
      <c r="D53" s="181">
        <v>31.657900000000001</v>
      </c>
      <c r="E53" s="180" t="s">
        <v>83</v>
      </c>
      <c r="F53" s="181">
        <v>94.651499999999999</v>
      </c>
      <c r="G53" s="180" t="s">
        <v>83</v>
      </c>
      <c r="H53" s="181">
        <v>150.5309</v>
      </c>
      <c r="I53" s="180" t="s">
        <v>83</v>
      </c>
      <c r="J53" s="181">
        <v>164.24979999999999</v>
      </c>
      <c r="K53" s="180" t="s">
        <v>83</v>
      </c>
      <c r="L53" s="181">
        <v>219.1199</v>
      </c>
      <c r="M53" s="180" t="s">
        <v>83</v>
      </c>
      <c r="N53" s="181">
        <v>303.00049999999999</v>
      </c>
      <c r="O53" s="180" t="s">
        <v>83</v>
      </c>
      <c r="P53" s="181">
        <v>355.4393</v>
      </c>
      <c r="Q53" s="180" t="s">
        <v>83</v>
      </c>
      <c r="R53" s="181">
        <v>367.55509999999998</v>
      </c>
      <c r="S53" s="180" t="s">
        <v>83</v>
      </c>
      <c r="T53" s="181">
        <v>366.50709999999998</v>
      </c>
      <c r="U53" s="180" t="s">
        <v>83</v>
      </c>
      <c r="V53" s="181">
        <v>387.5652</v>
      </c>
      <c r="W53" s="180" t="s">
        <v>83</v>
      </c>
      <c r="X53" s="181">
        <v>392.38690000000003</v>
      </c>
      <c r="Y53" s="180" t="s">
        <v>83</v>
      </c>
      <c r="Z53" s="181" t="s">
        <v>349</v>
      </c>
    </row>
    <row r="54" spans="1:26" ht="15" x14ac:dyDescent="0.3">
      <c r="A54" s="179" t="s">
        <v>388</v>
      </c>
      <c r="B54" s="178" t="s">
        <v>83</v>
      </c>
      <c r="C54" s="180" t="s">
        <v>83</v>
      </c>
      <c r="D54" s="181">
        <v>0</v>
      </c>
      <c r="E54" s="180" t="s">
        <v>83</v>
      </c>
      <c r="F54" s="181">
        <v>0</v>
      </c>
      <c r="G54" s="180" t="s">
        <v>83</v>
      </c>
      <c r="H54" s="181">
        <v>1E-3</v>
      </c>
      <c r="I54" s="180" t="s">
        <v>83</v>
      </c>
      <c r="J54" s="181">
        <v>1.0298</v>
      </c>
      <c r="K54" s="180" t="s">
        <v>83</v>
      </c>
      <c r="L54" s="181">
        <v>0.22209999999999999</v>
      </c>
      <c r="M54" s="180" t="s">
        <v>83</v>
      </c>
      <c r="N54" s="181">
        <v>0.49159999999999998</v>
      </c>
      <c r="O54" s="180" t="s">
        <v>83</v>
      </c>
      <c r="P54" s="181">
        <v>0.52400000000000002</v>
      </c>
      <c r="Q54" s="180" t="s">
        <v>83</v>
      </c>
      <c r="R54" s="181">
        <v>0.42509999999999998</v>
      </c>
      <c r="S54" s="180" t="s">
        <v>83</v>
      </c>
      <c r="T54" s="181">
        <v>0.41339999999999999</v>
      </c>
      <c r="U54" s="180" t="s">
        <v>83</v>
      </c>
      <c r="V54" s="181">
        <v>1.9588000000000001</v>
      </c>
      <c r="W54" s="180" t="s">
        <v>83</v>
      </c>
      <c r="X54" s="181">
        <v>2.0668000000000002</v>
      </c>
      <c r="Y54" s="180" t="s">
        <v>83</v>
      </c>
      <c r="Z54" s="181" t="s">
        <v>349</v>
      </c>
    </row>
    <row r="55" spans="1:26" ht="15" x14ac:dyDescent="0.3">
      <c r="A55" s="179" t="s">
        <v>389</v>
      </c>
      <c r="B55" s="178" t="s">
        <v>83</v>
      </c>
      <c r="C55" s="180" t="s">
        <v>83</v>
      </c>
      <c r="D55" s="181">
        <v>29.4041</v>
      </c>
      <c r="E55" s="180" t="s">
        <v>83</v>
      </c>
      <c r="F55" s="181">
        <v>22.849900000000002</v>
      </c>
      <c r="G55" s="180" t="s">
        <v>83</v>
      </c>
      <c r="H55" s="181">
        <v>23.7577</v>
      </c>
      <c r="I55" s="180" t="s">
        <v>83</v>
      </c>
      <c r="J55" s="181">
        <v>48.554400000000001</v>
      </c>
      <c r="K55" s="180" t="s">
        <v>83</v>
      </c>
      <c r="L55" s="181">
        <v>74.817099999999996</v>
      </c>
      <c r="M55" s="180" t="s">
        <v>83</v>
      </c>
      <c r="N55" s="181">
        <v>114.4468</v>
      </c>
      <c r="O55" s="180" t="s">
        <v>83</v>
      </c>
      <c r="P55" s="181">
        <v>220.59630000000001</v>
      </c>
      <c r="Q55" s="180" t="s">
        <v>83</v>
      </c>
      <c r="R55" s="181">
        <v>212.1472</v>
      </c>
      <c r="S55" s="180" t="s">
        <v>83</v>
      </c>
      <c r="T55" s="181">
        <v>105.1824</v>
      </c>
      <c r="U55" s="180" t="s">
        <v>83</v>
      </c>
      <c r="V55" s="181">
        <v>127.0454</v>
      </c>
      <c r="W55" s="180" t="s">
        <v>83</v>
      </c>
      <c r="X55" s="181">
        <v>141.97749999999999</v>
      </c>
      <c r="Y55" s="180" t="s">
        <v>83</v>
      </c>
      <c r="Z55" s="181" t="s">
        <v>349</v>
      </c>
    </row>
    <row r="56" spans="1:26" ht="15" x14ac:dyDescent="0.3">
      <c r="A56" s="179" t="s">
        <v>390</v>
      </c>
      <c r="B56" s="178" t="s">
        <v>83</v>
      </c>
      <c r="C56" s="180" t="s">
        <v>83</v>
      </c>
      <c r="D56" s="181">
        <v>0</v>
      </c>
      <c r="E56" s="180" t="s">
        <v>83</v>
      </c>
      <c r="F56" s="181">
        <v>2.9999999999999997E-4</v>
      </c>
      <c r="G56" s="180" t="s">
        <v>83</v>
      </c>
      <c r="H56" s="181">
        <v>4.0000000000000002E-4</v>
      </c>
      <c r="I56" s="180" t="s">
        <v>83</v>
      </c>
      <c r="J56" s="181">
        <v>1.2999999999999999E-2</v>
      </c>
      <c r="K56" s="180" t="s">
        <v>83</v>
      </c>
      <c r="L56" s="181">
        <v>6.9999999999999999E-4</v>
      </c>
      <c r="M56" s="180" t="s">
        <v>83</v>
      </c>
      <c r="N56" s="181">
        <v>5.9999999999999995E-4</v>
      </c>
      <c r="O56" s="180" t="s">
        <v>83</v>
      </c>
      <c r="P56" s="181">
        <v>6.1999999999999998E-3</v>
      </c>
      <c r="Q56" s="180" t="s">
        <v>83</v>
      </c>
      <c r="R56" s="181">
        <v>7.4999999999999997E-3</v>
      </c>
      <c r="S56" s="180" t="s">
        <v>83</v>
      </c>
      <c r="T56" s="181">
        <v>2.3999999999999998E-3</v>
      </c>
      <c r="U56" s="180" t="s">
        <v>83</v>
      </c>
      <c r="V56" s="181">
        <v>3.5999999999999999E-3</v>
      </c>
      <c r="W56" s="180" t="s">
        <v>83</v>
      </c>
      <c r="X56" s="181">
        <v>1.06E-2</v>
      </c>
      <c r="Y56" s="180" t="s">
        <v>83</v>
      </c>
      <c r="Z56" s="181" t="s">
        <v>349</v>
      </c>
    </row>
    <row r="57" spans="1:26" ht="15" x14ac:dyDescent="0.3">
      <c r="A57" s="179" t="s">
        <v>391</v>
      </c>
      <c r="B57" s="178" t="s">
        <v>83</v>
      </c>
      <c r="C57" s="180" t="s">
        <v>83</v>
      </c>
      <c r="D57" s="181">
        <v>0.68589999999999995</v>
      </c>
      <c r="E57" s="180" t="s">
        <v>83</v>
      </c>
      <c r="F57" s="181">
        <v>9.2200000000000004E-2</v>
      </c>
      <c r="G57" s="180" t="s">
        <v>83</v>
      </c>
      <c r="H57" s="181">
        <v>0.31290000000000001</v>
      </c>
      <c r="I57" s="180" t="s">
        <v>83</v>
      </c>
      <c r="J57" s="181">
        <v>0.45050000000000001</v>
      </c>
      <c r="K57" s="180" t="s">
        <v>83</v>
      </c>
      <c r="L57" s="181">
        <v>0.19370000000000001</v>
      </c>
      <c r="M57" s="180" t="s">
        <v>83</v>
      </c>
      <c r="N57" s="181">
        <v>0.1206</v>
      </c>
      <c r="O57" s="180" t="s">
        <v>83</v>
      </c>
      <c r="P57" s="181">
        <v>0.2787</v>
      </c>
      <c r="Q57" s="180" t="s">
        <v>83</v>
      </c>
      <c r="R57" s="181">
        <v>0.23910000000000001</v>
      </c>
      <c r="S57" s="180" t="s">
        <v>83</v>
      </c>
      <c r="T57" s="181">
        <v>0.5444</v>
      </c>
      <c r="U57" s="180" t="s">
        <v>83</v>
      </c>
      <c r="V57" s="181">
        <v>0.53949999999999998</v>
      </c>
      <c r="W57" s="180" t="s">
        <v>83</v>
      </c>
      <c r="X57" s="181">
        <v>0.54390000000000005</v>
      </c>
      <c r="Y57" s="180" t="s">
        <v>83</v>
      </c>
      <c r="Z57" s="181" t="s">
        <v>349</v>
      </c>
    </row>
    <row r="58" spans="1:26" ht="15" x14ac:dyDescent="0.3">
      <c r="A58" s="179" t="s">
        <v>392</v>
      </c>
      <c r="B58" s="178" t="s">
        <v>83</v>
      </c>
      <c r="C58" s="180" t="s">
        <v>83</v>
      </c>
      <c r="D58" s="181">
        <v>405.78039999999999</v>
      </c>
      <c r="E58" s="180" t="s">
        <v>83</v>
      </c>
      <c r="F58" s="181">
        <v>459.02749999999997</v>
      </c>
      <c r="G58" s="180" t="s">
        <v>83</v>
      </c>
      <c r="H58" s="181">
        <v>406.52859999999998</v>
      </c>
      <c r="I58" s="180" t="s">
        <v>83</v>
      </c>
      <c r="J58" s="181">
        <v>538.85550000000001</v>
      </c>
      <c r="K58" s="180" t="s">
        <v>83</v>
      </c>
      <c r="L58" s="181">
        <v>647.57460000000003</v>
      </c>
      <c r="M58" s="180" t="s">
        <v>83</v>
      </c>
      <c r="N58" s="181">
        <v>671.57820000000004</v>
      </c>
      <c r="O58" s="180" t="s">
        <v>83</v>
      </c>
      <c r="P58" s="181">
        <v>768.46559999999999</v>
      </c>
      <c r="Q58" s="180" t="s">
        <v>83</v>
      </c>
      <c r="R58" s="181">
        <v>750.27750000000003</v>
      </c>
      <c r="S58" s="180" t="s">
        <v>83</v>
      </c>
      <c r="T58" s="181">
        <v>835.91800000000001</v>
      </c>
      <c r="U58" s="180" t="s">
        <v>83</v>
      </c>
      <c r="V58" s="181">
        <v>783.20129999999995</v>
      </c>
      <c r="W58" s="180" t="s">
        <v>83</v>
      </c>
      <c r="X58" s="181">
        <v>763.80939999999998</v>
      </c>
      <c r="Y58" s="180" t="s">
        <v>83</v>
      </c>
      <c r="Z58" s="181" t="s">
        <v>349</v>
      </c>
    </row>
    <row r="59" spans="1:26" ht="15" x14ac:dyDescent="0.3">
      <c r="A59" s="182" t="s">
        <v>393</v>
      </c>
      <c r="B59" s="178" t="s">
        <v>83</v>
      </c>
      <c r="C59" s="180" t="s">
        <v>83</v>
      </c>
      <c r="D59" s="181">
        <v>0</v>
      </c>
      <c r="E59" s="180" t="s">
        <v>83</v>
      </c>
      <c r="F59" s="181">
        <v>0</v>
      </c>
      <c r="G59" s="180" t="s">
        <v>83</v>
      </c>
      <c r="H59" s="181">
        <v>0</v>
      </c>
      <c r="I59" s="180" t="s">
        <v>83</v>
      </c>
      <c r="J59" s="181">
        <v>28.042999999999999</v>
      </c>
      <c r="K59" s="180" t="s">
        <v>83</v>
      </c>
      <c r="L59" s="181">
        <v>36.738399999999999</v>
      </c>
      <c r="M59" s="180" t="s">
        <v>83</v>
      </c>
      <c r="N59" s="181">
        <v>28.904399999999999</v>
      </c>
      <c r="O59" s="180" t="s">
        <v>83</v>
      </c>
      <c r="P59" s="181">
        <v>39.6143</v>
      </c>
      <c r="Q59" s="180" t="s">
        <v>83</v>
      </c>
      <c r="R59" s="181">
        <v>51.057899999999997</v>
      </c>
      <c r="S59" s="180" t="s">
        <v>83</v>
      </c>
      <c r="T59" s="181">
        <v>51.012099999999997</v>
      </c>
      <c r="U59" s="180" t="s">
        <v>83</v>
      </c>
      <c r="V59" s="181">
        <v>45.469299999999997</v>
      </c>
      <c r="W59" s="180" t="s">
        <v>83</v>
      </c>
      <c r="X59" s="181">
        <v>46.892000000000003</v>
      </c>
      <c r="Y59" s="180" t="s">
        <v>83</v>
      </c>
      <c r="Z59" s="181" t="s">
        <v>349</v>
      </c>
    </row>
    <row r="60" spans="1:26" ht="15" x14ac:dyDescent="0.3">
      <c r="A60" s="182" t="s">
        <v>394</v>
      </c>
      <c r="B60" s="178" t="s">
        <v>83</v>
      </c>
      <c r="C60" s="180" t="s">
        <v>83</v>
      </c>
      <c r="D60" s="181">
        <v>1.2999999999999999E-3</v>
      </c>
      <c r="E60" s="180" t="s">
        <v>83</v>
      </c>
      <c r="F60" s="181">
        <v>1.6000000000000001E-3</v>
      </c>
      <c r="G60" s="180" t="s">
        <v>83</v>
      </c>
      <c r="H60" s="181">
        <v>0.34839999999999999</v>
      </c>
      <c r="I60" s="180" t="s">
        <v>83</v>
      </c>
      <c r="J60" s="181">
        <v>10.8294</v>
      </c>
      <c r="K60" s="180" t="s">
        <v>83</v>
      </c>
      <c r="L60" s="181">
        <v>11.4541</v>
      </c>
      <c r="M60" s="180" t="s">
        <v>83</v>
      </c>
      <c r="N60" s="181">
        <v>11.005699999999999</v>
      </c>
      <c r="O60" s="180" t="s">
        <v>83</v>
      </c>
      <c r="P60" s="181">
        <v>2.2597999999999998</v>
      </c>
      <c r="Q60" s="180" t="s">
        <v>83</v>
      </c>
      <c r="R60" s="181">
        <v>2.073</v>
      </c>
      <c r="S60" s="180" t="s">
        <v>83</v>
      </c>
      <c r="T60" s="181">
        <v>1.7623</v>
      </c>
      <c r="U60" s="180" t="s">
        <v>83</v>
      </c>
      <c r="V60" s="181">
        <v>1.5488999999999999</v>
      </c>
      <c r="W60" s="180" t="s">
        <v>83</v>
      </c>
      <c r="X60" s="181">
        <v>1.3786</v>
      </c>
      <c r="Y60" s="180" t="s">
        <v>83</v>
      </c>
      <c r="Z60" s="181" t="s">
        <v>349</v>
      </c>
    </row>
    <row r="61" spans="1:26" ht="15" x14ac:dyDescent="0.3">
      <c r="A61" s="182" t="s">
        <v>395</v>
      </c>
      <c r="B61" s="178" t="s">
        <v>83</v>
      </c>
      <c r="C61" s="180" t="s">
        <v>83</v>
      </c>
      <c r="D61" s="181">
        <v>0</v>
      </c>
      <c r="E61" s="180" t="s">
        <v>83</v>
      </c>
      <c r="F61" s="181">
        <v>0</v>
      </c>
      <c r="G61" s="180" t="s">
        <v>83</v>
      </c>
      <c r="H61" s="181">
        <v>0</v>
      </c>
      <c r="I61" s="180" t="s">
        <v>83</v>
      </c>
      <c r="J61" s="181">
        <v>33.422499999999999</v>
      </c>
      <c r="K61" s="180" t="s">
        <v>83</v>
      </c>
      <c r="L61" s="181">
        <v>59.981499999999997</v>
      </c>
      <c r="M61" s="180" t="s">
        <v>83</v>
      </c>
      <c r="N61" s="181">
        <v>68.300200000000004</v>
      </c>
      <c r="O61" s="180" t="s">
        <v>83</v>
      </c>
      <c r="P61" s="181">
        <v>73.107699999999994</v>
      </c>
      <c r="Q61" s="180" t="s">
        <v>83</v>
      </c>
      <c r="R61" s="181">
        <v>68.961100000000002</v>
      </c>
      <c r="S61" s="180" t="s">
        <v>83</v>
      </c>
      <c r="T61" s="181">
        <v>74.664599999999993</v>
      </c>
      <c r="U61" s="180" t="s">
        <v>83</v>
      </c>
      <c r="V61" s="181">
        <v>80.879000000000005</v>
      </c>
      <c r="W61" s="180" t="s">
        <v>83</v>
      </c>
      <c r="X61" s="181">
        <v>82.723799999999997</v>
      </c>
      <c r="Y61" s="180" t="s">
        <v>83</v>
      </c>
      <c r="Z61" s="181" t="s">
        <v>349</v>
      </c>
    </row>
    <row r="62" spans="1:26" ht="15" x14ac:dyDescent="0.3">
      <c r="A62" s="179" t="s">
        <v>396</v>
      </c>
      <c r="B62" s="178" t="s">
        <v>83</v>
      </c>
      <c r="C62" s="180" t="s">
        <v>83</v>
      </c>
      <c r="D62" s="181">
        <v>8.7055000000000007</v>
      </c>
      <c r="E62" s="180" t="s">
        <v>83</v>
      </c>
      <c r="F62" s="181">
        <v>13.104200000000001</v>
      </c>
      <c r="G62" s="180" t="s">
        <v>83</v>
      </c>
      <c r="H62" s="181">
        <v>2.8325999999999998</v>
      </c>
      <c r="I62" s="180" t="s">
        <v>83</v>
      </c>
      <c r="J62" s="181">
        <v>1.2572000000000001</v>
      </c>
      <c r="K62" s="180" t="s">
        <v>83</v>
      </c>
      <c r="L62" s="181">
        <v>0.85140000000000005</v>
      </c>
      <c r="M62" s="180" t="s">
        <v>83</v>
      </c>
      <c r="N62" s="181">
        <v>0.53480000000000005</v>
      </c>
      <c r="O62" s="180" t="s">
        <v>83</v>
      </c>
      <c r="P62" s="181">
        <v>1.0232000000000001</v>
      </c>
      <c r="Q62" s="180" t="s">
        <v>83</v>
      </c>
      <c r="R62" s="181">
        <v>1.8855</v>
      </c>
      <c r="S62" s="180" t="s">
        <v>83</v>
      </c>
      <c r="T62" s="181">
        <v>2.3963999999999999</v>
      </c>
      <c r="U62" s="180" t="s">
        <v>83</v>
      </c>
      <c r="V62" s="181">
        <v>2.9293</v>
      </c>
      <c r="W62" s="180" t="s">
        <v>83</v>
      </c>
      <c r="X62" s="181">
        <v>2.9216000000000002</v>
      </c>
      <c r="Y62" s="180" t="s">
        <v>83</v>
      </c>
      <c r="Z62" s="181" t="s">
        <v>349</v>
      </c>
    </row>
    <row r="63" spans="1:26" ht="15" x14ac:dyDescent="0.3">
      <c r="A63" s="179" t="s">
        <v>397</v>
      </c>
      <c r="B63" s="178" t="s">
        <v>83</v>
      </c>
      <c r="C63" s="180" t="s">
        <v>83</v>
      </c>
      <c r="D63" s="181">
        <v>13.617900000000001</v>
      </c>
      <c r="E63" s="180" t="s">
        <v>83</v>
      </c>
      <c r="F63" s="181">
        <v>17.436199999999999</v>
      </c>
      <c r="G63" s="180" t="s">
        <v>83</v>
      </c>
      <c r="H63" s="181">
        <v>22.834499999999998</v>
      </c>
      <c r="I63" s="180" t="s">
        <v>83</v>
      </c>
      <c r="J63" s="181">
        <v>26.855899999999998</v>
      </c>
      <c r="K63" s="180" t="s">
        <v>83</v>
      </c>
      <c r="L63" s="181">
        <v>34.156399999999998</v>
      </c>
      <c r="M63" s="180" t="s">
        <v>83</v>
      </c>
      <c r="N63" s="181">
        <v>40.331600000000002</v>
      </c>
      <c r="O63" s="180" t="s">
        <v>83</v>
      </c>
      <c r="P63" s="181">
        <v>50.561500000000002</v>
      </c>
      <c r="Q63" s="180" t="s">
        <v>83</v>
      </c>
      <c r="R63" s="181">
        <v>50.855600000000003</v>
      </c>
      <c r="S63" s="180" t="s">
        <v>83</v>
      </c>
      <c r="T63" s="181">
        <v>39.757899999999999</v>
      </c>
      <c r="U63" s="180" t="s">
        <v>83</v>
      </c>
      <c r="V63" s="181">
        <v>43.253399999999999</v>
      </c>
      <c r="W63" s="180" t="s">
        <v>83</v>
      </c>
      <c r="X63" s="181">
        <v>44.198900000000002</v>
      </c>
      <c r="Y63" s="180" t="s">
        <v>83</v>
      </c>
      <c r="Z63" s="181" t="s">
        <v>349</v>
      </c>
    </row>
    <row r="64" spans="1:26" ht="15" x14ac:dyDescent="0.3">
      <c r="A64" s="179" t="s">
        <v>398</v>
      </c>
      <c r="B64" s="178" t="s">
        <v>83</v>
      </c>
      <c r="C64" s="180" t="s">
        <v>83</v>
      </c>
      <c r="D64" s="181">
        <v>112.43559999999999</v>
      </c>
      <c r="E64" s="180" t="s">
        <v>83</v>
      </c>
      <c r="F64" s="181">
        <v>127.45950000000001</v>
      </c>
      <c r="G64" s="180" t="s">
        <v>83</v>
      </c>
      <c r="H64" s="181">
        <v>162.64359999999999</v>
      </c>
      <c r="I64" s="180" t="s">
        <v>83</v>
      </c>
      <c r="J64" s="181">
        <v>250.1893</v>
      </c>
      <c r="K64" s="180" t="s">
        <v>83</v>
      </c>
      <c r="L64" s="181">
        <v>298.96300000000002</v>
      </c>
      <c r="M64" s="180" t="s">
        <v>83</v>
      </c>
      <c r="N64" s="181">
        <v>354.51049999999998</v>
      </c>
      <c r="O64" s="180" t="s">
        <v>83</v>
      </c>
      <c r="P64" s="181">
        <v>369.1431</v>
      </c>
      <c r="Q64" s="180" t="s">
        <v>83</v>
      </c>
      <c r="R64" s="181">
        <v>353.38729999999998</v>
      </c>
      <c r="S64" s="180" t="s">
        <v>83</v>
      </c>
      <c r="T64" s="181">
        <v>372.7919</v>
      </c>
      <c r="U64" s="180" t="s">
        <v>83</v>
      </c>
      <c r="V64" s="181">
        <v>377.27850000000001</v>
      </c>
      <c r="W64" s="180" t="s">
        <v>83</v>
      </c>
      <c r="X64" s="181">
        <v>387.34840000000003</v>
      </c>
      <c r="Y64" s="180" t="s">
        <v>83</v>
      </c>
      <c r="Z64" s="181" t="s">
        <v>349</v>
      </c>
    </row>
    <row r="65" spans="1:26" ht="15" x14ac:dyDescent="0.3">
      <c r="A65" s="179" t="s">
        <v>399</v>
      </c>
      <c r="B65" s="178" t="s">
        <v>83</v>
      </c>
      <c r="C65" s="180" t="s">
        <v>83</v>
      </c>
      <c r="D65" s="181">
        <v>2.9184999999999999</v>
      </c>
      <c r="E65" s="180" t="s">
        <v>83</v>
      </c>
      <c r="F65" s="181">
        <v>2.7707000000000002</v>
      </c>
      <c r="G65" s="180" t="s">
        <v>83</v>
      </c>
      <c r="H65" s="181">
        <v>3.2412000000000001</v>
      </c>
      <c r="I65" s="180" t="s">
        <v>83</v>
      </c>
      <c r="J65" s="181">
        <v>2.3169</v>
      </c>
      <c r="K65" s="180" t="s">
        <v>83</v>
      </c>
      <c r="L65" s="181">
        <v>2.8431000000000002</v>
      </c>
      <c r="M65" s="180" t="s">
        <v>83</v>
      </c>
      <c r="N65" s="181">
        <v>0.95220000000000005</v>
      </c>
      <c r="O65" s="180" t="s">
        <v>83</v>
      </c>
      <c r="P65" s="181">
        <v>1.0638000000000001</v>
      </c>
      <c r="Q65" s="180" t="s">
        <v>83</v>
      </c>
      <c r="R65" s="181">
        <v>0.50380000000000003</v>
      </c>
      <c r="S65" s="180" t="s">
        <v>83</v>
      </c>
      <c r="T65" s="181">
        <v>0.52859999999999996</v>
      </c>
      <c r="U65" s="180" t="s">
        <v>83</v>
      </c>
      <c r="V65" s="181">
        <v>0.59599999999999997</v>
      </c>
      <c r="W65" s="180" t="s">
        <v>83</v>
      </c>
      <c r="X65" s="181">
        <v>0.56020000000000003</v>
      </c>
      <c r="Y65" s="180" t="s">
        <v>83</v>
      </c>
      <c r="Z65" s="181" t="s">
        <v>349</v>
      </c>
    </row>
    <row r="66" spans="1:26" ht="15" x14ac:dyDescent="0.3">
      <c r="A66" s="179" t="s">
        <v>400</v>
      </c>
      <c r="B66" s="178" t="s">
        <v>83</v>
      </c>
      <c r="C66" s="180" t="s">
        <v>83</v>
      </c>
      <c r="D66" s="181">
        <v>0</v>
      </c>
      <c r="E66" s="180" t="s">
        <v>83</v>
      </c>
      <c r="F66" s="181">
        <v>0</v>
      </c>
      <c r="G66" s="180" t="s">
        <v>83</v>
      </c>
      <c r="H66" s="181">
        <v>0</v>
      </c>
      <c r="I66" s="180" t="s">
        <v>83</v>
      </c>
      <c r="J66" s="181">
        <v>122.604</v>
      </c>
      <c r="K66" s="180" t="s">
        <v>83</v>
      </c>
      <c r="L66" s="181">
        <v>146.79519999999999</v>
      </c>
      <c r="M66" s="180" t="s">
        <v>83</v>
      </c>
      <c r="N66" s="181">
        <v>174.16739999999999</v>
      </c>
      <c r="O66" s="180" t="s">
        <v>83</v>
      </c>
      <c r="P66" s="181">
        <v>162.0163</v>
      </c>
      <c r="Q66" s="180" t="s">
        <v>83</v>
      </c>
      <c r="R66" s="181">
        <v>151.98779999999999</v>
      </c>
      <c r="S66" s="180" t="s">
        <v>83</v>
      </c>
      <c r="T66" s="181">
        <v>177.01900000000001</v>
      </c>
      <c r="U66" s="180" t="s">
        <v>83</v>
      </c>
      <c r="V66" s="181">
        <v>166.6018</v>
      </c>
      <c r="W66" s="180" t="s">
        <v>83</v>
      </c>
      <c r="X66" s="181">
        <v>166.77430000000001</v>
      </c>
      <c r="Y66" s="180" t="s">
        <v>83</v>
      </c>
      <c r="Z66" s="181" t="s">
        <v>349</v>
      </c>
    </row>
    <row r="67" spans="1:26" ht="15" x14ac:dyDescent="0.3">
      <c r="A67" s="179" t="s">
        <v>401</v>
      </c>
      <c r="B67" s="178" t="s">
        <v>83</v>
      </c>
      <c r="C67" s="180" t="s">
        <v>83</v>
      </c>
      <c r="D67" s="181">
        <v>1.8151999999999999</v>
      </c>
      <c r="E67" s="180" t="s">
        <v>83</v>
      </c>
      <c r="F67" s="181">
        <v>5.0529000000000002</v>
      </c>
      <c r="G67" s="180" t="s">
        <v>83</v>
      </c>
      <c r="H67" s="181">
        <v>5.9016999999999999</v>
      </c>
      <c r="I67" s="180" t="s">
        <v>83</v>
      </c>
      <c r="J67" s="181">
        <v>5.1283000000000003</v>
      </c>
      <c r="K67" s="180" t="s">
        <v>83</v>
      </c>
      <c r="L67" s="181">
        <v>3.4363000000000001</v>
      </c>
      <c r="M67" s="180" t="s">
        <v>83</v>
      </c>
      <c r="N67" s="181">
        <v>3.9367999999999999</v>
      </c>
      <c r="O67" s="180" t="s">
        <v>83</v>
      </c>
      <c r="P67" s="181">
        <v>4.7995000000000001</v>
      </c>
      <c r="Q67" s="180" t="s">
        <v>83</v>
      </c>
      <c r="R67" s="181">
        <v>5.3192000000000004</v>
      </c>
      <c r="S67" s="180" t="s">
        <v>83</v>
      </c>
      <c r="T67" s="181">
        <v>6.0033000000000003</v>
      </c>
      <c r="U67" s="180" t="s">
        <v>83</v>
      </c>
      <c r="V67" s="181">
        <v>5.7869999999999999</v>
      </c>
      <c r="W67" s="180" t="s">
        <v>83</v>
      </c>
      <c r="X67" s="181">
        <v>5.6445999999999996</v>
      </c>
      <c r="Y67" s="180" t="s">
        <v>83</v>
      </c>
      <c r="Z67" s="181" t="s">
        <v>349</v>
      </c>
    </row>
    <row r="68" spans="1:26" ht="15" x14ac:dyDescent="0.3">
      <c r="A68" s="179" t="s">
        <v>402</v>
      </c>
      <c r="B68" s="178" t="s">
        <v>83</v>
      </c>
      <c r="C68" s="180" t="s">
        <v>83</v>
      </c>
      <c r="D68" s="181">
        <v>9.9292999999999996</v>
      </c>
      <c r="E68" s="180" t="s">
        <v>83</v>
      </c>
      <c r="F68" s="181">
        <v>12.818899999999999</v>
      </c>
      <c r="G68" s="180" t="s">
        <v>83</v>
      </c>
      <c r="H68" s="181">
        <v>17.4298</v>
      </c>
      <c r="I68" s="180" t="s">
        <v>83</v>
      </c>
      <c r="J68" s="181">
        <v>27.306000000000001</v>
      </c>
      <c r="K68" s="180" t="s">
        <v>83</v>
      </c>
      <c r="L68" s="181">
        <v>31.291799999999999</v>
      </c>
      <c r="M68" s="180" t="s">
        <v>83</v>
      </c>
      <c r="N68" s="181">
        <v>42.4208</v>
      </c>
      <c r="O68" s="180" t="s">
        <v>83</v>
      </c>
      <c r="P68" s="181">
        <v>45.135800000000003</v>
      </c>
      <c r="Q68" s="180" t="s">
        <v>83</v>
      </c>
      <c r="R68" s="181">
        <v>48.993499999999997</v>
      </c>
      <c r="S68" s="180" t="s">
        <v>83</v>
      </c>
      <c r="T68" s="181">
        <v>49.9343</v>
      </c>
      <c r="U68" s="180" t="s">
        <v>83</v>
      </c>
      <c r="V68" s="181">
        <v>51.755200000000002</v>
      </c>
      <c r="W68" s="180" t="s">
        <v>83</v>
      </c>
      <c r="X68" s="181">
        <v>52.812100000000001</v>
      </c>
      <c r="Y68" s="180" t="s">
        <v>83</v>
      </c>
      <c r="Z68" s="181" t="s">
        <v>349</v>
      </c>
    </row>
    <row r="69" spans="1:26" ht="15" x14ac:dyDescent="0.3">
      <c r="A69" s="179" t="s">
        <v>403</v>
      </c>
      <c r="B69" s="178" t="s">
        <v>83</v>
      </c>
      <c r="C69" s="180" t="s">
        <v>83</v>
      </c>
      <c r="D69" s="181">
        <v>8.3500000000000005E-2</v>
      </c>
      <c r="E69" s="180" t="s">
        <v>83</v>
      </c>
      <c r="F69" s="181">
        <v>-1.0999999999999999E-2</v>
      </c>
      <c r="G69" s="180" t="s">
        <v>83</v>
      </c>
      <c r="H69" s="181">
        <v>0.48759999999999998</v>
      </c>
      <c r="I69" s="180" t="s">
        <v>83</v>
      </c>
      <c r="J69" s="181">
        <v>1.32E-2</v>
      </c>
      <c r="K69" s="180" t="s">
        <v>83</v>
      </c>
      <c r="L69" s="181">
        <v>1.3899999999999999E-2</v>
      </c>
      <c r="M69" s="180" t="s">
        <v>83</v>
      </c>
      <c r="N69" s="181">
        <v>5.96E-2</v>
      </c>
      <c r="O69" s="180" t="s">
        <v>83</v>
      </c>
      <c r="P69" s="181">
        <v>3.5700000000000003E-2</v>
      </c>
      <c r="Q69" s="180" t="s">
        <v>83</v>
      </c>
      <c r="R69" s="181">
        <v>0.1474</v>
      </c>
      <c r="S69" s="180" t="s">
        <v>83</v>
      </c>
      <c r="T69" s="181">
        <v>0.21940000000000001</v>
      </c>
      <c r="U69" s="180" t="s">
        <v>83</v>
      </c>
      <c r="V69" s="181">
        <v>0.2213</v>
      </c>
      <c r="W69" s="180" t="s">
        <v>83</v>
      </c>
      <c r="X69" s="181">
        <v>0.25059999999999999</v>
      </c>
      <c r="Y69" s="180" t="s">
        <v>83</v>
      </c>
      <c r="Z69" s="181" t="s">
        <v>349</v>
      </c>
    </row>
    <row r="70" spans="1:26" ht="15" x14ac:dyDescent="0.3">
      <c r="A70" s="179" t="s">
        <v>404</v>
      </c>
      <c r="B70" s="178" t="s">
        <v>83</v>
      </c>
      <c r="C70" s="180" t="s">
        <v>83</v>
      </c>
      <c r="D70" s="181">
        <v>3.1556999999999999</v>
      </c>
      <c r="E70" s="180" t="s">
        <v>83</v>
      </c>
      <c r="F70" s="181">
        <v>3.8094000000000001</v>
      </c>
      <c r="G70" s="180" t="s">
        <v>83</v>
      </c>
      <c r="H70" s="181">
        <v>4.2900999999999998</v>
      </c>
      <c r="I70" s="180" t="s">
        <v>83</v>
      </c>
      <c r="J70" s="181">
        <v>4.9199000000000002</v>
      </c>
      <c r="K70" s="180" t="s">
        <v>83</v>
      </c>
      <c r="L70" s="181">
        <v>5.5331999999999999</v>
      </c>
      <c r="M70" s="180" t="s">
        <v>83</v>
      </c>
      <c r="N70" s="181">
        <v>12.928100000000001</v>
      </c>
      <c r="O70" s="180" t="s">
        <v>83</v>
      </c>
      <c r="P70" s="181">
        <v>15.7087</v>
      </c>
      <c r="Q70" s="180" t="s">
        <v>83</v>
      </c>
      <c r="R70" s="181">
        <v>17.6967</v>
      </c>
      <c r="S70" s="180" t="s">
        <v>83</v>
      </c>
      <c r="T70" s="181">
        <v>18.152899999999999</v>
      </c>
      <c r="U70" s="180" t="s">
        <v>83</v>
      </c>
      <c r="V70" s="181">
        <v>18.9161</v>
      </c>
      <c r="W70" s="180" t="s">
        <v>83</v>
      </c>
      <c r="X70" s="181">
        <v>19.969799999999999</v>
      </c>
      <c r="Y70" s="180" t="s">
        <v>83</v>
      </c>
      <c r="Z70" s="181" t="s">
        <v>349</v>
      </c>
    </row>
    <row r="71" spans="1:26" ht="15" x14ac:dyDescent="0.3">
      <c r="A71" s="179" t="s">
        <v>405</v>
      </c>
      <c r="B71" s="178" t="s">
        <v>83</v>
      </c>
      <c r="C71" s="180" t="s">
        <v>83</v>
      </c>
      <c r="D71" s="181">
        <v>34.216700000000003</v>
      </c>
      <c r="E71" s="180" t="s">
        <v>83</v>
      </c>
      <c r="F71" s="181">
        <v>50.9664</v>
      </c>
      <c r="G71" s="180" t="s">
        <v>83</v>
      </c>
      <c r="H71" s="181">
        <v>56.1843</v>
      </c>
      <c r="I71" s="180" t="s">
        <v>83</v>
      </c>
      <c r="J71" s="181">
        <v>79.147000000000006</v>
      </c>
      <c r="K71" s="180" t="s">
        <v>83</v>
      </c>
      <c r="L71" s="181">
        <v>88.967500000000001</v>
      </c>
      <c r="M71" s="180" t="s">
        <v>83</v>
      </c>
      <c r="N71" s="181">
        <v>113.3647</v>
      </c>
      <c r="O71" s="180" t="s">
        <v>83</v>
      </c>
      <c r="P71" s="181">
        <v>148.2122</v>
      </c>
      <c r="Q71" s="180" t="s">
        <v>83</v>
      </c>
      <c r="R71" s="181">
        <v>153.0128</v>
      </c>
      <c r="S71" s="180" t="s">
        <v>83</v>
      </c>
      <c r="T71" s="181">
        <v>156.3493</v>
      </c>
      <c r="U71" s="180" t="s">
        <v>83</v>
      </c>
      <c r="V71" s="181">
        <v>164.78710000000001</v>
      </c>
      <c r="W71" s="180" t="s">
        <v>83</v>
      </c>
      <c r="X71" s="181">
        <v>172.602</v>
      </c>
      <c r="Y71" s="180" t="s">
        <v>83</v>
      </c>
      <c r="Z71" s="181" t="s">
        <v>349</v>
      </c>
    </row>
    <row r="72" spans="1:26" ht="15" x14ac:dyDescent="0.3">
      <c r="A72" s="182" t="s">
        <v>406</v>
      </c>
      <c r="B72" s="178" t="s">
        <v>83</v>
      </c>
      <c r="C72" s="180" t="s">
        <v>83</v>
      </c>
      <c r="D72" s="181" t="s">
        <v>349</v>
      </c>
      <c r="E72" s="180" t="s">
        <v>83</v>
      </c>
      <c r="F72" s="181" t="s">
        <v>349</v>
      </c>
      <c r="G72" s="180" t="s">
        <v>83</v>
      </c>
      <c r="H72" s="181" t="s">
        <v>349</v>
      </c>
      <c r="I72" s="180" t="s">
        <v>83</v>
      </c>
      <c r="J72" s="181" t="s">
        <v>349</v>
      </c>
      <c r="K72" s="180" t="s">
        <v>83</v>
      </c>
      <c r="L72" s="181" t="s">
        <v>349</v>
      </c>
      <c r="M72" s="180" t="s">
        <v>83</v>
      </c>
      <c r="N72" s="181" t="s">
        <v>349</v>
      </c>
      <c r="O72" s="180" t="s">
        <v>83</v>
      </c>
      <c r="P72" s="181">
        <v>36.598100000000002</v>
      </c>
      <c r="Q72" s="180" t="s">
        <v>83</v>
      </c>
      <c r="R72" s="181">
        <v>40.712400000000002</v>
      </c>
      <c r="S72" s="180" t="s">
        <v>83</v>
      </c>
      <c r="T72" s="181">
        <v>37.891199999999998</v>
      </c>
      <c r="U72" s="180" t="s">
        <v>83</v>
      </c>
      <c r="V72" s="181">
        <v>39.832099999999997</v>
      </c>
      <c r="W72" s="180" t="s">
        <v>83</v>
      </c>
      <c r="X72" s="181">
        <v>39.906700000000001</v>
      </c>
      <c r="Y72" s="180" t="s">
        <v>83</v>
      </c>
      <c r="Z72" s="181">
        <v>40.418100000000003</v>
      </c>
    </row>
    <row r="73" spans="1:26" ht="15" x14ac:dyDescent="0.3">
      <c r="A73" s="179" t="s">
        <v>407</v>
      </c>
      <c r="B73" s="178" t="s">
        <v>83</v>
      </c>
      <c r="C73" s="180" t="s">
        <v>83</v>
      </c>
      <c r="D73" s="181">
        <v>5.2441000000000004</v>
      </c>
      <c r="E73" s="180" t="s">
        <v>83</v>
      </c>
      <c r="F73" s="181">
        <v>18.107700000000001</v>
      </c>
      <c r="G73" s="180" t="s">
        <v>83</v>
      </c>
      <c r="H73" s="181">
        <v>37.659300000000002</v>
      </c>
      <c r="I73" s="180" t="s">
        <v>83</v>
      </c>
      <c r="J73" s="181">
        <v>46.8917</v>
      </c>
      <c r="K73" s="180" t="s">
        <v>83</v>
      </c>
      <c r="L73" s="181">
        <v>56.780200000000001</v>
      </c>
      <c r="M73" s="180" t="s">
        <v>83</v>
      </c>
      <c r="N73" s="181">
        <v>56.521599999999999</v>
      </c>
      <c r="O73" s="180" t="s">
        <v>83</v>
      </c>
      <c r="P73" s="181">
        <v>43.417499999999997</v>
      </c>
      <c r="Q73" s="180" t="s">
        <v>83</v>
      </c>
      <c r="R73" s="181">
        <v>46.494300000000003</v>
      </c>
      <c r="S73" s="180" t="s">
        <v>83</v>
      </c>
      <c r="T73" s="181">
        <v>43.025500000000001</v>
      </c>
      <c r="U73" s="180" t="s">
        <v>83</v>
      </c>
      <c r="V73" s="181">
        <v>46.085799999999999</v>
      </c>
      <c r="W73" s="180" t="s">
        <v>83</v>
      </c>
      <c r="X73" s="181">
        <v>45.302900000000001</v>
      </c>
      <c r="Y73" s="180" t="s">
        <v>83</v>
      </c>
      <c r="Z73" s="181" t="s">
        <v>349</v>
      </c>
    </row>
    <row r="74" spans="1:26" s="190" customFormat="1" ht="15" x14ac:dyDescent="0.3">
      <c r="A74" s="187" t="s">
        <v>408</v>
      </c>
      <c r="B74" s="178" t="s">
        <v>83</v>
      </c>
      <c r="C74" s="188" t="s">
        <v>83</v>
      </c>
      <c r="D74" s="189">
        <v>777.00990000000002</v>
      </c>
      <c r="E74" s="188" t="s">
        <v>83</v>
      </c>
      <c r="F74" s="189">
        <v>1506.213</v>
      </c>
      <c r="G74" s="188" t="s">
        <v>83</v>
      </c>
      <c r="H74" s="189">
        <v>1989.7149999999999</v>
      </c>
      <c r="I74" s="188" t="s">
        <v>83</v>
      </c>
      <c r="J74" s="189">
        <v>2404.2979999999998</v>
      </c>
      <c r="K74" s="188" t="s">
        <v>83</v>
      </c>
      <c r="L74" s="189">
        <v>2722.4160000000002</v>
      </c>
      <c r="M74" s="188" t="s">
        <v>83</v>
      </c>
      <c r="N74" s="189">
        <v>3610.2570000000001</v>
      </c>
      <c r="O74" s="188" t="s">
        <v>83</v>
      </c>
      <c r="P74" s="189">
        <v>4215.8230000000003</v>
      </c>
      <c r="Q74" s="188" t="s">
        <v>83</v>
      </c>
      <c r="R74" s="189">
        <v>4167.2250000000004</v>
      </c>
      <c r="S74" s="188" t="s">
        <v>83</v>
      </c>
      <c r="T74" s="189">
        <v>4257.3900000000003</v>
      </c>
      <c r="U74" s="188" t="s">
        <v>83</v>
      </c>
      <c r="V74" s="189">
        <v>4176.6660000000002</v>
      </c>
      <c r="W74" s="188" t="s">
        <v>83</v>
      </c>
      <c r="X74" s="189">
        <v>4345.7650000000003</v>
      </c>
      <c r="Y74" s="188" t="s">
        <v>83</v>
      </c>
      <c r="Z74" s="189" t="s">
        <v>349</v>
      </c>
    </row>
    <row r="75" spans="1:26" ht="15" x14ac:dyDescent="0.3">
      <c r="A75" s="179" t="s">
        <v>409</v>
      </c>
      <c r="B75" s="178" t="s">
        <v>83</v>
      </c>
      <c r="C75" s="180" t="s">
        <v>83</v>
      </c>
      <c r="D75" s="181">
        <v>1.41E-2</v>
      </c>
      <c r="E75" s="180" t="s">
        <v>83</v>
      </c>
      <c r="F75" s="181">
        <v>1.8499999999999999E-2</v>
      </c>
      <c r="G75" s="180" t="s">
        <v>83</v>
      </c>
      <c r="H75" s="181">
        <v>1.6299999999999999E-2</v>
      </c>
      <c r="I75" s="180" t="s">
        <v>83</v>
      </c>
      <c r="J75" s="181">
        <v>1.83E-2</v>
      </c>
      <c r="K75" s="180" t="s">
        <v>83</v>
      </c>
      <c r="L75" s="181">
        <v>1.9699999999999999E-2</v>
      </c>
      <c r="M75" s="180" t="s">
        <v>83</v>
      </c>
      <c r="N75" s="181">
        <v>1.9400000000000001E-2</v>
      </c>
      <c r="O75" s="180" t="s">
        <v>83</v>
      </c>
      <c r="P75" s="181">
        <v>2.5399999999999999E-2</v>
      </c>
      <c r="Q75" s="180" t="s">
        <v>83</v>
      </c>
      <c r="R75" s="181">
        <v>2.5700000000000001E-2</v>
      </c>
      <c r="S75" s="180" t="s">
        <v>83</v>
      </c>
      <c r="T75" s="181">
        <v>1.95E-2</v>
      </c>
      <c r="U75" s="180" t="s">
        <v>83</v>
      </c>
      <c r="V75" s="181">
        <v>2.3599999999999999E-2</v>
      </c>
      <c r="W75" s="180" t="s">
        <v>83</v>
      </c>
      <c r="X75" s="181">
        <v>3.2099999999999997E-2</v>
      </c>
      <c r="Y75" s="180" t="s">
        <v>83</v>
      </c>
      <c r="Z75" s="181" t="s">
        <v>349</v>
      </c>
    </row>
    <row r="76" spans="1:26" ht="15" x14ac:dyDescent="0.3">
      <c r="A76" s="179" t="s">
        <v>410</v>
      </c>
      <c r="B76" s="178" t="s">
        <v>83</v>
      </c>
      <c r="C76" s="180" t="s">
        <v>83</v>
      </c>
      <c r="D76" s="181">
        <v>1.1616</v>
      </c>
      <c r="E76" s="180" t="s">
        <v>83</v>
      </c>
      <c r="F76" s="181">
        <v>2.7484999999999999</v>
      </c>
      <c r="G76" s="180" t="s">
        <v>83</v>
      </c>
      <c r="H76" s="181">
        <v>4.0876000000000001</v>
      </c>
      <c r="I76" s="180" t="s">
        <v>83</v>
      </c>
      <c r="J76" s="181">
        <v>5.0955000000000004</v>
      </c>
      <c r="K76" s="180" t="s">
        <v>83</v>
      </c>
      <c r="L76" s="181">
        <v>4.9120999999999997</v>
      </c>
      <c r="M76" s="180" t="s">
        <v>83</v>
      </c>
      <c r="N76" s="181">
        <v>7.0750999999999999</v>
      </c>
      <c r="O76" s="180" t="s">
        <v>83</v>
      </c>
      <c r="P76" s="181">
        <v>7.5845000000000002</v>
      </c>
      <c r="Q76" s="180" t="s">
        <v>83</v>
      </c>
      <c r="R76" s="181">
        <v>7.8933999999999997</v>
      </c>
      <c r="S76" s="180" t="s">
        <v>83</v>
      </c>
      <c r="T76" s="181">
        <v>8.9821000000000009</v>
      </c>
      <c r="U76" s="180" t="s">
        <v>83</v>
      </c>
      <c r="V76" s="181">
        <v>6.0594000000000001</v>
      </c>
      <c r="W76" s="180" t="s">
        <v>83</v>
      </c>
      <c r="X76" s="181">
        <v>3.9426000000000001</v>
      </c>
      <c r="Y76" s="180" t="s">
        <v>83</v>
      </c>
      <c r="Z76" s="181" t="s">
        <v>349</v>
      </c>
    </row>
    <row r="77" spans="1:26" ht="15" x14ac:dyDescent="0.3">
      <c r="A77" s="179" t="s">
        <v>411</v>
      </c>
      <c r="B77" s="178" t="s">
        <v>83</v>
      </c>
      <c r="C77" s="180" t="s">
        <v>83</v>
      </c>
      <c r="D77" s="181">
        <v>121.2009</v>
      </c>
      <c r="E77" s="180" t="s">
        <v>83</v>
      </c>
      <c r="F77" s="181">
        <v>166.64769999999999</v>
      </c>
      <c r="G77" s="180" t="s">
        <v>83</v>
      </c>
      <c r="H77" s="181" t="s">
        <v>349</v>
      </c>
      <c r="I77" s="180" t="s">
        <v>83</v>
      </c>
      <c r="J77" s="181">
        <v>102.1144</v>
      </c>
      <c r="K77" s="180" t="s">
        <v>83</v>
      </c>
      <c r="L77" s="181">
        <v>127.75579999999999</v>
      </c>
      <c r="M77" s="180" t="s">
        <v>83</v>
      </c>
      <c r="N77" s="181">
        <v>122.16759999999999</v>
      </c>
      <c r="O77" s="180" t="s">
        <v>83</v>
      </c>
      <c r="P77" s="181">
        <v>154.88059999999999</v>
      </c>
      <c r="Q77" s="180" t="s">
        <v>83</v>
      </c>
      <c r="R77" s="181">
        <v>136.44059999999999</v>
      </c>
      <c r="S77" s="180" t="s">
        <v>83</v>
      </c>
      <c r="T77" s="181">
        <v>141.28880000000001</v>
      </c>
      <c r="U77" s="180" t="s">
        <v>83</v>
      </c>
      <c r="V77" s="181">
        <v>144.79499999999999</v>
      </c>
      <c r="W77" s="180" t="s">
        <v>83</v>
      </c>
      <c r="X77" s="181">
        <v>145.65020000000001</v>
      </c>
      <c r="Y77" s="180" t="s">
        <v>83</v>
      </c>
      <c r="Z77" s="181">
        <v>143.16839999999999</v>
      </c>
    </row>
    <row r="78" spans="1:26" ht="15" x14ac:dyDescent="0.3">
      <c r="A78" s="182" t="s">
        <v>412</v>
      </c>
      <c r="B78" s="178" t="s">
        <v>83</v>
      </c>
      <c r="C78" s="180" t="s">
        <v>83</v>
      </c>
      <c r="D78" s="181">
        <v>16.9526</v>
      </c>
      <c r="E78" s="180" t="s">
        <v>83</v>
      </c>
      <c r="F78" s="181">
        <v>20.29</v>
      </c>
      <c r="G78" s="180" t="s">
        <v>83</v>
      </c>
      <c r="H78" s="181">
        <v>29.365100000000002</v>
      </c>
      <c r="I78" s="180" t="s">
        <v>83</v>
      </c>
      <c r="J78" s="181">
        <v>36.381</v>
      </c>
      <c r="K78" s="180" t="s">
        <v>83</v>
      </c>
      <c r="L78" s="181">
        <v>55.9664</v>
      </c>
      <c r="M78" s="180" t="s">
        <v>83</v>
      </c>
      <c r="N78" s="181">
        <v>75.947599999999994</v>
      </c>
      <c r="O78" s="180" t="s">
        <v>83</v>
      </c>
      <c r="P78" s="181">
        <v>88.292000000000002</v>
      </c>
      <c r="Q78" s="180" t="s">
        <v>83</v>
      </c>
      <c r="R78" s="181">
        <v>93.690600000000003</v>
      </c>
      <c r="S78" s="180" t="s">
        <v>83</v>
      </c>
      <c r="T78" s="181">
        <v>98.053399999999996</v>
      </c>
      <c r="U78" s="180" t="s">
        <v>83</v>
      </c>
      <c r="V78" s="181">
        <v>93.910899999999998</v>
      </c>
      <c r="W78" s="180" t="s">
        <v>83</v>
      </c>
      <c r="X78" s="181">
        <v>96.843999999999994</v>
      </c>
      <c r="Y78" s="180" t="s">
        <v>83</v>
      </c>
      <c r="Z78" s="181" t="s">
        <v>349</v>
      </c>
    </row>
    <row r="79" spans="1:26" ht="15" x14ac:dyDescent="0.3">
      <c r="A79" s="179" t="s">
        <v>413</v>
      </c>
      <c r="B79" s="178" t="s">
        <v>83</v>
      </c>
      <c r="C79" s="180" t="s">
        <v>83</v>
      </c>
      <c r="D79" s="181">
        <v>8.3046000000000006</v>
      </c>
      <c r="E79" s="180" t="s">
        <v>83</v>
      </c>
      <c r="F79" s="181">
        <v>9.1734000000000009</v>
      </c>
      <c r="G79" s="180" t="s">
        <v>83</v>
      </c>
      <c r="H79" s="181">
        <v>12.180199999999999</v>
      </c>
      <c r="I79" s="180" t="s">
        <v>83</v>
      </c>
      <c r="J79" s="181">
        <v>11.598699999999999</v>
      </c>
      <c r="K79" s="180" t="s">
        <v>83</v>
      </c>
      <c r="L79" s="181">
        <v>17.338699999999999</v>
      </c>
      <c r="M79" s="180" t="s">
        <v>83</v>
      </c>
      <c r="N79" s="181">
        <v>17.944299999999998</v>
      </c>
      <c r="O79" s="180" t="s">
        <v>83</v>
      </c>
      <c r="P79" s="181">
        <v>18.135999999999999</v>
      </c>
      <c r="Q79" s="180" t="s">
        <v>83</v>
      </c>
      <c r="R79" s="181">
        <v>19.0915</v>
      </c>
      <c r="S79" s="180" t="s">
        <v>83</v>
      </c>
      <c r="T79" s="181">
        <v>19.097899999999999</v>
      </c>
      <c r="U79" s="180" t="s">
        <v>83</v>
      </c>
      <c r="V79" s="181">
        <v>20.947299999999998</v>
      </c>
      <c r="W79" s="180" t="s">
        <v>83</v>
      </c>
      <c r="X79" s="181">
        <v>21.096800000000002</v>
      </c>
      <c r="Y79" s="180" t="s">
        <v>83</v>
      </c>
      <c r="Z79" s="181" t="s">
        <v>349</v>
      </c>
    </row>
    <row r="80" spans="1:26" ht="15" x14ac:dyDescent="0.3">
      <c r="A80" s="182" t="s">
        <v>414</v>
      </c>
      <c r="B80" s="178" t="s">
        <v>83</v>
      </c>
      <c r="C80" s="180" t="s">
        <v>83</v>
      </c>
      <c r="D80" s="181">
        <v>32.318800000000003</v>
      </c>
      <c r="E80" s="180" t="s">
        <v>83</v>
      </c>
      <c r="F80" s="181">
        <v>19.302700000000002</v>
      </c>
      <c r="G80" s="180" t="s">
        <v>83</v>
      </c>
      <c r="H80" s="181">
        <v>30.081199999999999</v>
      </c>
      <c r="I80" s="180" t="s">
        <v>83</v>
      </c>
      <c r="J80" s="181">
        <v>37.927100000000003</v>
      </c>
      <c r="K80" s="180" t="s">
        <v>83</v>
      </c>
      <c r="L80" s="181">
        <v>46.191200000000002</v>
      </c>
      <c r="M80" s="180" t="s">
        <v>83</v>
      </c>
      <c r="N80" s="181">
        <v>119.4109</v>
      </c>
      <c r="O80" s="180" t="s">
        <v>83</v>
      </c>
      <c r="P80" s="181">
        <v>85.329599999999999</v>
      </c>
      <c r="Q80" s="180" t="s">
        <v>83</v>
      </c>
      <c r="R80" s="181">
        <v>88.546099999999996</v>
      </c>
      <c r="S80" s="180" t="s">
        <v>83</v>
      </c>
      <c r="T80" s="181">
        <v>95.165099999999995</v>
      </c>
      <c r="U80" s="180" t="s">
        <v>83</v>
      </c>
      <c r="V80" s="181">
        <v>107.97969999999999</v>
      </c>
      <c r="W80" s="180" t="s">
        <v>83</v>
      </c>
      <c r="X80" s="181">
        <v>112.3969</v>
      </c>
      <c r="Y80" s="180" t="s">
        <v>83</v>
      </c>
      <c r="Z80" s="181" t="s">
        <v>349</v>
      </c>
    </row>
    <row r="81" spans="1:26" ht="15" x14ac:dyDescent="0.3">
      <c r="A81" s="179" t="s">
        <v>415</v>
      </c>
      <c r="B81" s="178" t="s">
        <v>83</v>
      </c>
      <c r="C81" s="180" t="s">
        <v>83</v>
      </c>
      <c r="D81" s="181">
        <v>22.471699999999998</v>
      </c>
      <c r="E81" s="180" t="s">
        <v>83</v>
      </c>
      <c r="F81" s="181">
        <v>33.987099999999998</v>
      </c>
      <c r="G81" s="180" t="s">
        <v>83</v>
      </c>
      <c r="H81" s="181">
        <v>42.643500000000003</v>
      </c>
      <c r="I81" s="180" t="s">
        <v>83</v>
      </c>
      <c r="J81" s="181">
        <v>54.684899999999999</v>
      </c>
      <c r="K81" s="180" t="s">
        <v>83</v>
      </c>
      <c r="L81" s="181">
        <v>66.581500000000005</v>
      </c>
      <c r="M81" s="180" t="s">
        <v>83</v>
      </c>
      <c r="N81" s="181">
        <v>81.273099999999999</v>
      </c>
      <c r="O81" s="180" t="s">
        <v>83</v>
      </c>
      <c r="P81" s="181">
        <v>105.6528</v>
      </c>
      <c r="Q81" s="180" t="s">
        <v>83</v>
      </c>
      <c r="R81" s="181">
        <v>111.84739999999999</v>
      </c>
      <c r="S81" s="180" t="s">
        <v>83</v>
      </c>
      <c r="T81" s="181">
        <v>118.17910000000001</v>
      </c>
      <c r="U81" s="180" t="s">
        <v>83</v>
      </c>
      <c r="V81" s="181">
        <v>102.0668</v>
      </c>
      <c r="W81" s="180" t="s">
        <v>83</v>
      </c>
      <c r="X81" s="181">
        <v>105.7786</v>
      </c>
      <c r="Y81" s="180" t="s">
        <v>83</v>
      </c>
      <c r="Z81" s="181" t="s">
        <v>349</v>
      </c>
    </row>
    <row r="82" spans="1:26" ht="15" x14ac:dyDescent="0.3">
      <c r="A82" s="179" t="s">
        <v>416</v>
      </c>
      <c r="B82" s="178" t="s">
        <v>83</v>
      </c>
      <c r="C82" s="180" t="s">
        <v>83</v>
      </c>
      <c r="D82" s="181">
        <v>1.7585999999999999</v>
      </c>
      <c r="E82" s="180" t="s">
        <v>83</v>
      </c>
      <c r="F82" s="181">
        <v>1.889</v>
      </c>
      <c r="G82" s="180" t="s">
        <v>83</v>
      </c>
      <c r="H82" s="181">
        <v>3.0644999999999998</v>
      </c>
      <c r="I82" s="180" t="s">
        <v>83</v>
      </c>
      <c r="J82" s="181">
        <v>2.7357999999999998</v>
      </c>
      <c r="K82" s="180" t="s">
        <v>83</v>
      </c>
      <c r="L82" s="181">
        <v>3.2972999999999999</v>
      </c>
      <c r="M82" s="180" t="s">
        <v>83</v>
      </c>
      <c r="N82" s="181">
        <v>3.6206</v>
      </c>
      <c r="O82" s="180" t="s">
        <v>83</v>
      </c>
      <c r="P82" s="181">
        <v>2.9950999999999999</v>
      </c>
      <c r="Q82" s="180" t="s">
        <v>83</v>
      </c>
      <c r="R82" s="181">
        <v>3.3</v>
      </c>
      <c r="S82" s="180" t="s">
        <v>83</v>
      </c>
      <c r="T82" s="181">
        <v>3.2717000000000001</v>
      </c>
      <c r="U82" s="180" t="s">
        <v>83</v>
      </c>
      <c r="V82" s="181">
        <v>3.1345000000000001</v>
      </c>
      <c r="W82" s="180" t="s">
        <v>83</v>
      </c>
      <c r="X82" s="181">
        <v>3.0541</v>
      </c>
      <c r="Y82" s="180" t="s">
        <v>83</v>
      </c>
      <c r="Z82" s="181" t="s">
        <v>349</v>
      </c>
    </row>
    <row r="83" spans="1:26" ht="15" x14ac:dyDescent="0.3">
      <c r="A83" s="179" t="s">
        <v>417</v>
      </c>
      <c r="B83" s="178" t="s">
        <v>83</v>
      </c>
      <c r="C83" s="180" t="s">
        <v>83</v>
      </c>
      <c r="D83" s="181">
        <v>1.35E-2</v>
      </c>
      <c r="E83" s="180" t="s">
        <v>83</v>
      </c>
      <c r="F83" s="181">
        <v>8.4500000000000006E-2</v>
      </c>
      <c r="G83" s="180" t="s">
        <v>83</v>
      </c>
      <c r="H83" s="181">
        <v>5.5300000000000002E-2</v>
      </c>
      <c r="I83" s="180" t="s">
        <v>83</v>
      </c>
      <c r="J83" s="181">
        <v>6.2300000000000001E-2</v>
      </c>
      <c r="K83" s="180" t="s">
        <v>83</v>
      </c>
      <c r="L83" s="181">
        <v>0.1089</v>
      </c>
      <c r="M83" s="180" t="s">
        <v>83</v>
      </c>
      <c r="N83" s="181">
        <v>0.15820000000000001</v>
      </c>
      <c r="O83" s="180" t="s">
        <v>83</v>
      </c>
      <c r="P83" s="181">
        <v>0.1159</v>
      </c>
      <c r="Q83" s="180" t="s">
        <v>83</v>
      </c>
      <c r="R83" s="181">
        <v>0.1153</v>
      </c>
      <c r="S83" s="180" t="s">
        <v>83</v>
      </c>
      <c r="T83" s="181">
        <v>0.1106</v>
      </c>
      <c r="U83" s="180" t="s">
        <v>83</v>
      </c>
      <c r="V83" s="181">
        <v>0.11360000000000001</v>
      </c>
      <c r="W83" s="180" t="s">
        <v>83</v>
      </c>
      <c r="X83" s="181">
        <v>0.1338</v>
      </c>
      <c r="Y83" s="180" t="s">
        <v>83</v>
      </c>
      <c r="Z83" s="181" t="s">
        <v>349</v>
      </c>
    </row>
    <row r="84" spans="1:26" ht="15" x14ac:dyDescent="0.3">
      <c r="A84" s="179" t="s">
        <v>418</v>
      </c>
      <c r="B84" s="178" t="s">
        <v>83</v>
      </c>
      <c r="C84" s="180" t="s">
        <v>83</v>
      </c>
      <c r="D84" s="181">
        <v>6.5057</v>
      </c>
      <c r="E84" s="180" t="s">
        <v>83</v>
      </c>
      <c r="F84" s="181">
        <v>9.3544</v>
      </c>
      <c r="G84" s="180" t="s">
        <v>83</v>
      </c>
      <c r="H84" s="181">
        <v>11.56</v>
      </c>
      <c r="I84" s="180" t="s">
        <v>83</v>
      </c>
      <c r="J84" s="181">
        <v>13.3866</v>
      </c>
      <c r="K84" s="180" t="s">
        <v>83</v>
      </c>
      <c r="L84" s="181">
        <v>14.5162</v>
      </c>
      <c r="M84" s="180" t="s">
        <v>83</v>
      </c>
      <c r="N84" s="181">
        <v>16.041699999999999</v>
      </c>
      <c r="O84" s="180" t="s">
        <v>83</v>
      </c>
      <c r="P84" s="181">
        <v>16.6218</v>
      </c>
      <c r="Q84" s="180" t="s">
        <v>83</v>
      </c>
      <c r="R84" s="181">
        <v>17.178899999999999</v>
      </c>
      <c r="S84" s="180" t="s">
        <v>83</v>
      </c>
      <c r="T84" s="181">
        <v>17.712</v>
      </c>
      <c r="U84" s="180" t="s">
        <v>83</v>
      </c>
      <c r="V84" s="181">
        <v>17.828099999999999</v>
      </c>
      <c r="W84" s="180" t="s">
        <v>83</v>
      </c>
      <c r="X84" s="181">
        <v>18.114999999999998</v>
      </c>
      <c r="Y84" s="180" t="s">
        <v>83</v>
      </c>
      <c r="Z84" s="181" t="s">
        <v>349</v>
      </c>
    </row>
    <row r="85" spans="1:26" ht="15" x14ac:dyDescent="0.3">
      <c r="A85" s="179" t="s">
        <v>419</v>
      </c>
      <c r="B85" s="178" t="s">
        <v>83</v>
      </c>
      <c r="C85" s="180" t="s">
        <v>83</v>
      </c>
      <c r="D85" s="181">
        <v>19.302</v>
      </c>
      <c r="E85" s="180" t="s">
        <v>83</v>
      </c>
      <c r="F85" s="181">
        <v>19.797599999999999</v>
      </c>
      <c r="G85" s="180" t="s">
        <v>83</v>
      </c>
      <c r="H85" s="181">
        <v>21.376000000000001</v>
      </c>
      <c r="I85" s="180" t="s">
        <v>83</v>
      </c>
      <c r="J85" s="181">
        <v>49.5505</v>
      </c>
      <c r="K85" s="180" t="s">
        <v>83</v>
      </c>
      <c r="L85" s="181">
        <v>66.922600000000003</v>
      </c>
      <c r="M85" s="180" t="s">
        <v>83</v>
      </c>
      <c r="N85" s="181">
        <v>90.097099999999998</v>
      </c>
      <c r="O85" s="180" t="s">
        <v>83</v>
      </c>
      <c r="P85" s="181">
        <v>117.3077</v>
      </c>
      <c r="Q85" s="180" t="s">
        <v>83</v>
      </c>
      <c r="R85" s="181">
        <v>126.3931</v>
      </c>
      <c r="S85" s="180" t="s">
        <v>83</v>
      </c>
      <c r="T85" s="181">
        <v>131.07060000000001</v>
      </c>
      <c r="U85" s="180" t="s">
        <v>83</v>
      </c>
      <c r="V85" s="181">
        <v>136.17359999999999</v>
      </c>
      <c r="W85" s="180" t="s">
        <v>83</v>
      </c>
      <c r="X85" s="181">
        <v>141.19890000000001</v>
      </c>
      <c r="Y85" s="180" t="s">
        <v>83</v>
      </c>
      <c r="Z85" s="181" t="s">
        <v>349</v>
      </c>
    </row>
    <row r="86" spans="1:26" s="190" customFormat="1" ht="20.399999999999999" x14ac:dyDescent="0.3">
      <c r="A86" s="187" t="s">
        <v>420</v>
      </c>
      <c r="B86" s="178" t="s">
        <v>83</v>
      </c>
      <c r="C86" s="188" t="s">
        <v>83</v>
      </c>
      <c r="D86" s="189">
        <v>2526.1889999999999</v>
      </c>
      <c r="E86" s="188" t="s">
        <v>83</v>
      </c>
      <c r="F86" s="189">
        <v>3899.41</v>
      </c>
      <c r="G86" s="188" t="s">
        <v>83</v>
      </c>
      <c r="H86" s="189">
        <v>7034.1080000000002</v>
      </c>
      <c r="I86" s="188" t="s">
        <v>83</v>
      </c>
      <c r="J86" s="189">
        <v>12249.97</v>
      </c>
      <c r="K86" s="188" t="s">
        <v>83</v>
      </c>
      <c r="L86" s="189">
        <v>17366.16</v>
      </c>
      <c r="M86" s="188" t="s">
        <v>83</v>
      </c>
      <c r="N86" s="189">
        <v>26440.68</v>
      </c>
      <c r="O86" s="188" t="s">
        <v>83</v>
      </c>
      <c r="P86" s="189">
        <v>32476.25</v>
      </c>
      <c r="Q86" s="188" t="s">
        <v>83</v>
      </c>
      <c r="R86" s="189">
        <v>32626.89</v>
      </c>
      <c r="S86" s="188" t="s">
        <v>83</v>
      </c>
      <c r="T86" s="189">
        <v>32617.85</v>
      </c>
      <c r="U86" s="188" t="s">
        <v>83</v>
      </c>
      <c r="V86" s="189">
        <v>31628.49</v>
      </c>
      <c r="W86" s="188" t="s">
        <v>83</v>
      </c>
      <c r="X86" s="189">
        <v>32878.019999999997</v>
      </c>
      <c r="Y86" s="188" t="s">
        <v>83</v>
      </c>
      <c r="Z86" s="189" t="s">
        <v>349</v>
      </c>
    </row>
    <row r="87" spans="1:26" ht="15" x14ac:dyDescent="0.3">
      <c r="A87" s="179" t="s">
        <v>421</v>
      </c>
      <c r="B87" s="178" t="s">
        <v>83</v>
      </c>
      <c r="C87" s="180" t="s">
        <v>83</v>
      </c>
      <c r="D87" s="181">
        <v>0.59240000000000004</v>
      </c>
      <c r="E87" s="180" t="s">
        <v>83</v>
      </c>
      <c r="F87" s="181">
        <v>0.61339999999999995</v>
      </c>
      <c r="G87" s="180" t="s">
        <v>83</v>
      </c>
      <c r="H87" s="181">
        <v>0.70209999999999995</v>
      </c>
      <c r="I87" s="180" t="s">
        <v>83</v>
      </c>
      <c r="J87" s="181">
        <v>1.1263000000000001</v>
      </c>
      <c r="K87" s="180" t="s">
        <v>83</v>
      </c>
      <c r="L87" s="181">
        <v>1.6322000000000001</v>
      </c>
      <c r="M87" s="180" t="s">
        <v>83</v>
      </c>
      <c r="N87" s="181">
        <v>1.9317</v>
      </c>
      <c r="O87" s="180" t="s">
        <v>83</v>
      </c>
      <c r="P87" s="181">
        <v>2.2071999999999998</v>
      </c>
      <c r="Q87" s="180" t="s">
        <v>83</v>
      </c>
      <c r="R87" s="181">
        <v>2.0571000000000002</v>
      </c>
      <c r="S87" s="180" t="s">
        <v>83</v>
      </c>
      <c r="T87" s="181">
        <v>2.2785000000000002</v>
      </c>
      <c r="U87" s="180" t="s">
        <v>83</v>
      </c>
      <c r="V87" s="181">
        <v>2.3814000000000002</v>
      </c>
      <c r="W87" s="180" t="s">
        <v>83</v>
      </c>
      <c r="X87" s="181">
        <v>2.4842</v>
      </c>
      <c r="Y87" s="180" t="s">
        <v>83</v>
      </c>
      <c r="Z87" s="181" t="s">
        <v>349</v>
      </c>
    </row>
    <row r="88" spans="1:26" ht="15" x14ac:dyDescent="0.3">
      <c r="A88" s="179" t="s">
        <v>422</v>
      </c>
      <c r="B88" s="178" t="s">
        <v>83</v>
      </c>
      <c r="C88" s="180" t="s">
        <v>83</v>
      </c>
      <c r="D88" s="181">
        <v>3.9325000000000001</v>
      </c>
      <c r="E88" s="180" t="s">
        <v>83</v>
      </c>
      <c r="F88" s="181">
        <v>4.2020999999999997</v>
      </c>
      <c r="G88" s="180" t="s">
        <v>83</v>
      </c>
      <c r="H88" s="181">
        <v>5.4665999999999997</v>
      </c>
      <c r="I88" s="180" t="s">
        <v>83</v>
      </c>
      <c r="J88" s="181">
        <v>6.6219000000000001</v>
      </c>
      <c r="K88" s="180" t="s">
        <v>83</v>
      </c>
      <c r="L88" s="181">
        <v>9.5040999999999993</v>
      </c>
      <c r="M88" s="180" t="s">
        <v>83</v>
      </c>
      <c r="N88" s="181">
        <v>10.482799999999999</v>
      </c>
      <c r="O88" s="180" t="s">
        <v>83</v>
      </c>
      <c r="P88" s="181">
        <v>17.546299999999999</v>
      </c>
      <c r="Q88" s="180" t="s">
        <v>83</v>
      </c>
      <c r="R88" s="181">
        <v>18.063199999999998</v>
      </c>
      <c r="S88" s="180" t="s">
        <v>83</v>
      </c>
      <c r="T88" s="181">
        <v>18.580100000000002</v>
      </c>
      <c r="U88" s="180" t="s">
        <v>83</v>
      </c>
      <c r="V88" s="181" t="s">
        <v>349</v>
      </c>
      <c r="W88" s="180" t="s">
        <v>83</v>
      </c>
      <c r="X88" s="181" t="s">
        <v>349</v>
      </c>
      <c r="Y88" s="180" t="s">
        <v>83</v>
      </c>
      <c r="Z88" s="181" t="s">
        <v>349</v>
      </c>
    </row>
    <row r="89" spans="1:26" ht="20.399999999999999" x14ac:dyDescent="0.3">
      <c r="A89" s="182" t="s">
        <v>423</v>
      </c>
      <c r="B89" s="178" t="s">
        <v>83</v>
      </c>
      <c r="C89" s="180" t="s">
        <v>83</v>
      </c>
      <c r="D89" s="181">
        <v>117.9877</v>
      </c>
      <c r="E89" s="180" t="s">
        <v>83</v>
      </c>
      <c r="F89" s="181">
        <v>123.74509999999999</v>
      </c>
      <c r="G89" s="180" t="s">
        <v>83</v>
      </c>
      <c r="H89" s="181">
        <v>151.63200000000001</v>
      </c>
      <c r="I89" s="180" t="s">
        <v>83</v>
      </c>
      <c r="J89" s="181">
        <v>126.6435</v>
      </c>
      <c r="K89" s="180" t="s">
        <v>83</v>
      </c>
      <c r="L89" s="181">
        <v>155.18039999999999</v>
      </c>
      <c r="M89" s="180" t="s">
        <v>83</v>
      </c>
      <c r="N89" s="181">
        <v>192.46709999999999</v>
      </c>
      <c r="O89" s="180" t="s">
        <v>83</v>
      </c>
      <c r="P89" s="181">
        <v>283.30130000000003</v>
      </c>
      <c r="Q89" s="180" t="s">
        <v>83</v>
      </c>
      <c r="R89" s="181">
        <v>275.2912</v>
      </c>
      <c r="S89" s="180" t="s">
        <v>83</v>
      </c>
      <c r="T89" s="181">
        <v>289.74040000000002</v>
      </c>
      <c r="U89" s="180" t="s">
        <v>83</v>
      </c>
      <c r="V89" s="181">
        <v>301.37509999999997</v>
      </c>
      <c r="W89" s="180" t="s">
        <v>83</v>
      </c>
      <c r="X89" s="181">
        <v>313.5487</v>
      </c>
      <c r="Y89" s="180" t="s">
        <v>83</v>
      </c>
      <c r="Z89" s="181" t="s">
        <v>349</v>
      </c>
    </row>
    <row r="90" spans="1:26" ht="15" x14ac:dyDescent="0.3">
      <c r="A90" s="179" t="s">
        <v>424</v>
      </c>
      <c r="B90" s="178" t="s">
        <v>83</v>
      </c>
      <c r="C90" s="180" t="s">
        <v>83</v>
      </c>
      <c r="D90" s="181">
        <v>6.6100000000000006E-2</v>
      </c>
      <c r="E90" s="180" t="s">
        <v>83</v>
      </c>
      <c r="F90" s="181">
        <v>7.9500000000000001E-2</v>
      </c>
      <c r="G90" s="180" t="s">
        <v>83</v>
      </c>
      <c r="H90" s="181">
        <v>3.7400000000000003E-2</v>
      </c>
      <c r="I90" s="180" t="s">
        <v>83</v>
      </c>
      <c r="J90" s="181">
        <v>3.2500000000000001E-2</v>
      </c>
      <c r="K90" s="180" t="s">
        <v>83</v>
      </c>
      <c r="L90" s="181">
        <v>3.4200000000000001E-2</v>
      </c>
      <c r="M90" s="180" t="s">
        <v>83</v>
      </c>
      <c r="N90" s="181">
        <v>3.2300000000000002E-2</v>
      </c>
      <c r="O90" s="180" t="s">
        <v>83</v>
      </c>
      <c r="P90" s="181">
        <v>2.6599999999999999E-2</v>
      </c>
      <c r="Q90" s="180" t="s">
        <v>83</v>
      </c>
      <c r="R90" s="181">
        <v>2.4199999999999999E-2</v>
      </c>
      <c r="S90" s="180" t="s">
        <v>83</v>
      </c>
      <c r="T90" s="181">
        <v>2.4799999999999999E-2</v>
      </c>
      <c r="U90" s="180" t="s">
        <v>83</v>
      </c>
      <c r="V90" s="181">
        <v>2.3199999999999998E-2</v>
      </c>
      <c r="W90" s="180" t="s">
        <v>83</v>
      </c>
      <c r="X90" s="181">
        <v>2.41E-2</v>
      </c>
      <c r="Y90" s="180" t="s">
        <v>83</v>
      </c>
      <c r="Z90" s="181" t="s">
        <v>349</v>
      </c>
    </row>
    <row r="91" spans="1:26" ht="15" x14ac:dyDescent="0.3">
      <c r="A91" s="182" t="s">
        <v>425</v>
      </c>
      <c r="B91" s="178" t="s">
        <v>83</v>
      </c>
      <c r="C91" s="180" t="s">
        <v>83</v>
      </c>
      <c r="D91" s="181">
        <v>22.848800000000001</v>
      </c>
      <c r="E91" s="180" t="s">
        <v>83</v>
      </c>
      <c r="F91" s="181">
        <v>45.8217</v>
      </c>
      <c r="G91" s="180" t="s">
        <v>83</v>
      </c>
      <c r="H91" s="181">
        <v>42.580599999999997</v>
      </c>
      <c r="I91" s="180" t="s">
        <v>83</v>
      </c>
      <c r="J91" s="181">
        <v>53.636699999999998</v>
      </c>
      <c r="K91" s="180" t="s">
        <v>83</v>
      </c>
      <c r="L91" s="181">
        <v>54.628599999999999</v>
      </c>
      <c r="M91" s="180" t="s">
        <v>83</v>
      </c>
      <c r="N91" s="181">
        <v>60.579500000000003</v>
      </c>
      <c r="O91" s="180" t="s">
        <v>83</v>
      </c>
      <c r="P91" s="181">
        <v>113.6918</v>
      </c>
      <c r="Q91" s="180" t="s">
        <v>83</v>
      </c>
      <c r="R91" s="181">
        <v>128.28440000000001</v>
      </c>
      <c r="S91" s="180" t="s">
        <v>83</v>
      </c>
      <c r="T91" s="181">
        <v>127.5759</v>
      </c>
      <c r="U91" s="180" t="s">
        <v>83</v>
      </c>
      <c r="V91" s="181">
        <v>130.6318</v>
      </c>
      <c r="W91" s="180" t="s">
        <v>83</v>
      </c>
      <c r="X91" s="181">
        <v>135.56360000000001</v>
      </c>
      <c r="Y91" s="180" t="s">
        <v>83</v>
      </c>
      <c r="Z91" s="181" t="s">
        <v>349</v>
      </c>
    </row>
    <row r="92" spans="1:26" ht="15" x14ac:dyDescent="0.3">
      <c r="A92" s="179" t="s">
        <v>426</v>
      </c>
      <c r="B92" s="178" t="s">
        <v>83</v>
      </c>
      <c r="C92" s="180" t="s">
        <v>83</v>
      </c>
      <c r="D92" s="181" t="s">
        <v>349</v>
      </c>
      <c r="E92" s="180" t="s">
        <v>83</v>
      </c>
      <c r="F92" s="181" t="s">
        <v>349</v>
      </c>
      <c r="G92" s="180" t="s">
        <v>83</v>
      </c>
      <c r="H92" s="181" t="s">
        <v>349</v>
      </c>
      <c r="I92" s="180" t="s">
        <v>352</v>
      </c>
      <c r="J92" s="181">
        <v>34.19</v>
      </c>
      <c r="K92" s="180" t="s">
        <v>83</v>
      </c>
      <c r="L92" s="181">
        <v>55.256100000000004</v>
      </c>
      <c r="M92" s="180" t="s">
        <v>83</v>
      </c>
      <c r="N92" s="181">
        <v>44.426900000000003</v>
      </c>
      <c r="O92" s="180" t="s">
        <v>83</v>
      </c>
      <c r="P92" s="181">
        <v>40.802700000000002</v>
      </c>
      <c r="Q92" s="180" t="s">
        <v>83</v>
      </c>
      <c r="R92" s="181">
        <v>41.593400000000003</v>
      </c>
      <c r="S92" s="180" t="s">
        <v>83</v>
      </c>
      <c r="T92" s="181">
        <v>40.981299999999997</v>
      </c>
      <c r="U92" s="180" t="s">
        <v>83</v>
      </c>
      <c r="V92" s="181">
        <v>41.945900000000002</v>
      </c>
      <c r="W92" s="180" t="s">
        <v>83</v>
      </c>
      <c r="X92" s="181">
        <v>43.286700000000003</v>
      </c>
      <c r="Y92" s="180" t="s">
        <v>83</v>
      </c>
      <c r="Z92" s="181">
        <v>42.438000000000002</v>
      </c>
    </row>
    <row r="93" spans="1:26" ht="15" x14ac:dyDescent="0.3">
      <c r="A93" s="179" t="s">
        <v>427</v>
      </c>
      <c r="B93" s="178" t="s">
        <v>83</v>
      </c>
      <c r="C93" s="180" t="s">
        <v>83</v>
      </c>
      <c r="D93" s="181">
        <v>175.13310000000001</v>
      </c>
      <c r="E93" s="180" t="s">
        <v>83</v>
      </c>
      <c r="F93" s="181">
        <v>169.37379999999999</v>
      </c>
      <c r="G93" s="180" t="s">
        <v>83</v>
      </c>
      <c r="H93" s="181">
        <v>202.88239999999999</v>
      </c>
      <c r="I93" s="180" t="s">
        <v>83</v>
      </c>
      <c r="J93" s="181">
        <v>113.5672</v>
      </c>
      <c r="K93" s="180" t="s">
        <v>83</v>
      </c>
      <c r="L93" s="181">
        <v>79.887100000000004</v>
      </c>
      <c r="M93" s="180" t="s">
        <v>83</v>
      </c>
      <c r="N93" s="181">
        <v>82.944500000000005</v>
      </c>
      <c r="O93" s="180" t="s">
        <v>83</v>
      </c>
      <c r="P93" s="181">
        <v>103.0291</v>
      </c>
      <c r="Q93" s="180" t="s">
        <v>83</v>
      </c>
      <c r="R93" s="181">
        <v>100.54049999999999</v>
      </c>
      <c r="S93" s="180" t="s">
        <v>83</v>
      </c>
      <c r="T93" s="181">
        <v>101.1827</v>
      </c>
      <c r="U93" s="180" t="s">
        <v>83</v>
      </c>
      <c r="V93" s="181">
        <v>101.7518</v>
      </c>
      <c r="W93" s="180" t="s">
        <v>83</v>
      </c>
      <c r="X93" s="181">
        <v>103.45359999999999</v>
      </c>
      <c r="Y93" s="180" t="s">
        <v>83</v>
      </c>
      <c r="Z93" s="181" t="s">
        <v>349</v>
      </c>
    </row>
    <row r="94" spans="1:26" ht="15" x14ac:dyDescent="0.3">
      <c r="A94" s="182" t="s">
        <v>428</v>
      </c>
      <c r="B94" s="178" t="s">
        <v>83</v>
      </c>
      <c r="C94" s="180" t="s">
        <v>83</v>
      </c>
      <c r="D94" s="181">
        <v>5.4195000000000002</v>
      </c>
      <c r="E94" s="180" t="s">
        <v>83</v>
      </c>
      <c r="F94" s="181">
        <v>7.2278000000000002</v>
      </c>
      <c r="G94" s="180" t="s">
        <v>83</v>
      </c>
      <c r="H94" s="181" t="s">
        <v>349</v>
      </c>
      <c r="I94" s="180" t="s">
        <v>352</v>
      </c>
      <c r="J94" s="181">
        <v>16.847100000000001</v>
      </c>
      <c r="K94" s="180" t="s">
        <v>352</v>
      </c>
      <c r="L94" s="181">
        <v>18.276399999999999</v>
      </c>
      <c r="M94" s="180" t="s">
        <v>83</v>
      </c>
      <c r="N94" s="181">
        <v>22.881699999999999</v>
      </c>
      <c r="O94" s="180" t="s">
        <v>83</v>
      </c>
      <c r="P94" s="181">
        <v>11.7629</v>
      </c>
      <c r="Q94" s="180" t="s">
        <v>83</v>
      </c>
      <c r="R94" s="181">
        <v>13.0441</v>
      </c>
      <c r="S94" s="180" t="s">
        <v>83</v>
      </c>
      <c r="T94" s="181">
        <v>15.4682</v>
      </c>
      <c r="U94" s="180" t="s">
        <v>83</v>
      </c>
      <c r="V94" s="181">
        <v>15.3353</v>
      </c>
      <c r="W94" s="180" t="s">
        <v>83</v>
      </c>
      <c r="X94" s="181">
        <v>16.492000000000001</v>
      </c>
      <c r="Y94" s="180" t="s">
        <v>352</v>
      </c>
      <c r="Z94" s="181">
        <v>16.224299999999999</v>
      </c>
    </row>
    <row r="95" spans="1:26" ht="15" x14ac:dyDescent="0.3">
      <c r="A95" s="179" t="s">
        <v>429</v>
      </c>
      <c r="B95" s="178" t="s">
        <v>83</v>
      </c>
      <c r="C95" s="180" t="s">
        <v>83</v>
      </c>
      <c r="D95" s="181">
        <v>0</v>
      </c>
      <c r="E95" s="180" t="s">
        <v>83</v>
      </c>
      <c r="F95" s="181">
        <v>0</v>
      </c>
      <c r="G95" s="180" t="s">
        <v>83</v>
      </c>
      <c r="H95" s="181">
        <v>0</v>
      </c>
      <c r="I95" s="180" t="s">
        <v>83</v>
      </c>
      <c r="J95" s="181">
        <v>0</v>
      </c>
      <c r="K95" s="180" t="s">
        <v>83</v>
      </c>
      <c r="L95" s="181">
        <v>0</v>
      </c>
      <c r="M95" s="180" t="s">
        <v>83</v>
      </c>
      <c r="N95" s="181">
        <v>0</v>
      </c>
      <c r="O95" s="180" t="s">
        <v>83</v>
      </c>
      <c r="P95" s="181">
        <v>0</v>
      </c>
      <c r="Q95" s="180" t="s">
        <v>83</v>
      </c>
      <c r="R95" s="181">
        <v>0</v>
      </c>
      <c r="S95" s="180" t="s">
        <v>83</v>
      </c>
      <c r="T95" s="181">
        <v>0</v>
      </c>
      <c r="U95" s="180" t="s">
        <v>83</v>
      </c>
      <c r="V95" s="181">
        <v>0</v>
      </c>
      <c r="W95" s="180" t="s">
        <v>83</v>
      </c>
      <c r="X95" s="181">
        <v>0</v>
      </c>
      <c r="Y95" s="180" t="s">
        <v>83</v>
      </c>
      <c r="Z95" s="181" t="s">
        <v>349</v>
      </c>
    </row>
    <row r="96" spans="1:26" ht="15" x14ac:dyDescent="0.3">
      <c r="A96" s="179" t="s">
        <v>430</v>
      </c>
      <c r="B96" s="178" t="s">
        <v>83</v>
      </c>
      <c r="C96" s="180" t="s">
        <v>83</v>
      </c>
      <c r="D96" s="181">
        <v>0.44009999999999999</v>
      </c>
      <c r="E96" s="180" t="s">
        <v>83</v>
      </c>
      <c r="F96" s="181">
        <v>0.93810000000000004</v>
      </c>
      <c r="G96" s="180" t="s">
        <v>83</v>
      </c>
      <c r="H96" s="181">
        <v>1.6409</v>
      </c>
      <c r="I96" s="180" t="s">
        <v>83</v>
      </c>
      <c r="J96" s="181">
        <v>2.0127999999999999</v>
      </c>
      <c r="K96" s="180" t="s">
        <v>83</v>
      </c>
      <c r="L96" s="181">
        <v>2.1945999999999999</v>
      </c>
      <c r="M96" s="180" t="s">
        <v>83</v>
      </c>
      <c r="N96" s="181">
        <v>2.2746</v>
      </c>
      <c r="O96" s="180" t="s">
        <v>83</v>
      </c>
      <c r="P96" s="181">
        <v>4.5255000000000001</v>
      </c>
      <c r="Q96" s="180" t="s">
        <v>83</v>
      </c>
      <c r="R96" s="181">
        <v>4.2337999999999996</v>
      </c>
      <c r="S96" s="180" t="s">
        <v>83</v>
      </c>
      <c r="T96" s="181">
        <v>5.2793999999999999</v>
      </c>
      <c r="U96" s="180" t="s">
        <v>83</v>
      </c>
      <c r="V96" s="181">
        <v>6.8414999999999999</v>
      </c>
      <c r="W96" s="180" t="s">
        <v>83</v>
      </c>
      <c r="X96" s="181">
        <v>6.8398000000000003</v>
      </c>
      <c r="Y96" s="180" t="s">
        <v>83</v>
      </c>
      <c r="Z96" s="181" t="s">
        <v>349</v>
      </c>
    </row>
    <row r="97" spans="1:26" ht="15" x14ac:dyDescent="0.3">
      <c r="A97" s="179" t="s">
        <v>431</v>
      </c>
      <c r="B97" s="178" t="s">
        <v>83</v>
      </c>
      <c r="C97" s="180" t="s">
        <v>83</v>
      </c>
      <c r="D97" s="181">
        <v>0.19539999999999999</v>
      </c>
      <c r="E97" s="180" t="s">
        <v>83</v>
      </c>
      <c r="F97" s="181">
        <v>0.33560000000000001</v>
      </c>
      <c r="G97" s="180" t="s">
        <v>83</v>
      </c>
      <c r="H97" s="181">
        <v>0.46229999999999999</v>
      </c>
      <c r="I97" s="180" t="s">
        <v>83</v>
      </c>
      <c r="J97" s="181">
        <v>0.53069999999999995</v>
      </c>
      <c r="K97" s="180" t="s">
        <v>83</v>
      </c>
      <c r="L97" s="181">
        <v>0.54569999999999996</v>
      </c>
      <c r="M97" s="180" t="s">
        <v>83</v>
      </c>
      <c r="N97" s="181">
        <v>0.4451</v>
      </c>
      <c r="O97" s="180" t="s">
        <v>83</v>
      </c>
      <c r="P97" s="181">
        <v>0.29909999999999998</v>
      </c>
      <c r="Q97" s="180" t="s">
        <v>83</v>
      </c>
      <c r="R97" s="181">
        <v>0.28860000000000002</v>
      </c>
      <c r="S97" s="180" t="s">
        <v>83</v>
      </c>
      <c r="T97" s="181">
        <v>0.27250000000000002</v>
      </c>
      <c r="U97" s="180" t="s">
        <v>83</v>
      </c>
      <c r="V97" s="181">
        <v>0.26390000000000002</v>
      </c>
      <c r="W97" s="180" t="s">
        <v>83</v>
      </c>
      <c r="X97" s="181">
        <v>0.25240000000000001</v>
      </c>
      <c r="Y97" s="180" t="s">
        <v>83</v>
      </c>
      <c r="Z97" s="181" t="s">
        <v>349</v>
      </c>
    </row>
    <row r="98" spans="1:26" ht="15" x14ac:dyDescent="0.3">
      <c r="A98" s="179" t="s">
        <v>432</v>
      </c>
      <c r="B98" s="178" t="s">
        <v>83</v>
      </c>
      <c r="C98" s="180" t="s">
        <v>83</v>
      </c>
      <c r="D98" s="181">
        <v>24.5838</v>
      </c>
      <c r="E98" s="180" t="s">
        <v>83</v>
      </c>
      <c r="F98" s="181">
        <v>38.5762</v>
      </c>
      <c r="G98" s="180" t="s">
        <v>83</v>
      </c>
      <c r="H98" s="181">
        <v>39.0944</v>
      </c>
      <c r="I98" s="180" t="s">
        <v>83</v>
      </c>
      <c r="J98" s="181">
        <v>57.622500000000002</v>
      </c>
      <c r="K98" s="180" t="s">
        <v>83</v>
      </c>
      <c r="L98" s="181">
        <v>58.331400000000002</v>
      </c>
      <c r="M98" s="180" t="s">
        <v>83</v>
      </c>
      <c r="N98" s="181">
        <v>53.892499999999998</v>
      </c>
      <c r="O98" s="180" t="s">
        <v>83</v>
      </c>
      <c r="P98" s="181">
        <v>82.204300000000003</v>
      </c>
      <c r="Q98" s="180" t="s">
        <v>83</v>
      </c>
      <c r="R98" s="181">
        <v>89.656800000000004</v>
      </c>
      <c r="S98" s="180" t="s">
        <v>83</v>
      </c>
      <c r="T98" s="181">
        <v>80.775300000000001</v>
      </c>
      <c r="U98" s="180" t="s">
        <v>83</v>
      </c>
      <c r="V98" s="181">
        <v>81.069500000000005</v>
      </c>
      <c r="W98" s="180" t="s">
        <v>83</v>
      </c>
      <c r="X98" s="181">
        <v>85.399199999999993</v>
      </c>
      <c r="Y98" s="180" t="s">
        <v>83</v>
      </c>
      <c r="Z98" s="181" t="s">
        <v>349</v>
      </c>
    </row>
    <row r="99" spans="1:26" ht="15" x14ac:dyDescent="0.3">
      <c r="A99" s="179" t="s">
        <v>433</v>
      </c>
      <c r="B99" s="178" t="s">
        <v>83</v>
      </c>
      <c r="C99" s="180" t="s">
        <v>83</v>
      </c>
      <c r="D99" s="181">
        <v>34.780500000000004</v>
      </c>
      <c r="E99" s="180" t="s">
        <v>83</v>
      </c>
      <c r="F99" s="181">
        <v>59.469499999999996</v>
      </c>
      <c r="G99" s="180" t="s">
        <v>83</v>
      </c>
      <c r="H99" s="181">
        <v>81.5749</v>
      </c>
      <c r="I99" s="180" t="s">
        <v>83</v>
      </c>
      <c r="J99" s="181">
        <v>83.109099999999998</v>
      </c>
      <c r="K99" s="180" t="s">
        <v>83</v>
      </c>
      <c r="L99" s="181">
        <v>99.081800000000001</v>
      </c>
      <c r="M99" s="180" t="s">
        <v>83</v>
      </c>
      <c r="N99" s="181">
        <v>129.64769999999999</v>
      </c>
      <c r="O99" s="180" t="s">
        <v>83</v>
      </c>
      <c r="P99" s="181">
        <v>131.54050000000001</v>
      </c>
      <c r="Q99" s="180" t="s">
        <v>83</v>
      </c>
      <c r="R99" s="181">
        <v>122.1772</v>
      </c>
      <c r="S99" s="180" t="s">
        <v>83</v>
      </c>
      <c r="T99" s="181">
        <v>124.4375</v>
      </c>
      <c r="U99" s="180" t="s">
        <v>83</v>
      </c>
      <c r="V99" s="181">
        <v>125.6249</v>
      </c>
      <c r="W99" s="180" t="s">
        <v>83</v>
      </c>
      <c r="X99" s="181">
        <v>127.0025</v>
      </c>
      <c r="Y99" s="180" t="s">
        <v>83</v>
      </c>
      <c r="Z99" s="181" t="s">
        <v>349</v>
      </c>
    </row>
    <row r="100" spans="1:26" ht="15" x14ac:dyDescent="0.3">
      <c r="A100" s="179" t="s">
        <v>434</v>
      </c>
      <c r="B100" s="178" t="s">
        <v>83</v>
      </c>
      <c r="C100" s="180" t="s">
        <v>83</v>
      </c>
      <c r="D100" s="181">
        <v>109.2666</v>
      </c>
      <c r="E100" s="180" t="s">
        <v>83</v>
      </c>
      <c r="F100" s="181">
        <v>162.68790000000001</v>
      </c>
      <c r="G100" s="180" t="s">
        <v>83</v>
      </c>
      <c r="H100" s="181">
        <v>287.26659999999998</v>
      </c>
      <c r="I100" s="180" t="s">
        <v>83</v>
      </c>
      <c r="J100" s="181">
        <v>448.4742</v>
      </c>
      <c r="K100" s="180" t="s">
        <v>83</v>
      </c>
      <c r="L100" s="181">
        <v>545.67600000000004</v>
      </c>
      <c r="M100" s="180" t="s">
        <v>83</v>
      </c>
      <c r="N100" s="181">
        <v>616.28899999999999</v>
      </c>
      <c r="O100" s="180" t="s">
        <v>83</v>
      </c>
      <c r="P100" s="181">
        <v>607.06759999999997</v>
      </c>
      <c r="Q100" s="180" t="s">
        <v>83</v>
      </c>
      <c r="R100" s="181">
        <v>715.46010000000001</v>
      </c>
      <c r="S100" s="180" t="s">
        <v>83</v>
      </c>
      <c r="T100" s="181">
        <v>810.17139999999995</v>
      </c>
      <c r="U100" s="180" t="s">
        <v>83</v>
      </c>
      <c r="V100" s="181">
        <v>873.00480000000005</v>
      </c>
      <c r="W100" s="180" t="s">
        <v>83</v>
      </c>
      <c r="X100" s="181">
        <v>896.02890000000002</v>
      </c>
      <c r="Y100" s="180" t="s">
        <v>83</v>
      </c>
      <c r="Z100" s="181" t="s">
        <v>349</v>
      </c>
    </row>
    <row r="101" spans="1:26" ht="15" x14ac:dyDescent="0.3">
      <c r="A101" s="179" t="s">
        <v>435</v>
      </c>
      <c r="B101" s="178" t="s">
        <v>83</v>
      </c>
      <c r="C101" s="180" t="s">
        <v>83</v>
      </c>
      <c r="D101" s="181">
        <v>14.013</v>
      </c>
      <c r="E101" s="180" t="s">
        <v>83</v>
      </c>
      <c r="F101" s="181">
        <v>19.308</v>
      </c>
      <c r="G101" s="180" t="s">
        <v>83</v>
      </c>
      <c r="H101" s="181">
        <v>22.503499999999999</v>
      </c>
      <c r="I101" s="180" t="s">
        <v>83</v>
      </c>
      <c r="J101" s="181">
        <v>29.477799999999998</v>
      </c>
      <c r="K101" s="180" t="s">
        <v>83</v>
      </c>
      <c r="L101" s="181">
        <v>30.002800000000001</v>
      </c>
      <c r="M101" s="180" t="s">
        <v>83</v>
      </c>
      <c r="N101" s="181">
        <v>32.169199999999996</v>
      </c>
      <c r="O101" s="180" t="s">
        <v>83</v>
      </c>
      <c r="P101" s="181">
        <v>31.233799999999999</v>
      </c>
      <c r="Q101" s="180" t="s">
        <v>83</v>
      </c>
      <c r="R101" s="181">
        <v>33.233600000000003</v>
      </c>
      <c r="S101" s="180" t="s">
        <v>83</v>
      </c>
      <c r="T101" s="181">
        <v>32.627899999999997</v>
      </c>
      <c r="U101" s="180" t="s">
        <v>83</v>
      </c>
      <c r="V101" s="181">
        <v>33.169600000000003</v>
      </c>
      <c r="W101" s="180" t="s">
        <v>83</v>
      </c>
      <c r="X101" s="181">
        <v>33.485900000000001</v>
      </c>
      <c r="Y101" s="180" t="s">
        <v>83</v>
      </c>
      <c r="Z101" s="181" t="s">
        <v>349</v>
      </c>
    </row>
    <row r="102" spans="1:26" ht="15" x14ac:dyDescent="0.3">
      <c r="A102" s="179" t="s">
        <v>436</v>
      </c>
      <c r="B102" s="178" t="s">
        <v>83</v>
      </c>
      <c r="C102" s="180" t="s">
        <v>83</v>
      </c>
      <c r="D102" s="181">
        <v>0.62160000000000004</v>
      </c>
      <c r="E102" s="180" t="s">
        <v>83</v>
      </c>
      <c r="F102" s="181">
        <v>0.5484</v>
      </c>
      <c r="G102" s="180" t="s">
        <v>83</v>
      </c>
      <c r="H102" s="181">
        <v>0.73150000000000004</v>
      </c>
      <c r="I102" s="180" t="s">
        <v>83</v>
      </c>
      <c r="J102" s="181">
        <v>1.0461</v>
      </c>
      <c r="K102" s="180" t="s">
        <v>83</v>
      </c>
      <c r="L102" s="181">
        <v>2.6002000000000001</v>
      </c>
      <c r="M102" s="180" t="s">
        <v>83</v>
      </c>
      <c r="N102" s="181">
        <v>3.1951000000000001</v>
      </c>
      <c r="O102" s="180" t="s">
        <v>83</v>
      </c>
      <c r="P102" s="181">
        <v>3.9897999999999998</v>
      </c>
      <c r="Q102" s="180" t="s">
        <v>83</v>
      </c>
      <c r="R102" s="181">
        <v>4.2923</v>
      </c>
      <c r="S102" s="180" t="s">
        <v>83</v>
      </c>
      <c r="T102" s="181">
        <v>4.4279999999999999</v>
      </c>
      <c r="U102" s="180" t="s">
        <v>83</v>
      </c>
      <c r="V102" s="181">
        <v>4.3464</v>
      </c>
      <c r="W102" s="180" t="s">
        <v>83</v>
      </c>
      <c r="X102" s="181">
        <v>4.8712</v>
      </c>
      <c r="Y102" s="180" t="s">
        <v>83</v>
      </c>
      <c r="Z102" s="181" t="s">
        <v>349</v>
      </c>
    </row>
    <row r="103" spans="1:26" ht="15" x14ac:dyDescent="0.3">
      <c r="A103" s="182" t="s">
        <v>437</v>
      </c>
      <c r="B103" s="178" t="s">
        <v>83</v>
      </c>
      <c r="C103" s="180" t="s">
        <v>83</v>
      </c>
      <c r="D103" s="181">
        <v>0</v>
      </c>
      <c r="E103" s="180" t="s">
        <v>83</v>
      </c>
      <c r="F103" s="181">
        <v>0</v>
      </c>
      <c r="G103" s="180" t="s">
        <v>83</v>
      </c>
      <c r="H103" s="181">
        <v>0</v>
      </c>
      <c r="I103" s="180" t="s">
        <v>83</v>
      </c>
      <c r="J103" s="181">
        <v>10.482699999999999</v>
      </c>
      <c r="K103" s="180" t="s">
        <v>83</v>
      </c>
      <c r="L103" s="181">
        <v>11.581799999999999</v>
      </c>
      <c r="M103" s="180" t="s">
        <v>83</v>
      </c>
      <c r="N103" s="181">
        <v>11.5273</v>
      </c>
      <c r="O103" s="180" t="s">
        <v>83</v>
      </c>
      <c r="P103" s="181">
        <v>14.7622</v>
      </c>
      <c r="Q103" s="180" t="s">
        <v>83</v>
      </c>
      <c r="R103" s="181">
        <v>13.9497</v>
      </c>
      <c r="S103" s="180" t="s">
        <v>83</v>
      </c>
      <c r="T103" s="181">
        <v>14.587999999999999</v>
      </c>
      <c r="U103" s="180" t="s">
        <v>83</v>
      </c>
      <c r="V103" s="181">
        <v>15.817500000000001</v>
      </c>
      <c r="W103" s="180" t="s">
        <v>83</v>
      </c>
      <c r="X103" s="181">
        <v>15.679600000000001</v>
      </c>
      <c r="Y103" s="180" t="s">
        <v>83</v>
      </c>
      <c r="Z103" s="181" t="s">
        <v>349</v>
      </c>
    </row>
    <row r="104" spans="1:26" ht="15" x14ac:dyDescent="0.3">
      <c r="A104" s="182" t="s">
        <v>438</v>
      </c>
      <c r="B104" s="178" t="s">
        <v>83</v>
      </c>
      <c r="C104" s="180" t="s">
        <v>83</v>
      </c>
      <c r="D104" s="181">
        <v>0</v>
      </c>
      <c r="E104" s="180" t="s">
        <v>83</v>
      </c>
      <c r="F104" s="181">
        <v>0</v>
      </c>
      <c r="G104" s="180" t="s">
        <v>83</v>
      </c>
      <c r="H104" s="181">
        <v>0</v>
      </c>
      <c r="I104" s="180" t="s">
        <v>83</v>
      </c>
      <c r="J104" s="181">
        <v>197.28469999999999</v>
      </c>
      <c r="K104" s="180" t="s">
        <v>83</v>
      </c>
      <c r="L104" s="181">
        <v>254.21700000000001</v>
      </c>
      <c r="M104" s="180" t="s">
        <v>83</v>
      </c>
      <c r="N104" s="181">
        <v>328.18239999999997</v>
      </c>
      <c r="O104" s="180" t="s">
        <v>83</v>
      </c>
      <c r="P104" s="181">
        <v>404.80520000000001</v>
      </c>
      <c r="Q104" s="180" t="s">
        <v>83</v>
      </c>
      <c r="R104" s="181">
        <v>426.12540000000001</v>
      </c>
      <c r="S104" s="180" t="s">
        <v>83</v>
      </c>
      <c r="T104" s="181">
        <v>437.21010000000001</v>
      </c>
      <c r="U104" s="180" t="s">
        <v>83</v>
      </c>
      <c r="V104" s="181">
        <v>441.41640000000001</v>
      </c>
      <c r="W104" s="180" t="s">
        <v>83</v>
      </c>
      <c r="X104" s="181">
        <v>456.404</v>
      </c>
      <c r="Y104" s="180" t="s">
        <v>83</v>
      </c>
      <c r="Z104" s="181" t="s">
        <v>349</v>
      </c>
    </row>
    <row r="105" spans="1:26" ht="15" x14ac:dyDescent="0.3">
      <c r="A105" s="179" t="s">
        <v>439</v>
      </c>
      <c r="B105" s="178" t="s">
        <v>83</v>
      </c>
      <c r="C105" s="180" t="s">
        <v>83</v>
      </c>
      <c r="D105" s="181">
        <v>8.7324999999999999</v>
      </c>
      <c r="E105" s="180" t="s">
        <v>83</v>
      </c>
      <c r="F105" s="181">
        <v>9.3024000000000004</v>
      </c>
      <c r="G105" s="180" t="s">
        <v>83</v>
      </c>
      <c r="H105" s="181">
        <v>12.425599999999999</v>
      </c>
      <c r="I105" s="180" t="s">
        <v>83</v>
      </c>
      <c r="J105" s="181">
        <v>10.2143</v>
      </c>
      <c r="K105" s="180" t="s">
        <v>83</v>
      </c>
      <c r="L105" s="181">
        <v>9.6228999999999996</v>
      </c>
      <c r="M105" s="180" t="s">
        <v>83</v>
      </c>
      <c r="N105" s="181">
        <v>7.5438999999999998</v>
      </c>
      <c r="O105" s="180" t="s">
        <v>83</v>
      </c>
      <c r="P105" s="181">
        <v>6.1821999999999999</v>
      </c>
      <c r="Q105" s="180" t="s">
        <v>83</v>
      </c>
      <c r="R105" s="181">
        <v>7.2945000000000002</v>
      </c>
      <c r="S105" s="180" t="s">
        <v>83</v>
      </c>
      <c r="T105" s="181">
        <v>5.0853000000000002</v>
      </c>
      <c r="U105" s="180" t="s">
        <v>83</v>
      </c>
      <c r="V105" s="181">
        <v>4.1658999999999997</v>
      </c>
      <c r="W105" s="180" t="s">
        <v>83</v>
      </c>
      <c r="X105" s="181">
        <v>4.1271000000000004</v>
      </c>
      <c r="Y105" s="180" t="s">
        <v>83</v>
      </c>
      <c r="Z105" s="181" t="s">
        <v>349</v>
      </c>
    </row>
    <row r="106" spans="1:26" ht="15" x14ac:dyDescent="0.3">
      <c r="A106" s="179" t="s">
        <v>440</v>
      </c>
      <c r="B106" s="178" t="s">
        <v>83</v>
      </c>
      <c r="C106" s="180" t="s">
        <v>83</v>
      </c>
      <c r="D106" s="181">
        <v>0.64670000000000005</v>
      </c>
      <c r="E106" s="180" t="s">
        <v>83</v>
      </c>
      <c r="F106" s="181">
        <v>1.1934</v>
      </c>
      <c r="G106" s="180" t="s">
        <v>83</v>
      </c>
      <c r="H106" s="181">
        <v>1.3332999999999999</v>
      </c>
      <c r="I106" s="180" t="s">
        <v>83</v>
      </c>
      <c r="J106" s="181">
        <v>1.3434999999999999</v>
      </c>
      <c r="K106" s="180" t="s">
        <v>83</v>
      </c>
      <c r="L106" s="181">
        <v>1.4867999999999999</v>
      </c>
      <c r="M106" s="180" t="s">
        <v>83</v>
      </c>
      <c r="N106" s="181">
        <v>1.2602</v>
      </c>
      <c r="O106" s="180" t="s">
        <v>83</v>
      </c>
      <c r="P106" s="181">
        <v>1.0576000000000001</v>
      </c>
      <c r="Q106" s="180" t="s">
        <v>83</v>
      </c>
      <c r="R106" s="181">
        <v>1.0229999999999999</v>
      </c>
      <c r="S106" s="180" t="s">
        <v>83</v>
      </c>
      <c r="T106" s="181">
        <v>0.97450000000000003</v>
      </c>
      <c r="U106" s="180" t="s">
        <v>83</v>
      </c>
      <c r="V106" s="181">
        <v>0.93200000000000005</v>
      </c>
      <c r="W106" s="180" t="s">
        <v>83</v>
      </c>
      <c r="X106" s="181">
        <v>0.88490000000000002</v>
      </c>
      <c r="Y106" s="180" t="s">
        <v>83</v>
      </c>
      <c r="Z106" s="181" t="s">
        <v>349</v>
      </c>
    </row>
    <row r="107" spans="1:26" ht="15" x14ac:dyDescent="0.3">
      <c r="A107" s="179" t="s">
        <v>441</v>
      </c>
      <c r="B107" s="178" t="s">
        <v>83</v>
      </c>
      <c r="C107" s="180" t="s">
        <v>83</v>
      </c>
      <c r="D107" s="181">
        <v>3.0131999999999999</v>
      </c>
      <c r="E107" s="180" t="s">
        <v>83</v>
      </c>
      <c r="F107" s="181">
        <v>5.5926999999999998</v>
      </c>
      <c r="G107" s="180" t="s">
        <v>83</v>
      </c>
      <c r="H107" s="181">
        <v>8.7329000000000008</v>
      </c>
      <c r="I107" s="180" t="s">
        <v>83</v>
      </c>
      <c r="J107" s="181">
        <v>4.4027000000000003</v>
      </c>
      <c r="K107" s="180" t="s">
        <v>83</v>
      </c>
      <c r="L107" s="181">
        <v>7.6589</v>
      </c>
      <c r="M107" s="180" t="s">
        <v>83</v>
      </c>
      <c r="N107" s="181">
        <v>9.1584000000000003</v>
      </c>
      <c r="O107" s="180" t="s">
        <v>83</v>
      </c>
      <c r="P107" s="181">
        <v>11.754799999999999</v>
      </c>
      <c r="Q107" s="180" t="s">
        <v>83</v>
      </c>
      <c r="R107" s="181">
        <v>11.9152</v>
      </c>
      <c r="S107" s="180" t="s">
        <v>83</v>
      </c>
      <c r="T107" s="181">
        <v>13.618499999999999</v>
      </c>
      <c r="U107" s="180" t="s">
        <v>83</v>
      </c>
      <c r="V107" s="181">
        <v>15.904400000000001</v>
      </c>
      <c r="W107" s="180" t="s">
        <v>83</v>
      </c>
      <c r="X107" s="181">
        <v>13.2807</v>
      </c>
      <c r="Y107" s="180" t="s">
        <v>83</v>
      </c>
      <c r="Z107" s="181" t="s">
        <v>349</v>
      </c>
    </row>
    <row r="108" spans="1:26" ht="15" x14ac:dyDescent="0.3">
      <c r="A108" s="179" t="s">
        <v>442</v>
      </c>
      <c r="B108" s="178" t="s">
        <v>83</v>
      </c>
      <c r="C108" s="180" t="s">
        <v>83</v>
      </c>
      <c r="D108" s="181">
        <v>1.5236000000000001</v>
      </c>
      <c r="E108" s="180" t="s">
        <v>83</v>
      </c>
      <c r="F108" s="181">
        <v>2.0886</v>
      </c>
      <c r="G108" s="180" t="s">
        <v>83</v>
      </c>
      <c r="H108" s="181">
        <v>2.839</v>
      </c>
      <c r="I108" s="180" t="s">
        <v>83</v>
      </c>
      <c r="J108" s="181">
        <v>3.0703999999999998</v>
      </c>
      <c r="K108" s="180" t="s">
        <v>83</v>
      </c>
      <c r="L108" s="181">
        <v>4.9619999999999997</v>
      </c>
      <c r="M108" s="180" t="s">
        <v>83</v>
      </c>
      <c r="N108" s="181">
        <v>6.2999000000000001</v>
      </c>
      <c r="O108" s="180" t="s">
        <v>83</v>
      </c>
      <c r="P108" s="181">
        <v>4.6757999999999997</v>
      </c>
      <c r="Q108" s="180" t="s">
        <v>83</v>
      </c>
      <c r="R108" s="181">
        <v>5.7323000000000004</v>
      </c>
      <c r="S108" s="180" t="s">
        <v>83</v>
      </c>
      <c r="T108" s="181">
        <v>5.8071000000000002</v>
      </c>
      <c r="U108" s="180" t="s">
        <v>83</v>
      </c>
      <c r="V108" s="181">
        <v>6.4691999999999998</v>
      </c>
      <c r="W108" s="180" t="s">
        <v>83</v>
      </c>
      <c r="X108" s="181">
        <v>6.4368999999999996</v>
      </c>
      <c r="Y108" s="180" t="s">
        <v>83</v>
      </c>
      <c r="Z108" s="181" t="s">
        <v>349</v>
      </c>
    </row>
    <row r="109" spans="1:26" ht="15" x14ac:dyDescent="0.3">
      <c r="A109" s="179" t="s">
        <v>443</v>
      </c>
      <c r="B109" s="178" t="s">
        <v>83</v>
      </c>
      <c r="C109" s="180" t="s">
        <v>83</v>
      </c>
      <c r="D109" s="181">
        <v>0</v>
      </c>
      <c r="E109" s="180" t="s">
        <v>83</v>
      </c>
      <c r="F109" s="181">
        <v>0</v>
      </c>
      <c r="G109" s="180" t="s">
        <v>83</v>
      </c>
      <c r="H109" s="181">
        <v>0</v>
      </c>
      <c r="I109" s="180" t="s">
        <v>83</v>
      </c>
      <c r="J109" s="181">
        <v>14.202999999999999</v>
      </c>
      <c r="K109" s="180" t="s">
        <v>83</v>
      </c>
      <c r="L109" s="181">
        <v>18.899799999999999</v>
      </c>
      <c r="M109" s="180" t="s">
        <v>83</v>
      </c>
      <c r="N109" s="181">
        <v>22.371300000000002</v>
      </c>
      <c r="O109" s="180" t="s">
        <v>83</v>
      </c>
      <c r="P109" s="181">
        <v>32.505400000000002</v>
      </c>
      <c r="Q109" s="180" t="s">
        <v>83</v>
      </c>
      <c r="R109" s="181">
        <v>35.640500000000003</v>
      </c>
      <c r="S109" s="180" t="s">
        <v>83</v>
      </c>
      <c r="T109" s="181">
        <v>37.024700000000003</v>
      </c>
      <c r="U109" s="180" t="s">
        <v>83</v>
      </c>
      <c r="V109" s="181">
        <v>38.33</v>
      </c>
      <c r="W109" s="180" t="s">
        <v>83</v>
      </c>
      <c r="X109" s="181">
        <v>40.0608</v>
      </c>
      <c r="Y109" s="180" t="s">
        <v>83</v>
      </c>
      <c r="Z109" s="181" t="s">
        <v>349</v>
      </c>
    </row>
    <row r="110" spans="1:26" ht="15" x14ac:dyDescent="0.3">
      <c r="A110" s="179" t="s">
        <v>444</v>
      </c>
      <c r="B110" s="178" t="s">
        <v>83</v>
      </c>
      <c r="C110" s="180" t="s">
        <v>83</v>
      </c>
      <c r="D110" s="181">
        <v>42.662999999999997</v>
      </c>
      <c r="E110" s="180" t="s">
        <v>83</v>
      </c>
      <c r="F110" s="181">
        <v>33.677300000000002</v>
      </c>
      <c r="G110" s="180" t="s">
        <v>83</v>
      </c>
      <c r="H110" s="181">
        <v>46.924300000000002</v>
      </c>
      <c r="I110" s="180" t="s">
        <v>83</v>
      </c>
      <c r="J110" s="181">
        <v>125.08540000000001</v>
      </c>
      <c r="K110" s="180" t="s">
        <v>83</v>
      </c>
      <c r="L110" s="181">
        <v>152.3733</v>
      </c>
      <c r="M110" s="180" t="s">
        <v>83</v>
      </c>
      <c r="N110" s="181">
        <v>187.2842</v>
      </c>
      <c r="O110" s="180" t="s">
        <v>83</v>
      </c>
      <c r="P110" s="181">
        <v>232.208</v>
      </c>
      <c r="Q110" s="180" t="s">
        <v>83</v>
      </c>
      <c r="R110" s="181">
        <v>258.20870000000002</v>
      </c>
      <c r="S110" s="180" t="s">
        <v>83</v>
      </c>
      <c r="T110" s="181">
        <v>279.24849999999998</v>
      </c>
      <c r="U110" s="180" t="s">
        <v>83</v>
      </c>
      <c r="V110" s="181">
        <v>287.27420000000001</v>
      </c>
      <c r="W110" s="180" t="s">
        <v>83</v>
      </c>
      <c r="X110" s="181">
        <v>298.70569999999998</v>
      </c>
      <c r="Y110" s="180" t="s">
        <v>83</v>
      </c>
      <c r="Z110" s="181" t="s">
        <v>349</v>
      </c>
    </row>
    <row r="111" spans="1:26" ht="15" x14ac:dyDescent="0.3">
      <c r="A111" s="179" t="s">
        <v>445</v>
      </c>
      <c r="B111" s="178" t="s">
        <v>83</v>
      </c>
      <c r="C111" s="180" t="s">
        <v>83</v>
      </c>
      <c r="D111" s="181">
        <v>-0.1719</v>
      </c>
      <c r="E111" s="180" t="s">
        <v>83</v>
      </c>
      <c r="F111" s="181">
        <v>1.7923</v>
      </c>
      <c r="G111" s="180" t="s">
        <v>83</v>
      </c>
      <c r="H111" s="181">
        <v>1.2230000000000001</v>
      </c>
      <c r="I111" s="180" t="s">
        <v>83</v>
      </c>
      <c r="J111" s="181">
        <v>7.4899999999999994E-2</v>
      </c>
      <c r="K111" s="180" t="s">
        <v>83</v>
      </c>
      <c r="L111" s="181">
        <v>0.1603</v>
      </c>
      <c r="M111" s="180" t="s">
        <v>83</v>
      </c>
      <c r="N111" s="181">
        <v>0.16420000000000001</v>
      </c>
      <c r="O111" s="180" t="s">
        <v>83</v>
      </c>
      <c r="P111" s="181">
        <v>4.1799999999999997E-2</v>
      </c>
      <c r="Q111" s="180" t="s">
        <v>83</v>
      </c>
      <c r="R111" s="181">
        <v>5.5399999999999998E-2</v>
      </c>
      <c r="S111" s="180" t="s">
        <v>83</v>
      </c>
      <c r="T111" s="181">
        <v>-1.4E-3</v>
      </c>
      <c r="U111" s="180" t="s">
        <v>83</v>
      </c>
      <c r="V111" s="181">
        <v>-4.2000000000000003E-2</v>
      </c>
      <c r="W111" s="180" t="s">
        <v>83</v>
      </c>
      <c r="X111" s="181">
        <v>-6.5199999999999994E-2</v>
      </c>
      <c r="Y111" s="180" t="s">
        <v>83</v>
      </c>
      <c r="Z111" s="181" t="s">
        <v>349</v>
      </c>
    </row>
    <row r="112" spans="1:26" ht="15" x14ac:dyDescent="0.3">
      <c r="A112" s="179" t="s">
        <v>446</v>
      </c>
      <c r="B112" s="178" t="s">
        <v>83</v>
      </c>
      <c r="C112" s="180" t="s">
        <v>83</v>
      </c>
      <c r="D112" s="181">
        <v>0.11559999999999999</v>
      </c>
      <c r="E112" s="180" t="s">
        <v>83</v>
      </c>
      <c r="F112" s="181">
        <v>0.18709999999999999</v>
      </c>
      <c r="G112" s="180" t="s">
        <v>83</v>
      </c>
      <c r="H112" s="181">
        <v>0.30449999999999999</v>
      </c>
      <c r="I112" s="180" t="s">
        <v>83</v>
      </c>
      <c r="J112" s="181">
        <v>0.42080000000000001</v>
      </c>
      <c r="K112" s="180" t="s">
        <v>83</v>
      </c>
      <c r="L112" s="181">
        <v>0.60370000000000001</v>
      </c>
      <c r="M112" s="180" t="s">
        <v>83</v>
      </c>
      <c r="N112" s="181">
        <v>0.12230000000000001</v>
      </c>
      <c r="O112" s="180" t="s">
        <v>83</v>
      </c>
      <c r="P112" s="181">
        <v>0.1203</v>
      </c>
      <c r="Q112" s="180" t="s">
        <v>83</v>
      </c>
      <c r="R112" s="181">
        <v>0.1888</v>
      </c>
      <c r="S112" s="180" t="s">
        <v>83</v>
      </c>
      <c r="T112" s="181">
        <v>0.16109999999999999</v>
      </c>
      <c r="U112" s="180" t="s">
        <v>83</v>
      </c>
      <c r="V112" s="181">
        <v>0.17130000000000001</v>
      </c>
      <c r="W112" s="180" t="s">
        <v>83</v>
      </c>
      <c r="X112" s="181">
        <v>0.17249999999999999</v>
      </c>
      <c r="Y112" s="180" t="s">
        <v>83</v>
      </c>
      <c r="Z112" s="181" t="s">
        <v>349</v>
      </c>
    </row>
    <row r="113" spans="1:26" ht="15" x14ac:dyDescent="0.3">
      <c r="A113" s="179" t="s">
        <v>447</v>
      </c>
      <c r="B113" s="178" t="s">
        <v>83</v>
      </c>
      <c r="C113" s="180" t="s">
        <v>83</v>
      </c>
      <c r="D113" s="181">
        <v>21.460999999999999</v>
      </c>
      <c r="E113" s="180" t="s">
        <v>83</v>
      </c>
      <c r="F113" s="181">
        <v>33.805700000000002</v>
      </c>
      <c r="G113" s="180" t="s">
        <v>83</v>
      </c>
      <c r="H113" s="181">
        <v>50.160299999999999</v>
      </c>
      <c r="I113" s="180" t="s">
        <v>83</v>
      </c>
      <c r="J113" s="181">
        <v>71.429400000000001</v>
      </c>
      <c r="K113" s="180" t="s">
        <v>83</v>
      </c>
      <c r="L113" s="181">
        <v>82.088700000000003</v>
      </c>
      <c r="M113" s="180" t="s">
        <v>83</v>
      </c>
      <c r="N113" s="181">
        <v>114.84050000000001</v>
      </c>
      <c r="O113" s="180" t="s">
        <v>83</v>
      </c>
      <c r="P113" s="181">
        <v>136.82640000000001</v>
      </c>
      <c r="Q113" s="180" t="s">
        <v>83</v>
      </c>
      <c r="R113" s="181">
        <v>136.9007</v>
      </c>
      <c r="S113" s="180" t="s">
        <v>83</v>
      </c>
      <c r="T113" s="181">
        <v>127.148</v>
      </c>
      <c r="U113" s="180" t="s">
        <v>83</v>
      </c>
      <c r="V113" s="181">
        <v>143.48480000000001</v>
      </c>
      <c r="W113" s="180" t="s">
        <v>83</v>
      </c>
      <c r="X113" s="181">
        <v>148.97640000000001</v>
      </c>
      <c r="Y113" s="180" t="s">
        <v>83</v>
      </c>
      <c r="Z113" s="181" t="s">
        <v>349</v>
      </c>
    </row>
    <row r="114" spans="1:26" ht="15" x14ac:dyDescent="0.3">
      <c r="A114" s="179" t="s">
        <v>448</v>
      </c>
      <c r="B114" s="178" t="s">
        <v>83</v>
      </c>
      <c r="C114" s="180" t="s">
        <v>83</v>
      </c>
      <c r="D114" s="181">
        <v>17.212900000000001</v>
      </c>
      <c r="E114" s="180" t="s">
        <v>83</v>
      </c>
      <c r="F114" s="181">
        <v>29.973800000000001</v>
      </c>
      <c r="G114" s="180" t="s">
        <v>83</v>
      </c>
      <c r="H114" s="181">
        <v>38.085900000000002</v>
      </c>
      <c r="I114" s="180" t="s">
        <v>83</v>
      </c>
      <c r="J114" s="181">
        <v>53.5304</v>
      </c>
      <c r="K114" s="180" t="s">
        <v>83</v>
      </c>
      <c r="L114" s="181">
        <v>64.207899999999995</v>
      </c>
      <c r="M114" s="180" t="s">
        <v>83</v>
      </c>
      <c r="N114" s="181">
        <v>79.952799999999996</v>
      </c>
      <c r="O114" s="180" t="s">
        <v>83</v>
      </c>
      <c r="P114" s="181">
        <v>73.670699999999997</v>
      </c>
      <c r="Q114" s="180" t="s">
        <v>83</v>
      </c>
      <c r="R114" s="181">
        <v>94.424999999999997</v>
      </c>
      <c r="S114" s="180" t="s">
        <v>83</v>
      </c>
      <c r="T114" s="181">
        <v>123.5354</v>
      </c>
      <c r="U114" s="180" t="s">
        <v>83</v>
      </c>
      <c r="V114" s="181">
        <v>116.48139999999999</v>
      </c>
      <c r="W114" s="180" t="s">
        <v>83</v>
      </c>
      <c r="X114" s="181">
        <v>120.5881</v>
      </c>
      <c r="Y114" s="180" t="s">
        <v>83</v>
      </c>
      <c r="Z114" s="181" t="s">
        <v>349</v>
      </c>
    </row>
    <row r="115" spans="1:26" ht="15" x14ac:dyDescent="0.3">
      <c r="A115" s="179" t="s">
        <v>449</v>
      </c>
      <c r="B115" s="178" t="s">
        <v>83</v>
      </c>
      <c r="C115" s="180" t="s">
        <v>83</v>
      </c>
      <c r="D115" s="181">
        <v>1.9704999999999999</v>
      </c>
      <c r="E115" s="180" t="s">
        <v>83</v>
      </c>
      <c r="F115" s="181">
        <v>2.8252000000000002</v>
      </c>
      <c r="G115" s="180" t="s">
        <v>83</v>
      </c>
      <c r="H115" s="181">
        <v>3.5076000000000001</v>
      </c>
      <c r="I115" s="180" t="s">
        <v>83</v>
      </c>
      <c r="J115" s="181">
        <v>4.3106999999999998</v>
      </c>
      <c r="K115" s="180" t="s">
        <v>83</v>
      </c>
      <c r="L115" s="181">
        <v>4.8356000000000003</v>
      </c>
      <c r="M115" s="180" t="s">
        <v>83</v>
      </c>
      <c r="N115" s="181">
        <v>7.1360000000000001</v>
      </c>
      <c r="O115" s="180" t="s">
        <v>83</v>
      </c>
      <c r="P115" s="181">
        <v>5.2336999999999998</v>
      </c>
      <c r="Q115" s="180" t="s">
        <v>83</v>
      </c>
      <c r="R115" s="181">
        <v>5.4044999999999996</v>
      </c>
      <c r="S115" s="180" t="s">
        <v>83</v>
      </c>
      <c r="T115" s="181">
        <v>5.5871000000000004</v>
      </c>
      <c r="U115" s="180" t="s">
        <v>83</v>
      </c>
      <c r="V115" s="181">
        <v>5.6566999999999998</v>
      </c>
      <c r="W115" s="180" t="s">
        <v>83</v>
      </c>
      <c r="X115" s="181">
        <v>5.7215999999999996</v>
      </c>
      <c r="Y115" s="180" t="s">
        <v>83</v>
      </c>
      <c r="Z115" s="181" t="s">
        <v>349</v>
      </c>
    </row>
    <row r="116" spans="1:26" ht="15" x14ac:dyDescent="0.3">
      <c r="A116" s="179" t="s">
        <v>450</v>
      </c>
      <c r="B116" s="178" t="s">
        <v>83</v>
      </c>
      <c r="C116" s="180" t="s">
        <v>83</v>
      </c>
      <c r="D116" s="181">
        <v>8.8290000000000006</v>
      </c>
      <c r="E116" s="180" t="s">
        <v>83</v>
      </c>
      <c r="F116" s="181">
        <v>11.775</v>
      </c>
      <c r="G116" s="180" t="s">
        <v>83</v>
      </c>
      <c r="H116" s="181">
        <v>8.7073999999999998</v>
      </c>
      <c r="I116" s="180" t="s">
        <v>83</v>
      </c>
      <c r="J116" s="181">
        <v>17.8109</v>
      </c>
      <c r="K116" s="180" t="s">
        <v>83</v>
      </c>
      <c r="L116" s="181">
        <v>15.3514</v>
      </c>
      <c r="M116" s="180" t="s">
        <v>83</v>
      </c>
      <c r="N116" s="181">
        <v>15.105600000000001</v>
      </c>
      <c r="O116" s="180" t="s">
        <v>83</v>
      </c>
      <c r="P116" s="181">
        <v>21.0974</v>
      </c>
      <c r="Q116" s="180" t="s">
        <v>83</v>
      </c>
      <c r="R116" s="181">
        <v>26.199300000000001</v>
      </c>
      <c r="S116" s="180" t="s">
        <v>83</v>
      </c>
      <c r="T116" s="181">
        <v>21.045400000000001</v>
      </c>
      <c r="U116" s="180" t="s">
        <v>83</v>
      </c>
      <c r="V116" s="181">
        <v>22.638100000000001</v>
      </c>
      <c r="W116" s="180" t="s">
        <v>83</v>
      </c>
      <c r="X116" s="181">
        <v>22.9573</v>
      </c>
      <c r="Y116" s="180" t="s">
        <v>83</v>
      </c>
      <c r="Z116" s="181" t="s">
        <v>349</v>
      </c>
    </row>
    <row r="117" spans="1:26" ht="15" x14ac:dyDescent="0.3">
      <c r="A117" s="179" t="s">
        <v>451</v>
      </c>
      <c r="B117" s="178" t="s">
        <v>83</v>
      </c>
      <c r="C117" s="180" t="s">
        <v>83</v>
      </c>
      <c r="D117" s="181">
        <v>15.533300000000001</v>
      </c>
      <c r="E117" s="180" t="s">
        <v>83</v>
      </c>
      <c r="F117" s="181">
        <v>17.907499999999999</v>
      </c>
      <c r="G117" s="180" t="s">
        <v>83</v>
      </c>
      <c r="H117" s="181">
        <v>26.425599999999999</v>
      </c>
      <c r="I117" s="180" t="s">
        <v>83</v>
      </c>
      <c r="J117" s="181">
        <v>20.6386</v>
      </c>
      <c r="K117" s="180" t="s">
        <v>83</v>
      </c>
      <c r="L117" s="181">
        <v>21.725000000000001</v>
      </c>
      <c r="M117" s="180" t="s">
        <v>83</v>
      </c>
      <c r="N117" s="181">
        <v>20.937100000000001</v>
      </c>
      <c r="O117" s="180" t="s">
        <v>83</v>
      </c>
      <c r="P117" s="181">
        <v>21.8672</v>
      </c>
      <c r="Q117" s="180" t="s">
        <v>83</v>
      </c>
      <c r="R117" s="181">
        <v>21.899100000000001</v>
      </c>
      <c r="S117" s="180" t="s">
        <v>83</v>
      </c>
      <c r="T117" s="181">
        <v>21.8354</v>
      </c>
      <c r="U117" s="180" t="s">
        <v>83</v>
      </c>
      <c r="V117" s="181">
        <v>22.346900000000002</v>
      </c>
      <c r="W117" s="180" t="s">
        <v>83</v>
      </c>
      <c r="X117" s="181">
        <v>22.1464</v>
      </c>
      <c r="Y117" s="180" t="s">
        <v>83</v>
      </c>
      <c r="Z117" s="181" t="s">
        <v>349</v>
      </c>
    </row>
    <row r="118" spans="1:26" ht="15" x14ac:dyDescent="0.3">
      <c r="A118" s="179" t="s">
        <v>452</v>
      </c>
      <c r="B118" s="178" t="s">
        <v>83</v>
      </c>
      <c r="C118" s="180" t="s">
        <v>83</v>
      </c>
      <c r="D118" s="181">
        <v>20.340800000000002</v>
      </c>
      <c r="E118" s="180" t="s">
        <v>83</v>
      </c>
      <c r="F118" s="181">
        <v>25.889199999999999</v>
      </c>
      <c r="G118" s="180" t="s">
        <v>83</v>
      </c>
      <c r="H118" s="181">
        <v>29.861599999999999</v>
      </c>
      <c r="I118" s="180" t="s">
        <v>83</v>
      </c>
      <c r="J118" s="181">
        <v>35.918399999999998</v>
      </c>
      <c r="K118" s="180" t="s">
        <v>83</v>
      </c>
      <c r="L118" s="181">
        <v>48.707500000000003</v>
      </c>
      <c r="M118" s="180" t="s">
        <v>83</v>
      </c>
      <c r="N118" s="181">
        <v>52.253399999999999</v>
      </c>
      <c r="O118" s="180" t="s">
        <v>83</v>
      </c>
      <c r="P118" s="181">
        <v>49.6828</v>
      </c>
      <c r="Q118" s="180" t="s">
        <v>83</v>
      </c>
      <c r="R118" s="181">
        <v>51.270499999999998</v>
      </c>
      <c r="S118" s="180" t="s">
        <v>83</v>
      </c>
      <c r="T118" s="181">
        <v>53.759599999999999</v>
      </c>
      <c r="U118" s="180" t="s">
        <v>83</v>
      </c>
      <c r="V118" s="181">
        <v>52.948799999999999</v>
      </c>
      <c r="W118" s="180" t="s">
        <v>83</v>
      </c>
      <c r="X118" s="181">
        <v>53.322600000000001</v>
      </c>
      <c r="Y118" s="180" t="s">
        <v>83</v>
      </c>
      <c r="Z118" s="181" t="s">
        <v>349</v>
      </c>
    </row>
    <row r="119" spans="1:26" ht="15" x14ac:dyDescent="0.3">
      <c r="A119" s="182" t="s">
        <v>453</v>
      </c>
      <c r="B119" s="178" t="s">
        <v>83</v>
      </c>
      <c r="C119" s="180" t="s">
        <v>83</v>
      </c>
      <c r="D119" s="181">
        <v>9.4014000000000006</v>
      </c>
      <c r="E119" s="180" t="s">
        <v>83</v>
      </c>
      <c r="F119" s="181">
        <v>39.35</v>
      </c>
      <c r="G119" s="180" t="s">
        <v>83</v>
      </c>
      <c r="H119" s="181">
        <v>64.835800000000006</v>
      </c>
      <c r="I119" s="180" t="s">
        <v>83</v>
      </c>
      <c r="J119" s="181">
        <v>47.879300000000001</v>
      </c>
      <c r="K119" s="180" t="s">
        <v>83</v>
      </c>
      <c r="L119" s="181">
        <v>44.384799999999998</v>
      </c>
      <c r="M119" s="180" t="s">
        <v>83</v>
      </c>
      <c r="N119" s="181">
        <v>38.323</v>
      </c>
      <c r="O119" s="180" t="s">
        <v>83</v>
      </c>
      <c r="P119" s="181">
        <v>53.544899999999998</v>
      </c>
      <c r="Q119" s="180" t="s">
        <v>83</v>
      </c>
      <c r="R119" s="181">
        <v>52.212699999999998</v>
      </c>
      <c r="S119" s="180" t="s">
        <v>83</v>
      </c>
      <c r="T119" s="181">
        <v>67.200900000000004</v>
      </c>
      <c r="U119" s="180" t="s">
        <v>83</v>
      </c>
      <c r="V119" s="181">
        <v>73.952799999999996</v>
      </c>
      <c r="W119" s="180" t="s">
        <v>83</v>
      </c>
      <c r="X119" s="181">
        <v>96.063599999999994</v>
      </c>
      <c r="Y119" s="180" t="s">
        <v>83</v>
      </c>
      <c r="Z119" s="181" t="s">
        <v>349</v>
      </c>
    </row>
    <row r="120" spans="1:26" s="190" customFormat="1" ht="15" x14ac:dyDescent="0.3">
      <c r="A120" s="187" t="s">
        <v>54</v>
      </c>
      <c r="B120" s="178" t="s">
        <v>83</v>
      </c>
      <c r="C120" s="188" t="s">
        <v>83</v>
      </c>
      <c r="D120" s="189">
        <v>1671.9570000000001</v>
      </c>
      <c r="E120" s="188" t="s">
        <v>83</v>
      </c>
      <c r="F120" s="189">
        <v>1976.49</v>
      </c>
      <c r="G120" s="188" t="s">
        <v>83</v>
      </c>
      <c r="H120" s="189">
        <v>2897.3620000000001</v>
      </c>
      <c r="I120" s="188" t="s">
        <v>83</v>
      </c>
      <c r="J120" s="189">
        <v>3862.2339999999999</v>
      </c>
      <c r="K120" s="188" t="s">
        <v>83</v>
      </c>
      <c r="L120" s="189">
        <v>4413.8389999999999</v>
      </c>
      <c r="M120" s="188" t="s">
        <v>83</v>
      </c>
      <c r="N120" s="189">
        <v>5638.652</v>
      </c>
      <c r="O120" s="188" t="s">
        <v>83</v>
      </c>
      <c r="P120" s="189">
        <v>6640.7629999999999</v>
      </c>
      <c r="Q120" s="188" t="s">
        <v>83</v>
      </c>
      <c r="R120" s="189">
        <v>6844.1570000000002</v>
      </c>
      <c r="S120" s="188" t="s">
        <v>83</v>
      </c>
      <c r="T120" s="189">
        <v>6917.1210000000001</v>
      </c>
      <c r="U120" s="188" t="s">
        <v>83</v>
      </c>
      <c r="V120" s="189">
        <v>7317.857</v>
      </c>
      <c r="W120" s="188" t="s">
        <v>83</v>
      </c>
      <c r="X120" s="189">
        <v>7472.8710000000001</v>
      </c>
      <c r="Y120" s="188" t="s">
        <v>83</v>
      </c>
      <c r="Z120" s="189" t="s">
        <v>349</v>
      </c>
    </row>
    <row r="121" spans="1:26" ht="15" x14ac:dyDescent="0.3">
      <c r="A121" s="179" t="s">
        <v>454</v>
      </c>
      <c r="B121" s="178" t="s">
        <v>83</v>
      </c>
      <c r="C121" s="180" t="s">
        <v>83</v>
      </c>
      <c r="D121" s="181">
        <v>322.6198</v>
      </c>
      <c r="E121" s="180" t="s">
        <v>83</v>
      </c>
      <c r="F121" s="181">
        <v>424.06659999999999</v>
      </c>
      <c r="G121" s="180" t="s">
        <v>83</v>
      </c>
      <c r="H121" s="181">
        <v>627.8732</v>
      </c>
      <c r="I121" s="180" t="s">
        <v>83</v>
      </c>
      <c r="J121" s="181">
        <v>886.93489999999997</v>
      </c>
      <c r="K121" s="180" t="s">
        <v>83</v>
      </c>
      <c r="L121" s="181">
        <v>1118.838</v>
      </c>
      <c r="M121" s="180" t="s">
        <v>83</v>
      </c>
      <c r="N121" s="181">
        <v>1192.425</v>
      </c>
      <c r="O121" s="180" t="s">
        <v>83</v>
      </c>
      <c r="P121" s="181">
        <v>1628.059</v>
      </c>
      <c r="Q121" s="180" t="s">
        <v>83</v>
      </c>
      <c r="R121" s="181">
        <v>1595.0219999999999</v>
      </c>
      <c r="S121" s="180" t="s">
        <v>83</v>
      </c>
      <c r="T121" s="181">
        <v>1644.9059999999999</v>
      </c>
      <c r="U121" s="180" t="s">
        <v>83</v>
      </c>
      <c r="V121" s="181">
        <v>1715.9369999999999</v>
      </c>
      <c r="W121" s="180" t="s">
        <v>83</v>
      </c>
      <c r="X121" s="181">
        <v>1759.9839999999999</v>
      </c>
      <c r="Y121" s="180" t="s">
        <v>83</v>
      </c>
      <c r="Z121" s="181" t="s">
        <v>349</v>
      </c>
    </row>
    <row r="122" spans="1:26" ht="15" x14ac:dyDescent="0.3">
      <c r="A122" s="179" t="s">
        <v>455</v>
      </c>
      <c r="B122" s="178" t="s">
        <v>83</v>
      </c>
      <c r="C122" s="180" t="s">
        <v>83</v>
      </c>
      <c r="D122" s="181">
        <v>146.8116</v>
      </c>
      <c r="E122" s="180" t="s">
        <v>83</v>
      </c>
      <c r="F122" s="181">
        <v>264.6943</v>
      </c>
      <c r="G122" s="180" t="s">
        <v>83</v>
      </c>
      <c r="H122" s="181">
        <v>418.14819999999997</v>
      </c>
      <c r="I122" s="180" t="s">
        <v>83</v>
      </c>
      <c r="J122" s="181">
        <v>634.35540000000003</v>
      </c>
      <c r="K122" s="180" t="s">
        <v>83</v>
      </c>
      <c r="L122" s="181">
        <v>803.89110000000005</v>
      </c>
      <c r="M122" s="180" t="s">
        <v>83</v>
      </c>
      <c r="N122" s="181">
        <v>910.25580000000002</v>
      </c>
      <c r="O122" s="180" t="s">
        <v>83</v>
      </c>
      <c r="P122" s="181">
        <v>883.76099999999997</v>
      </c>
      <c r="Q122" s="180" t="s">
        <v>83</v>
      </c>
      <c r="R122" s="181">
        <v>854.04520000000002</v>
      </c>
      <c r="S122" s="180" t="s">
        <v>83</v>
      </c>
      <c r="T122" s="181">
        <v>881.45899999999995</v>
      </c>
      <c r="U122" s="180" t="s">
        <v>83</v>
      </c>
      <c r="V122" s="181">
        <v>923.87850000000003</v>
      </c>
      <c r="W122" s="180" t="s">
        <v>83</v>
      </c>
      <c r="X122" s="181">
        <v>931.44029999999998</v>
      </c>
      <c r="Y122" s="180" t="s">
        <v>83</v>
      </c>
      <c r="Z122" s="181" t="s">
        <v>349</v>
      </c>
    </row>
    <row r="123" spans="1:26" ht="15" x14ac:dyDescent="0.3">
      <c r="A123" s="179" t="s">
        <v>456</v>
      </c>
      <c r="B123" s="178" t="s">
        <v>83</v>
      </c>
      <c r="C123" s="180" t="s">
        <v>83</v>
      </c>
      <c r="D123" s="181">
        <v>36.940399999999997</v>
      </c>
      <c r="E123" s="180" t="s">
        <v>83</v>
      </c>
      <c r="F123" s="181">
        <v>86.795400000000001</v>
      </c>
      <c r="G123" s="180" t="s">
        <v>83</v>
      </c>
      <c r="H123" s="181">
        <v>140.66659999999999</v>
      </c>
      <c r="I123" s="180" t="s">
        <v>83</v>
      </c>
      <c r="J123" s="181">
        <v>131.3586</v>
      </c>
      <c r="K123" s="180" t="s">
        <v>83</v>
      </c>
      <c r="L123" s="181">
        <v>124.0095</v>
      </c>
      <c r="M123" s="180" t="s">
        <v>83</v>
      </c>
      <c r="N123" s="181">
        <v>149.4357</v>
      </c>
      <c r="O123" s="180" t="s">
        <v>83</v>
      </c>
      <c r="P123" s="181">
        <v>102.70059999999999</v>
      </c>
      <c r="Q123" s="180" t="s">
        <v>83</v>
      </c>
      <c r="R123" s="181">
        <v>114.9024</v>
      </c>
      <c r="S123" s="180" t="s">
        <v>83</v>
      </c>
      <c r="T123" s="181">
        <v>165.53710000000001</v>
      </c>
      <c r="U123" s="180" t="s">
        <v>83</v>
      </c>
      <c r="V123" s="181">
        <v>170.6584</v>
      </c>
      <c r="W123" s="180" t="s">
        <v>83</v>
      </c>
      <c r="X123" s="181">
        <v>178.63059999999999</v>
      </c>
      <c r="Y123" s="180" t="s">
        <v>83</v>
      </c>
      <c r="Z123" s="181" t="s">
        <v>349</v>
      </c>
    </row>
    <row r="124" spans="1:26" ht="15" x14ac:dyDescent="0.3">
      <c r="A124" s="179" t="s">
        <v>457</v>
      </c>
      <c r="B124" s="178" t="s">
        <v>83</v>
      </c>
      <c r="C124" s="180" t="s">
        <v>83</v>
      </c>
      <c r="D124" s="181">
        <v>16.8672</v>
      </c>
      <c r="E124" s="180" t="s">
        <v>83</v>
      </c>
      <c r="F124" s="181">
        <v>19.2225</v>
      </c>
      <c r="G124" s="180" t="s">
        <v>83</v>
      </c>
      <c r="H124" s="181">
        <v>24.845099999999999</v>
      </c>
      <c r="I124" s="180" t="s">
        <v>83</v>
      </c>
      <c r="J124" s="181">
        <v>24.182600000000001</v>
      </c>
      <c r="K124" s="180" t="s">
        <v>83</v>
      </c>
      <c r="L124" s="181">
        <v>21.4772</v>
      </c>
      <c r="M124" s="180" t="s">
        <v>83</v>
      </c>
      <c r="N124" s="181">
        <v>16.8691</v>
      </c>
      <c r="O124" s="180" t="s">
        <v>83</v>
      </c>
      <c r="P124" s="181">
        <v>18.4453</v>
      </c>
      <c r="Q124" s="180" t="s">
        <v>83</v>
      </c>
      <c r="R124" s="181">
        <v>19.017499999999998</v>
      </c>
      <c r="S124" s="180" t="s">
        <v>83</v>
      </c>
      <c r="T124" s="181">
        <v>19.631499999999999</v>
      </c>
      <c r="U124" s="180" t="s">
        <v>83</v>
      </c>
      <c r="V124" s="181">
        <v>21.486000000000001</v>
      </c>
      <c r="W124" s="180" t="s">
        <v>83</v>
      </c>
      <c r="X124" s="181">
        <v>21.9299</v>
      </c>
      <c r="Y124" s="180" t="s">
        <v>83</v>
      </c>
      <c r="Z124" s="181" t="s">
        <v>349</v>
      </c>
    </row>
    <row r="125" spans="1:26" ht="15" x14ac:dyDescent="0.3">
      <c r="A125" s="179" t="s">
        <v>458</v>
      </c>
      <c r="B125" s="178" t="s">
        <v>83</v>
      </c>
      <c r="C125" s="180" t="s">
        <v>83</v>
      </c>
      <c r="D125" s="181">
        <v>6.5994999999999999</v>
      </c>
      <c r="E125" s="180" t="s">
        <v>83</v>
      </c>
      <c r="F125" s="181">
        <v>19.233799999999999</v>
      </c>
      <c r="G125" s="180" t="s">
        <v>83</v>
      </c>
      <c r="H125" s="181">
        <v>22.3628</v>
      </c>
      <c r="I125" s="180" t="s">
        <v>83</v>
      </c>
      <c r="J125" s="181">
        <v>46.044800000000002</v>
      </c>
      <c r="K125" s="180" t="s">
        <v>83</v>
      </c>
      <c r="L125" s="181">
        <v>47.673099999999998</v>
      </c>
      <c r="M125" s="180" t="s">
        <v>83</v>
      </c>
      <c r="N125" s="181">
        <v>61.461399999999998</v>
      </c>
      <c r="O125" s="180" t="s">
        <v>83</v>
      </c>
      <c r="P125" s="181">
        <v>54.117600000000003</v>
      </c>
      <c r="Q125" s="180" t="s">
        <v>83</v>
      </c>
      <c r="R125" s="181">
        <v>58.843699999999998</v>
      </c>
      <c r="S125" s="180" t="s">
        <v>83</v>
      </c>
      <c r="T125" s="181">
        <v>58.410400000000003</v>
      </c>
      <c r="U125" s="180" t="s">
        <v>83</v>
      </c>
      <c r="V125" s="181">
        <v>64.034300000000002</v>
      </c>
      <c r="W125" s="180" t="s">
        <v>83</v>
      </c>
      <c r="X125" s="181">
        <v>64.308999999999997</v>
      </c>
      <c r="Y125" s="180" t="s">
        <v>83</v>
      </c>
      <c r="Z125" s="181" t="s">
        <v>349</v>
      </c>
    </row>
    <row r="126" spans="1:26" ht="15" x14ac:dyDescent="0.3">
      <c r="A126" s="182" t="s">
        <v>459</v>
      </c>
      <c r="B126" s="178" t="s">
        <v>83</v>
      </c>
      <c r="C126" s="180" t="s">
        <v>83</v>
      </c>
      <c r="D126" s="181">
        <v>0</v>
      </c>
      <c r="E126" s="180" t="s">
        <v>83</v>
      </c>
      <c r="F126" s="181">
        <v>0</v>
      </c>
      <c r="G126" s="180" t="s">
        <v>83</v>
      </c>
      <c r="H126" s="181">
        <v>0</v>
      </c>
      <c r="I126" s="180" t="s">
        <v>83</v>
      </c>
      <c r="J126" s="181">
        <v>237.0188</v>
      </c>
      <c r="K126" s="180" t="s">
        <v>83</v>
      </c>
      <c r="L126" s="181">
        <v>319.09750000000003</v>
      </c>
      <c r="M126" s="180" t="s">
        <v>83</v>
      </c>
      <c r="N126" s="181">
        <v>432.78530000000001</v>
      </c>
      <c r="O126" s="180" t="s">
        <v>83</v>
      </c>
      <c r="P126" s="181">
        <v>501.22190000000001</v>
      </c>
      <c r="Q126" s="180" t="s">
        <v>83</v>
      </c>
      <c r="R126" s="181">
        <v>513.48710000000005</v>
      </c>
      <c r="S126" s="180" t="s">
        <v>83</v>
      </c>
      <c r="T126" s="181">
        <v>541.93470000000002</v>
      </c>
      <c r="U126" s="180" t="s">
        <v>83</v>
      </c>
      <c r="V126" s="181">
        <v>545.47490000000005</v>
      </c>
      <c r="W126" s="180" t="s">
        <v>83</v>
      </c>
      <c r="X126" s="181">
        <v>563.01059999999995</v>
      </c>
      <c r="Y126" s="180" t="s">
        <v>83</v>
      </c>
      <c r="Z126" s="181" t="s">
        <v>349</v>
      </c>
    </row>
    <row r="127" spans="1:26" ht="15" x14ac:dyDescent="0.3">
      <c r="A127" s="179" t="s">
        <v>460</v>
      </c>
      <c r="B127" s="178" t="s">
        <v>83</v>
      </c>
      <c r="C127" s="180" t="s">
        <v>83</v>
      </c>
      <c r="D127" s="181">
        <v>52.063499999999998</v>
      </c>
      <c r="E127" s="180" t="s">
        <v>83</v>
      </c>
      <c r="F127" s="181">
        <v>67.591200000000001</v>
      </c>
      <c r="G127" s="180" t="s">
        <v>83</v>
      </c>
      <c r="H127" s="181">
        <v>88.779399999999995</v>
      </c>
      <c r="I127" s="180" t="s">
        <v>83</v>
      </c>
      <c r="J127" s="181">
        <v>115.4282</v>
      </c>
      <c r="K127" s="180" t="s">
        <v>83</v>
      </c>
      <c r="L127" s="181">
        <v>106.80249999999999</v>
      </c>
      <c r="M127" s="180" t="s">
        <v>83</v>
      </c>
      <c r="N127" s="181">
        <v>153.54589999999999</v>
      </c>
      <c r="O127" s="180" t="s">
        <v>83</v>
      </c>
      <c r="P127" s="181">
        <v>184.89619999999999</v>
      </c>
      <c r="Q127" s="180" t="s">
        <v>83</v>
      </c>
      <c r="R127" s="181">
        <v>189.49440000000001</v>
      </c>
      <c r="S127" s="180" t="s">
        <v>83</v>
      </c>
      <c r="T127" s="181">
        <v>169.3553</v>
      </c>
      <c r="U127" s="180" t="s">
        <v>83</v>
      </c>
      <c r="V127" s="181">
        <v>186.34700000000001</v>
      </c>
      <c r="W127" s="180" t="s">
        <v>83</v>
      </c>
      <c r="X127" s="181">
        <v>192.57159999999999</v>
      </c>
      <c r="Y127" s="180" t="s">
        <v>83</v>
      </c>
      <c r="Z127" s="181" t="s">
        <v>349</v>
      </c>
    </row>
    <row r="128" spans="1:26" ht="20.399999999999999" x14ac:dyDescent="0.3">
      <c r="A128" s="179" t="s">
        <v>461</v>
      </c>
      <c r="B128" s="178" t="s">
        <v>83</v>
      </c>
      <c r="C128" s="180" t="s">
        <v>83</v>
      </c>
      <c r="D128" s="181">
        <v>99.411600000000007</v>
      </c>
      <c r="E128" s="180" t="s">
        <v>83</v>
      </c>
      <c r="F128" s="181">
        <v>154.14959999999999</v>
      </c>
      <c r="G128" s="180" t="s">
        <v>83</v>
      </c>
      <c r="H128" s="181">
        <v>221.21559999999999</v>
      </c>
      <c r="I128" s="180" t="s">
        <v>83</v>
      </c>
      <c r="J128" s="181">
        <v>97.353499999999997</v>
      </c>
      <c r="K128" s="180" t="s">
        <v>83</v>
      </c>
      <c r="L128" s="181">
        <v>111.1147</v>
      </c>
      <c r="M128" s="180" t="s">
        <v>83</v>
      </c>
      <c r="N128" s="181">
        <v>99.195400000000006</v>
      </c>
      <c r="O128" s="180" t="s">
        <v>83</v>
      </c>
      <c r="P128" s="181">
        <v>81.142600000000002</v>
      </c>
      <c r="Q128" s="180" t="s">
        <v>83</v>
      </c>
      <c r="R128" s="181">
        <v>85.808099999999996</v>
      </c>
      <c r="S128" s="180" t="s">
        <v>83</v>
      </c>
      <c r="T128" s="181">
        <v>104.4457</v>
      </c>
      <c r="U128" s="180" t="s">
        <v>83</v>
      </c>
      <c r="V128" s="181">
        <v>99.102900000000005</v>
      </c>
      <c r="W128" s="180" t="s">
        <v>83</v>
      </c>
      <c r="X128" s="181">
        <v>98.625399999999999</v>
      </c>
      <c r="Y128" s="180" t="s">
        <v>83</v>
      </c>
      <c r="Z128" s="181" t="s">
        <v>349</v>
      </c>
    </row>
    <row r="129" spans="1:26" ht="15" x14ac:dyDescent="0.3">
      <c r="A129" s="179" t="s">
        <v>462</v>
      </c>
      <c r="B129" s="178" t="s">
        <v>83</v>
      </c>
      <c r="C129" s="180" t="s">
        <v>83</v>
      </c>
      <c r="D129" s="181">
        <v>-0.54079999999999995</v>
      </c>
      <c r="E129" s="180" t="s">
        <v>83</v>
      </c>
      <c r="F129" s="181">
        <v>0.20200000000000001</v>
      </c>
      <c r="G129" s="180" t="s">
        <v>83</v>
      </c>
      <c r="H129" s="181">
        <v>0.23330000000000001</v>
      </c>
      <c r="I129" s="180" t="s">
        <v>83</v>
      </c>
      <c r="J129" s="181">
        <v>0.3498</v>
      </c>
      <c r="K129" s="180" t="s">
        <v>83</v>
      </c>
      <c r="L129" s="181">
        <v>0.51900000000000002</v>
      </c>
      <c r="M129" s="180" t="s">
        <v>83</v>
      </c>
      <c r="N129" s="181">
        <v>0.50749999999999995</v>
      </c>
      <c r="O129" s="180" t="s">
        <v>83</v>
      </c>
      <c r="P129" s="181">
        <v>0.5736</v>
      </c>
      <c r="Q129" s="180" t="s">
        <v>83</v>
      </c>
      <c r="R129" s="181">
        <v>0.50070000000000003</v>
      </c>
      <c r="S129" s="180" t="s">
        <v>83</v>
      </c>
      <c r="T129" s="181">
        <v>0.53939999999999999</v>
      </c>
      <c r="U129" s="180" t="s">
        <v>83</v>
      </c>
      <c r="V129" s="181">
        <v>0.5917</v>
      </c>
      <c r="W129" s="180" t="s">
        <v>83</v>
      </c>
      <c r="X129" s="181">
        <v>0.60970000000000002</v>
      </c>
      <c r="Y129" s="180" t="s">
        <v>83</v>
      </c>
      <c r="Z129" s="181" t="s">
        <v>349</v>
      </c>
    </row>
    <row r="130" spans="1:26" ht="15" x14ac:dyDescent="0.3">
      <c r="A130" s="179" t="s">
        <v>463</v>
      </c>
      <c r="B130" s="178" t="s">
        <v>83</v>
      </c>
      <c r="C130" s="180" t="s">
        <v>83</v>
      </c>
      <c r="D130" s="181">
        <v>29.6174</v>
      </c>
      <c r="E130" s="180" t="s">
        <v>83</v>
      </c>
      <c r="F130" s="181">
        <v>61.014499999999998</v>
      </c>
      <c r="G130" s="180" t="s">
        <v>83</v>
      </c>
      <c r="H130" s="181">
        <v>50.601199999999999</v>
      </c>
      <c r="I130" s="180" t="s">
        <v>83</v>
      </c>
      <c r="J130" s="181">
        <v>78.795900000000003</v>
      </c>
      <c r="K130" s="180" t="s">
        <v>83</v>
      </c>
      <c r="L130" s="181">
        <v>99.266000000000005</v>
      </c>
      <c r="M130" s="180" t="s">
        <v>83</v>
      </c>
      <c r="N130" s="181">
        <v>105.0869</v>
      </c>
      <c r="O130" s="180" t="s">
        <v>83</v>
      </c>
      <c r="P130" s="181">
        <v>130.95089999999999</v>
      </c>
      <c r="Q130" s="180" t="s">
        <v>83</v>
      </c>
      <c r="R130" s="181">
        <v>145.43539999999999</v>
      </c>
      <c r="S130" s="180" t="s">
        <v>83</v>
      </c>
      <c r="T130" s="181">
        <v>126.9845</v>
      </c>
      <c r="U130" s="180" t="s">
        <v>83</v>
      </c>
      <c r="V130" s="181">
        <v>135.13929999999999</v>
      </c>
      <c r="W130" s="180" t="s">
        <v>83</v>
      </c>
      <c r="X130" s="181">
        <v>141.36859999999999</v>
      </c>
      <c r="Y130" s="180" t="s">
        <v>83</v>
      </c>
      <c r="Z130" s="181" t="s">
        <v>349</v>
      </c>
    </row>
    <row r="131" spans="1:26" ht="15" x14ac:dyDescent="0.3">
      <c r="A131" s="182" t="s">
        <v>464</v>
      </c>
      <c r="B131" s="178" t="s">
        <v>83</v>
      </c>
      <c r="C131" s="180" t="s">
        <v>83</v>
      </c>
      <c r="D131" s="181">
        <v>0</v>
      </c>
      <c r="E131" s="180" t="s">
        <v>83</v>
      </c>
      <c r="F131" s="181">
        <v>0</v>
      </c>
      <c r="G131" s="180" t="s">
        <v>83</v>
      </c>
      <c r="H131" s="181">
        <v>0</v>
      </c>
      <c r="I131" s="180" t="s">
        <v>83</v>
      </c>
      <c r="J131" s="181">
        <v>25.593499999999999</v>
      </c>
      <c r="K131" s="180" t="s">
        <v>83</v>
      </c>
      <c r="L131" s="181">
        <v>29.3705</v>
      </c>
      <c r="M131" s="180" t="s">
        <v>83</v>
      </c>
      <c r="N131" s="181">
        <v>31.2073</v>
      </c>
      <c r="O131" s="180" t="s">
        <v>83</v>
      </c>
      <c r="P131" s="181">
        <v>40.880499999999998</v>
      </c>
      <c r="Q131" s="180" t="s">
        <v>83</v>
      </c>
      <c r="R131" s="181">
        <v>39.779800000000002</v>
      </c>
      <c r="S131" s="180" t="s">
        <v>83</v>
      </c>
      <c r="T131" s="181">
        <v>42.773200000000003</v>
      </c>
      <c r="U131" s="180" t="s">
        <v>83</v>
      </c>
      <c r="V131" s="181">
        <v>53.197499999999998</v>
      </c>
      <c r="W131" s="180" t="s">
        <v>83</v>
      </c>
      <c r="X131" s="181">
        <v>53.58</v>
      </c>
      <c r="Y131" s="180" t="s">
        <v>83</v>
      </c>
      <c r="Z131" s="181" t="s">
        <v>349</v>
      </c>
    </row>
    <row r="132" spans="1:26" ht="20.399999999999999" x14ac:dyDescent="0.3">
      <c r="A132" s="179" t="s">
        <v>465</v>
      </c>
      <c r="B132" s="178" t="s">
        <v>83</v>
      </c>
      <c r="C132" s="180" t="s">
        <v>83</v>
      </c>
      <c r="D132" s="181">
        <v>11.719799999999999</v>
      </c>
      <c r="E132" s="180" t="s">
        <v>83</v>
      </c>
      <c r="F132" s="181">
        <v>12.031599999999999</v>
      </c>
      <c r="G132" s="180" t="s">
        <v>83</v>
      </c>
      <c r="H132" s="181">
        <v>16.227799999999998</v>
      </c>
      <c r="I132" s="180" t="s">
        <v>83</v>
      </c>
      <c r="J132" s="181">
        <v>20.336099999999998</v>
      </c>
      <c r="K132" s="180" t="s">
        <v>83</v>
      </c>
      <c r="L132" s="181">
        <v>27.7348</v>
      </c>
      <c r="M132" s="180" t="s">
        <v>83</v>
      </c>
      <c r="N132" s="181">
        <v>50.0229</v>
      </c>
      <c r="O132" s="180" t="s">
        <v>83</v>
      </c>
      <c r="P132" s="181">
        <v>80.939700000000002</v>
      </c>
      <c r="Q132" s="180" t="s">
        <v>83</v>
      </c>
      <c r="R132" s="181">
        <v>92.979399999999998</v>
      </c>
      <c r="S132" s="180" t="s">
        <v>83</v>
      </c>
      <c r="T132" s="181">
        <v>94.980900000000005</v>
      </c>
      <c r="U132" s="180" t="s">
        <v>83</v>
      </c>
      <c r="V132" s="181">
        <v>98.803399999999996</v>
      </c>
      <c r="W132" s="180" t="s">
        <v>83</v>
      </c>
      <c r="X132" s="181">
        <v>102.877</v>
      </c>
      <c r="Y132" s="180" t="s">
        <v>83</v>
      </c>
      <c r="Z132" s="181" t="s">
        <v>349</v>
      </c>
    </row>
    <row r="133" spans="1:26" ht="15" x14ac:dyDescent="0.3">
      <c r="A133" s="179" t="s">
        <v>466</v>
      </c>
      <c r="B133" s="178" t="s">
        <v>83</v>
      </c>
      <c r="C133" s="180" t="s">
        <v>83</v>
      </c>
      <c r="D133" s="181">
        <v>11.0413</v>
      </c>
      <c r="E133" s="180" t="s">
        <v>83</v>
      </c>
      <c r="F133" s="181">
        <v>13.030900000000001</v>
      </c>
      <c r="G133" s="180" t="s">
        <v>83</v>
      </c>
      <c r="H133" s="181">
        <v>9.7721999999999998</v>
      </c>
      <c r="I133" s="180" t="s">
        <v>83</v>
      </c>
      <c r="J133" s="181">
        <v>25.867100000000001</v>
      </c>
      <c r="K133" s="180" t="s">
        <v>83</v>
      </c>
      <c r="L133" s="181">
        <v>31.938400000000001</v>
      </c>
      <c r="M133" s="180" t="s">
        <v>83</v>
      </c>
      <c r="N133" s="181">
        <v>45.704000000000001</v>
      </c>
      <c r="O133" s="180" t="s">
        <v>83</v>
      </c>
      <c r="P133" s="181">
        <v>51.4664</v>
      </c>
      <c r="Q133" s="180" t="s">
        <v>83</v>
      </c>
      <c r="R133" s="181">
        <v>52.051499999999997</v>
      </c>
      <c r="S133" s="180" t="s">
        <v>83</v>
      </c>
      <c r="T133" s="181">
        <v>51.4617</v>
      </c>
      <c r="U133" s="180" t="s">
        <v>83</v>
      </c>
      <c r="V133" s="181">
        <v>52.2849</v>
      </c>
      <c r="W133" s="180" t="s">
        <v>83</v>
      </c>
      <c r="X133" s="181">
        <v>54.460099999999997</v>
      </c>
      <c r="Y133" s="180" t="s">
        <v>83</v>
      </c>
      <c r="Z133" s="181" t="s">
        <v>349</v>
      </c>
    </row>
    <row r="134" spans="1:26" ht="15" x14ac:dyDescent="0.3">
      <c r="A134" s="179" t="s">
        <v>467</v>
      </c>
      <c r="B134" s="178" t="s">
        <v>83</v>
      </c>
      <c r="C134" s="180" t="s">
        <v>83</v>
      </c>
      <c r="D134" s="181">
        <v>4.4341999999999997</v>
      </c>
      <c r="E134" s="180" t="s">
        <v>83</v>
      </c>
      <c r="F134" s="181">
        <v>6.9130000000000003</v>
      </c>
      <c r="G134" s="180" t="s">
        <v>83</v>
      </c>
      <c r="H134" s="181">
        <v>4.9850000000000003</v>
      </c>
      <c r="I134" s="180" t="s">
        <v>83</v>
      </c>
      <c r="J134" s="181">
        <v>6.4028</v>
      </c>
      <c r="K134" s="180" t="s">
        <v>83</v>
      </c>
      <c r="L134" s="181">
        <v>6.6689999999999996</v>
      </c>
      <c r="M134" s="180" t="s">
        <v>83</v>
      </c>
      <c r="N134" s="181">
        <v>7.1258999999999997</v>
      </c>
      <c r="O134" s="180" t="s">
        <v>83</v>
      </c>
      <c r="P134" s="181">
        <v>8.5343</v>
      </c>
      <c r="Q134" s="180" t="s">
        <v>83</v>
      </c>
      <c r="R134" s="181">
        <v>9.1692999999999998</v>
      </c>
      <c r="S134" s="180" t="s">
        <v>83</v>
      </c>
      <c r="T134" s="181">
        <v>19.330100000000002</v>
      </c>
      <c r="U134" s="180" t="s">
        <v>83</v>
      </c>
      <c r="V134" s="181">
        <v>20.6312</v>
      </c>
      <c r="W134" s="180" t="s">
        <v>83</v>
      </c>
      <c r="X134" s="181">
        <v>21.270900000000001</v>
      </c>
      <c r="Y134" s="180" t="s">
        <v>83</v>
      </c>
      <c r="Z134" s="181" t="s">
        <v>349</v>
      </c>
    </row>
    <row r="135" spans="1:26" ht="15" x14ac:dyDescent="0.3">
      <c r="A135" s="179" t="s">
        <v>468</v>
      </c>
      <c r="B135" s="178" t="s">
        <v>83</v>
      </c>
      <c r="C135" s="180" t="s">
        <v>83</v>
      </c>
      <c r="D135" s="181">
        <v>4.1314000000000002</v>
      </c>
      <c r="E135" s="180" t="s">
        <v>83</v>
      </c>
      <c r="F135" s="181">
        <v>7.5427999999999997</v>
      </c>
      <c r="G135" s="180" t="s">
        <v>83</v>
      </c>
      <c r="H135" s="181">
        <v>9.9018999999999995</v>
      </c>
      <c r="I135" s="180" t="s">
        <v>83</v>
      </c>
      <c r="J135" s="181">
        <v>7.0974000000000004</v>
      </c>
      <c r="K135" s="180" t="s">
        <v>83</v>
      </c>
      <c r="L135" s="181">
        <v>8.0713000000000008</v>
      </c>
      <c r="M135" s="180" t="s">
        <v>83</v>
      </c>
      <c r="N135" s="181">
        <v>9.5599000000000007</v>
      </c>
      <c r="O135" s="180" t="s">
        <v>83</v>
      </c>
      <c r="P135" s="181">
        <v>18.075600000000001</v>
      </c>
      <c r="Q135" s="180" t="s">
        <v>83</v>
      </c>
      <c r="R135" s="181">
        <v>16.453299999999999</v>
      </c>
      <c r="S135" s="180" t="s">
        <v>83</v>
      </c>
      <c r="T135" s="181">
        <v>17.831800000000001</v>
      </c>
      <c r="U135" s="180" t="s">
        <v>83</v>
      </c>
      <c r="V135" s="181">
        <v>22.164400000000001</v>
      </c>
      <c r="W135" s="180" t="s">
        <v>83</v>
      </c>
      <c r="X135" s="181">
        <v>22.525600000000001</v>
      </c>
      <c r="Y135" s="180" t="s">
        <v>83</v>
      </c>
      <c r="Z135" s="181" t="s">
        <v>349</v>
      </c>
    </row>
    <row r="136" spans="1:26" ht="15" x14ac:dyDescent="0.3">
      <c r="A136" s="179" t="s">
        <v>469</v>
      </c>
      <c r="B136" s="178" t="s">
        <v>83</v>
      </c>
      <c r="C136" s="180" t="s">
        <v>83</v>
      </c>
      <c r="D136" s="181">
        <v>8.6461000000000006</v>
      </c>
      <c r="E136" s="180" t="s">
        <v>83</v>
      </c>
      <c r="F136" s="181">
        <v>45.644500000000001</v>
      </c>
      <c r="G136" s="180" t="s">
        <v>83</v>
      </c>
      <c r="H136" s="181">
        <v>47.546700000000001</v>
      </c>
      <c r="I136" s="180" t="s">
        <v>83</v>
      </c>
      <c r="J136" s="181">
        <v>57.976999999999997</v>
      </c>
      <c r="K136" s="180" t="s">
        <v>83</v>
      </c>
      <c r="L136" s="181">
        <v>67.404700000000005</v>
      </c>
      <c r="M136" s="180" t="s">
        <v>83</v>
      </c>
      <c r="N136" s="181">
        <v>105.83929999999999</v>
      </c>
      <c r="O136" s="180" t="s">
        <v>83</v>
      </c>
      <c r="P136" s="181">
        <v>58.749299999999998</v>
      </c>
      <c r="Q136" s="180" t="s">
        <v>83</v>
      </c>
      <c r="R136" s="181">
        <v>63.499299999999998</v>
      </c>
      <c r="S136" s="180" t="s">
        <v>83</v>
      </c>
      <c r="T136" s="181">
        <v>69.627300000000005</v>
      </c>
      <c r="U136" s="180" t="s">
        <v>83</v>
      </c>
      <c r="V136" s="181">
        <v>75.630899999999997</v>
      </c>
      <c r="W136" s="180" t="s">
        <v>83</v>
      </c>
      <c r="X136" s="181">
        <v>70.611599999999996</v>
      </c>
      <c r="Y136" s="180" t="s">
        <v>83</v>
      </c>
      <c r="Z136" s="181" t="s">
        <v>349</v>
      </c>
    </row>
    <row r="137" spans="1:26" ht="15" x14ac:dyDescent="0.3">
      <c r="A137" s="179" t="s">
        <v>470</v>
      </c>
      <c r="B137" s="178" t="s">
        <v>83</v>
      </c>
      <c r="C137" s="180" t="s">
        <v>83</v>
      </c>
      <c r="D137" s="181">
        <v>3.4099999999999998E-2</v>
      </c>
      <c r="E137" s="180" t="s">
        <v>83</v>
      </c>
      <c r="F137" s="181">
        <v>3.8199999999999998E-2</v>
      </c>
      <c r="G137" s="180" t="s">
        <v>83</v>
      </c>
      <c r="H137" s="181">
        <v>4.9000000000000002E-2</v>
      </c>
      <c r="I137" s="180" t="s">
        <v>83</v>
      </c>
      <c r="J137" s="181">
        <v>6.5699999999999995E-2</v>
      </c>
      <c r="K137" s="180" t="s">
        <v>83</v>
      </c>
      <c r="L137" s="181">
        <v>7.4399999999999994E-2</v>
      </c>
      <c r="M137" s="180" t="s">
        <v>83</v>
      </c>
      <c r="N137" s="181">
        <v>7.2599999999999998E-2</v>
      </c>
      <c r="O137" s="180" t="s">
        <v>83</v>
      </c>
      <c r="P137" s="181">
        <v>6.25E-2</v>
      </c>
      <c r="Q137" s="180" t="s">
        <v>83</v>
      </c>
      <c r="R137" s="181">
        <v>6.3700000000000007E-2</v>
      </c>
      <c r="S137" s="180" t="s">
        <v>83</v>
      </c>
      <c r="T137" s="181">
        <v>6.2199999999999998E-2</v>
      </c>
      <c r="U137" s="180" t="s">
        <v>83</v>
      </c>
      <c r="V137" s="181">
        <v>6.3600000000000004E-2</v>
      </c>
      <c r="W137" s="180" t="s">
        <v>83</v>
      </c>
      <c r="X137" s="181">
        <v>6.3399999999999998E-2</v>
      </c>
      <c r="Y137" s="180" t="s">
        <v>83</v>
      </c>
      <c r="Z137" s="181" t="s">
        <v>349</v>
      </c>
    </row>
    <row r="138" spans="1:26" ht="15" x14ac:dyDescent="0.3">
      <c r="A138" s="182" t="s">
        <v>471</v>
      </c>
      <c r="B138" s="178" t="s">
        <v>83</v>
      </c>
      <c r="C138" s="180" t="s">
        <v>83</v>
      </c>
      <c r="D138" s="181">
        <v>0.1336</v>
      </c>
      <c r="E138" s="180" t="s">
        <v>83</v>
      </c>
      <c r="F138" s="181">
        <v>0.57550000000000001</v>
      </c>
      <c r="G138" s="180" t="s">
        <v>83</v>
      </c>
      <c r="H138" s="181">
        <v>5.0308999999999999</v>
      </c>
      <c r="I138" s="180" t="s">
        <v>83</v>
      </c>
      <c r="J138" s="181">
        <v>0.47399999999999998</v>
      </c>
      <c r="K138" s="180" t="s">
        <v>83</v>
      </c>
      <c r="L138" s="181">
        <v>8.0500000000000007</v>
      </c>
      <c r="M138" s="180" t="s">
        <v>83</v>
      </c>
      <c r="N138" s="181">
        <v>2.2963</v>
      </c>
      <c r="O138" s="180" t="s">
        <v>83</v>
      </c>
      <c r="P138" s="181">
        <v>9.0022000000000002</v>
      </c>
      <c r="Q138" s="180" t="s">
        <v>83</v>
      </c>
      <c r="R138" s="181">
        <v>7.3487999999999998</v>
      </c>
      <c r="S138" s="180" t="s">
        <v>83</v>
      </c>
      <c r="T138" s="181">
        <v>5.7161999999999997</v>
      </c>
      <c r="U138" s="180" t="s">
        <v>83</v>
      </c>
      <c r="V138" s="181">
        <v>7.23</v>
      </c>
      <c r="W138" s="180" t="s">
        <v>83</v>
      </c>
      <c r="X138" s="181">
        <v>6.5677000000000003</v>
      </c>
      <c r="Y138" s="180" t="s">
        <v>83</v>
      </c>
      <c r="Z138" s="181" t="s">
        <v>349</v>
      </c>
    </row>
    <row r="139" spans="1:26" ht="15" x14ac:dyDescent="0.3">
      <c r="A139" s="179" t="s">
        <v>472</v>
      </c>
      <c r="B139" s="178" t="s">
        <v>83</v>
      </c>
      <c r="C139" s="180" t="s">
        <v>83</v>
      </c>
      <c r="D139" s="181">
        <v>33.5062</v>
      </c>
      <c r="E139" s="180" t="s">
        <v>83</v>
      </c>
      <c r="F139" s="181">
        <v>38.527299999999997</v>
      </c>
      <c r="G139" s="180" t="s">
        <v>83</v>
      </c>
      <c r="H139" s="181">
        <v>45.018500000000003</v>
      </c>
      <c r="I139" s="180" t="s">
        <v>83</v>
      </c>
      <c r="J139" s="181">
        <v>48.1554</v>
      </c>
      <c r="K139" s="180" t="s">
        <v>83</v>
      </c>
      <c r="L139" s="181">
        <v>53.618299999999998</v>
      </c>
      <c r="M139" s="180" t="s">
        <v>83</v>
      </c>
      <c r="N139" s="181">
        <v>62.741700000000002</v>
      </c>
      <c r="O139" s="180" t="s">
        <v>83</v>
      </c>
      <c r="P139" s="181">
        <v>67.938400000000001</v>
      </c>
      <c r="Q139" s="180" t="s">
        <v>83</v>
      </c>
      <c r="R139" s="181">
        <v>69.817999999999998</v>
      </c>
      <c r="S139" s="180" t="s">
        <v>83</v>
      </c>
      <c r="T139" s="181">
        <v>70.3857</v>
      </c>
      <c r="U139" s="180" t="s">
        <v>83</v>
      </c>
      <c r="V139" s="181">
        <v>67.096400000000003</v>
      </c>
      <c r="W139" s="180" t="s">
        <v>83</v>
      </c>
      <c r="X139" s="181">
        <v>68.110600000000005</v>
      </c>
      <c r="Y139" s="180" t="s">
        <v>83</v>
      </c>
      <c r="Z139" s="181" t="s">
        <v>349</v>
      </c>
    </row>
    <row r="140" spans="1:26" ht="15" x14ac:dyDescent="0.3">
      <c r="A140" s="179" t="s">
        <v>473</v>
      </c>
      <c r="B140" s="178" t="s">
        <v>83</v>
      </c>
      <c r="C140" s="180" t="s">
        <v>83</v>
      </c>
      <c r="D140" s="181">
        <v>11.006399999999999</v>
      </c>
      <c r="E140" s="180" t="s">
        <v>83</v>
      </c>
      <c r="F140" s="181">
        <v>15.315200000000001</v>
      </c>
      <c r="G140" s="180" t="s">
        <v>83</v>
      </c>
      <c r="H140" s="181">
        <v>18.468499999999999</v>
      </c>
      <c r="I140" s="180" t="s">
        <v>83</v>
      </c>
      <c r="J140" s="181">
        <v>37.773899999999998</v>
      </c>
      <c r="K140" s="180" t="s">
        <v>83</v>
      </c>
      <c r="L140" s="181">
        <v>33.007599999999996</v>
      </c>
      <c r="M140" s="180" t="s">
        <v>83</v>
      </c>
      <c r="N140" s="181">
        <v>55.569400000000002</v>
      </c>
      <c r="O140" s="180" t="s">
        <v>83</v>
      </c>
      <c r="P140" s="181">
        <v>57.0396</v>
      </c>
      <c r="Q140" s="180" t="s">
        <v>83</v>
      </c>
      <c r="R140" s="181">
        <v>58.168999999999997</v>
      </c>
      <c r="S140" s="180" t="s">
        <v>83</v>
      </c>
      <c r="T140" s="181">
        <v>65.426400000000001</v>
      </c>
      <c r="U140" s="180" t="s">
        <v>83</v>
      </c>
      <c r="V140" s="181">
        <v>65.0548</v>
      </c>
      <c r="W140" s="180" t="s">
        <v>83</v>
      </c>
      <c r="X140" s="181">
        <v>66.750600000000006</v>
      </c>
      <c r="Y140" s="180" t="s">
        <v>83</v>
      </c>
      <c r="Z140" s="181" t="s">
        <v>349</v>
      </c>
    </row>
    <row r="141" spans="1:26" ht="15" x14ac:dyDescent="0.3">
      <c r="A141" s="179" t="s">
        <v>474</v>
      </c>
      <c r="B141" s="178" t="s">
        <v>83</v>
      </c>
      <c r="C141" s="180" t="s">
        <v>83</v>
      </c>
      <c r="D141" s="181">
        <v>46.400399999999998</v>
      </c>
      <c r="E141" s="180" t="s">
        <v>83</v>
      </c>
      <c r="F141" s="181">
        <v>101.74979999999999</v>
      </c>
      <c r="G141" s="180" t="s">
        <v>83</v>
      </c>
      <c r="H141" s="181">
        <v>175.01939999999999</v>
      </c>
      <c r="I141" s="180" t="s">
        <v>83</v>
      </c>
      <c r="J141" s="181">
        <v>379.32679999999999</v>
      </c>
      <c r="K141" s="180" t="s">
        <v>83</v>
      </c>
      <c r="L141" s="181">
        <v>418.30470000000003</v>
      </c>
      <c r="M141" s="180" t="s">
        <v>83</v>
      </c>
      <c r="N141" s="181">
        <v>501.84050000000002</v>
      </c>
      <c r="O141" s="180" t="s">
        <v>83</v>
      </c>
      <c r="P141" s="181">
        <v>564.73530000000005</v>
      </c>
      <c r="Q141" s="180" t="s">
        <v>83</v>
      </c>
      <c r="R141" s="181">
        <v>588.93299999999999</v>
      </c>
      <c r="S141" s="180" t="s">
        <v>83</v>
      </c>
      <c r="T141" s="181">
        <v>673.89319999999998</v>
      </c>
      <c r="U141" s="180" t="s">
        <v>83</v>
      </c>
      <c r="V141" s="181">
        <v>684.46339999999998</v>
      </c>
      <c r="W141" s="180" t="s">
        <v>83</v>
      </c>
      <c r="X141" s="181">
        <v>697.08190000000002</v>
      </c>
      <c r="Y141" s="180" t="s">
        <v>83</v>
      </c>
      <c r="Z141" s="181" t="s">
        <v>349</v>
      </c>
    </row>
    <row r="142" spans="1:26" ht="15" x14ac:dyDescent="0.3">
      <c r="A142" s="179" t="s">
        <v>475</v>
      </c>
      <c r="B142" s="178" t="s">
        <v>83</v>
      </c>
      <c r="C142" s="180" t="s">
        <v>83</v>
      </c>
      <c r="D142" s="181">
        <v>0.11219999999999999</v>
      </c>
      <c r="E142" s="180" t="s">
        <v>83</v>
      </c>
      <c r="F142" s="181">
        <v>0.1028</v>
      </c>
      <c r="G142" s="180" t="s">
        <v>83</v>
      </c>
      <c r="H142" s="181">
        <v>0.156</v>
      </c>
      <c r="I142" s="180" t="s">
        <v>83</v>
      </c>
      <c r="J142" s="181">
        <v>0.92330000000000001</v>
      </c>
      <c r="K142" s="180" t="s">
        <v>83</v>
      </c>
      <c r="L142" s="181">
        <v>1.3496999999999999</v>
      </c>
      <c r="M142" s="180" t="s">
        <v>83</v>
      </c>
      <c r="N142" s="181">
        <v>1.4576</v>
      </c>
      <c r="O142" s="180" t="s">
        <v>83</v>
      </c>
      <c r="P142" s="181">
        <v>2.3050999999999999</v>
      </c>
      <c r="Q142" s="180" t="s">
        <v>83</v>
      </c>
      <c r="R142" s="181">
        <v>2.2094999999999998</v>
      </c>
      <c r="S142" s="180" t="s">
        <v>83</v>
      </c>
      <c r="T142" s="181">
        <v>1.8411999999999999</v>
      </c>
      <c r="U142" s="180" t="s">
        <v>83</v>
      </c>
      <c r="V142" s="181">
        <v>4.3315000000000001</v>
      </c>
      <c r="W142" s="180" t="s">
        <v>83</v>
      </c>
      <c r="X142" s="181">
        <v>4.3582999999999998</v>
      </c>
      <c r="Y142" s="180" t="s">
        <v>83</v>
      </c>
      <c r="Z142" s="181" t="s">
        <v>349</v>
      </c>
    </row>
    <row r="143" spans="1:26" ht="15" x14ac:dyDescent="0.3">
      <c r="A143" s="179" t="s">
        <v>476</v>
      </c>
      <c r="B143" s="178" t="s">
        <v>83</v>
      </c>
      <c r="C143" s="180" t="s">
        <v>83</v>
      </c>
      <c r="D143" s="181">
        <v>23.234000000000002</v>
      </c>
      <c r="E143" s="180" t="s">
        <v>83</v>
      </c>
      <c r="F143" s="181">
        <v>25.674499999999998</v>
      </c>
      <c r="G143" s="180" t="s">
        <v>83</v>
      </c>
      <c r="H143" s="181">
        <v>30.841899999999999</v>
      </c>
      <c r="I143" s="180" t="s">
        <v>83</v>
      </c>
      <c r="J143" s="181">
        <v>50.605499999999999</v>
      </c>
      <c r="K143" s="180" t="s">
        <v>83</v>
      </c>
      <c r="L143" s="181">
        <v>72.700699999999998</v>
      </c>
      <c r="M143" s="180" t="s">
        <v>83</v>
      </c>
      <c r="N143" s="181">
        <v>89.001400000000004</v>
      </c>
      <c r="O143" s="180" t="s">
        <v>83</v>
      </c>
      <c r="P143" s="181">
        <v>103.1262</v>
      </c>
      <c r="Q143" s="180" t="s">
        <v>83</v>
      </c>
      <c r="R143" s="181">
        <v>124.27760000000001</v>
      </c>
      <c r="S143" s="180" t="s">
        <v>83</v>
      </c>
      <c r="T143" s="181">
        <v>129.1354</v>
      </c>
      <c r="U143" s="180" t="s">
        <v>83</v>
      </c>
      <c r="V143" s="181">
        <v>126.75190000000001</v>
      </c>
      <c r="W143" s="180" t="s">
        <v>83</v>
      </c>
      <c r="X143" s="181">
        <v>130.72280000000001</v>
      </c>
      <c r="Y143" s="180" t="s">
        <v>83</v>
      </c>
      <c r="Z143" s="181" t="s">
        <v>349</v>
      </c>
    </row>
    <row r="144" spans="1:26" ht="15" x14ac:dyDescent="0.3">
      <c r="A144" s="179" t="s">
        <v>477</v>
      </c>
      <c r="B144" s="178" t="s">
        <v>83</v>
      </c>
      <c r="C144" s="180" t="s">
        <v>83</v>
      </c>
      <c r="D144" s="181">
        <v>1.7054</v>
      </c>
      <c r="E144" s="180" t="s">
        <v>83</v>
      </c>
      <c r="F144" s="181">
        <v>2.7726000000000002</v>
      </c>
      <c r="G144" s="180" t="s">
        <v>83</v>
      </c>
      <c r="H144" s="181" t="s">
        <v>349</v>
      </c>
      <c r="I144" s="180" t="s">
        <v>83</v>
      </c>
      <c r="J144" s="181">
        <v>3.6191</v>
      </c>
      <c r="K144" s="180" t="s">
        <v>83</v>
      </c>
      <c r="L144" s="181">
        <v>3.5217999999999998</v>
      </c>
      <c r="M144" s="180" t="s">
        <v>83</v>
      </c>
      <c r="N144" s="181">
        <v>2.8506</v>
      </c>
      <c r="O144" s="180" t="s">
        <v>83</v>
      </c>
      <c r="P144" s="181">
        <v>6.0000999999999998</v>
      </c>
      <c r="Q144" s="180" t="s">
        <v>83</v>
      </c>
      <c r="R144" s="181">
        <v>5.875</v>
      </c>
      <c r="S144" s="180" t="s">
        <v>83</v>
      </c>
      <c r="T144" s="181">
        <v>5.1817000000000002</v>
      </c>
      <c r="U144" s="180" t="s">
        <v>83</v>
      </c>
      <c r="V144" s="181">
        <v>5.9478999999999997</v>
      </c>
      <c r="W144" s="180" t="s">
        <v>83</v>
      </c>
      <c r="X144" s="181">
        <v>5.9157999999999999</v>
      </c>
      <c r="Y144" s="180" t="s">
        <v>83</v>
      </c>
      <c r="Z144" s="181">
        <v>6.3978999999999999</v>
      </c>
    </row>
    <row r="145" spans="1:26" ht="15" x14ac:dyDescent="0.3">
      <c r="A145" s="182" t="s">
        <v>478</v>
      </c>
      <c r="B145" s="178" t="s">
        <v>83</v>
      </c>
      <c r="C145" s="180" t="s">
        <v>83</v>
      </c>
      <c r="D145" s="181">
        <v>0</v>
      </c>
      <c r="E145" s="180" t="s">
        <v>83</v>
      </c>
      <c r="F145" s="181">
        <v>0</v>
      </c>
      <c r="G145" s="180" t="s">
        <v>83</v>
      </c>
      <c r="H145" s="181">
        <v>0</v>
      </c>
      <c r="I145" s="180" t="s">
        <v>83</v>
      </c>
      <c r="J145" s="181">
        <v>1.5900000000000001E-2</v>
      </c>
      <c r="K145" s="180" t="s">
        <v>83</v>
      </c>
      <c r="L145" s="181">
        <v>7.4099999999999999E-2</v>
      </c>
      <c r="M145" s="180" t="s">
        <v>83</v>
      </c>
      <c r="N145" s="181">
        <v>6.0699999999999997E-2</v>
      </c>
      <c r="O145" s="180" t="s">
        <v>83</v>
      </c>
      <c r="P145" s="181">
        <v>4.2200000000000001E-2</v>
      </c>
      <c r="Q145" s="180" t="s">
        <v>83</v>
      </c>
      <c r="R145" s="181">
        <v>5.4399999999999997E-2</v>
      </c>
      <c r="S145" s="180" t="s">
        <v>83</v>
      </c>
      <c r="T145" s="181">
        <v>6.7100000000000007E-2</v>
      </c>
      <c r="U145" s="180" t="s">
        <v>83</v>
      </c>
      <c r="V145" s="181">
        <v>6.2199999999999998E-2</v>
      </c>
      <c r="W145" s="180" t="s">
        <v>83</v>
      </c>
      <c r="X145" s="181">
        <v>6.13E-2</v>
      </c>
      <c r="Y145" s="180" t="s">
        <v>83</v>
      </c>
      <c r="Z145" s="181" t="s">
        <v>349</v>
      </c>
    </row>
    <row r="146" spans="1:26" ht="15" x14ac:dyDescent="0.3">
      <c r="A146" s="179" t="s">
        <v>479</v>
      </c>
      <c r="B146" s="178" t="s">
        <v>83</v>
      </c>
      <c r="C146" s="180" t="s">
        <v>83</v>
      </c>
      <c r="D146" s="181">
        <v>18.9998</v>
      </c>
      <c r="E146" s="180" t="s">
        <v>83</v>
      </c>
      <c r="F146" s="181">
        <v>17.813800000000001</v>
      </c>
      <c r="G146" s="180" t="s">
        <v>83</v>
      </c>
      <c r="H146" s="181">
        <v>23.331199999999999</v>
      </c>
      <c r="I146" s="180" t="s">
        <v>83</v>
      </c>
      <c r="J146" s="181">
        <v>19.495100000000001</v>
      </c>
      <c r="K146" s="180" t="s">
        <v>83</v>
      </c>
      <c r="L146" s="181">
        <v>19.203199999999999</v>
      </c>
      <c r="M146" s="180" t="s">
        <v>83</v>
      </c>
      <c r="N146" s="181">
        <v>33.915799999999997</v>
      </c>
      <c r="O146" s="180" t="s">
        <v>83</v>
      </c>
      <c r="P146" s="181">
        <v>38.238999999999997</v>
      </c>
      <c r="Q146" s="180" t="s">
        <v>83</v>
      </c>
      <c r="R146" s="181">
        <v>34.601799999999997</v>
      </c>
      <c r="S146" s="180" t="s">
        <v>83</v>
      </c>
      <c r="T146" s="181">
        <v>36.194800000000001</v>
      </c>
      <c r="U146" s="180" t="s">
        <v>83</v>
      </c>
      <c r="V146" s="181">
        <v>37.11</v>
      </c>
      <c r="W146" s="180" t="s">
        <v>83</v>
      </c>
      <c r="X146" s="181">
        <v>36.418599999999998</v>
      </c>
      <c r="Y146" s="180" t="s">
        <v>83</v>
      </c>
      <c r="Z146" s="181" t="s">
        <v>349</v>
      </c>
    </row>
    <row r="147" spans="1:26" ht="15" x14ac:dyDescent="0.3">
      <c r="A147" s="179" t="s">
        <v>480</v>
      </c>
      <c r="B147" s="178" t="s">
        <v>83</v>
      </c>
      <c r="C147" s="180" t="s">
        <v>83</v>
      </c>
      <c r="D147" s="181">
        <v>8.5436999999999994</v>
      </c>
      <c r="E147" s="180" t="s">
        <v>83</v>
      </c>
      <c r="F147" s="181">
        <v>9.0805000000000007</v>
      </c>
      <c r="G147" s="180" t="s">
        <v>83</v>
      </c>
      <c r="H147" s="181">
        <v>11.966200000000001</v>
      </c>
      <c r="I147" s="180" t="s">
        <v>83</v>
      </c>
      <c r="J147" s="181">
        <v>13.397399999999999</v>
      </c>
      <c r="K147" s="180" t="s">
        <v>83</v>
      </c>
      <c r="L147" s="181">
        <v>13.4557</v>
      </c>
      <c r="M147" s="180" t="s">
        <v>83</v>
      </c>
      <c r="N147" s="181">
        <v>12.8629</v>
      </c>
      <c r="O147" s="180" t="s">
        <v>83</v>
      </c>
      <c r="P147" s="181">
        <v>13.000400000000001</v>
      </c>
      <c r="Q147" s="180" t="s">
        <v>83</v>
      </c>
      <c r="R147" s="181">
        <v>12.8223</v>
      </c>
      <c r="S147" s="180" t="s">
        <v>83</v>
      </c>
      <c r="T147" s="181">
        <v>12.2822</v>
      </c>
      <c r="U147" s="180" t="s">
        <v>83</v>
      </c>
      <c r="V147" s="181">
        <v>12.0307</v>
      </c>
      <c r="W147" s="180" t="s">
        <v>83</v>
      </c>
      <c r="X147" s="181">
        <v>11.9567</v>
      </c>
      <c r="Y147" s="180" t="s">
        <v>83</v>
      </c>
      <c r="Z147" s="181" t="s">
        <v>349</v>
      </c>
    </row>
    <row r="148" spans="1:26" ht="15" x14ac:dyDescent="0.3">
      <c r="A148" s="182" t="s">
        <v>481</v>
      </c>
      <c r="B148" s="178" t="s">
        <v>83</v>
      </c>
      <c r="C148" s="180" t="s">
        <v>83</v>
      </c>
      <c r="D148" s="181">
        <v>0</v>
      </c>
      <c r="E148" s="180" t="s">
        <v>83</v>
      </c>
      <c r="F148" s="181">
        <v>0</v>
      </c>
      <c r="G148" s="180" t="s">
        <v>83</v>
      </c>
      <c r="H148" s="181">
        <v>0</v>
      </c>
      <c r="I148" s="180" t="s">
        <v>83</v>
      </c>
      <c r="J148" s="181">
        <v>0.21110000000000001</v>
      </c>
      <c r="K148" s="180" t="s">
        <v>83</v>
      </c>
      <c r="L148" s="181">
        <v>0.30280000000000001</v>
      </c>
      <c r="M148" s="180" t="s">
        <v>83</v>
      </c>
      <c r="N148" s="181">
        <v>0.2848</v>
      </c>
      <c r="O148" s="180" t="s">
        <v>83</v>
      </c>
      <c r="P148" s="181">
        <v>0.27910000000000001</v>
      </c>
      <c r="Q148" s="180" t="s">
        <v>83</v>
      </c>
      <c r="R148" s="181">
        <v>0.31659999999999999</v>
      </c>
      <c r="S148" s="180" t="s">
        <v>83</v>
      </c>
      <c r="T148" s="181">
        <v>0.31140000000000001</v>
      </c>
      <c r="U148" s="180" t="s">
        <v>83</v>
      </c>
      <c r="V148" s="181">
        <v>0.29630000000000001</v>
      </c>
      <c r="W148" s="180" t="s">
        <v>83</v>
      </c>
      <c r="X148" s="181">
        <v>0.31030000000000002</v>
      </c>
      <c r="Y148" s="180" t="s">
        <v>83</v>
      </c>
      <c r="Z148" s="181" t="s">
        <v>349</v>
      </c>
    </row>
    <row r="149" spans="1:26" ht="15" x14ac:dyDescent="0.3">
      <c r="A149" s="182" t="s">
        <v>482</v>
      </c>
      <c r="B149" s="178" t="s">
        <v>83</v>
      </c>
      <c r="C149" s="180" t="s">
        <v>83</v>
      </c>
      <c r="D149" s="181">
        <v>0</v>
      </c>
      <c r="E149" s="180" t="s">
        <v>83</v>
      </c>
      <c r="F149" s="181">
        <v>0</v>
      </c>
      <c r="G149" s="180" t="s">
        <v>83</v>
      </c>
      <c r="H149" s="181">
        <v>0</v>
      </c>
      <c r="I149" s="180" t="s">
        <v>83</v>
      </c>
      <c r="J149" s="181">
        <v>16.2546</v>
      </c>
      <c r="K149" s="180" t="s">
        <v>83</v>
      </c>
      <c r="L149" s="181">
        <v>22.691199999999998</v>
      </c>
      <c r="M149" s="180" t="s">
        <v>83</v>
      </c>
      <c r="N149" s="181">
        <v>25.176100000000002</v>
      </c>
      <c r="O149" s="180" t="s">
        <v>83</v>
      </c>
      <c r="P149" s="181">
        <v>26.684999999999999</v>
      </c>
      <c r="Q149" s="180" t="s">
        <v>83</v>
      </c>
      <c r="R149" s="181">
        <v>29.2758</v>
      </c>
      <c r="S149" s="180" t="s">
        <v>83</v>
      </c>
      <c r="T149" s="181">
        <v>32.324300000000001</v>
      </c>
      <c r="U149" s="180" t="s">
        <v>83</v>
      </c>
      <c r="V149" s="181">
        <v>35.342199999999998</v>
      </c>
      <c r="W149" s="180" t="s">
        <v>83</v>
      </c>
      <c r="X149" s="181">
        <v>35.970300000000002</v>
      </c>
      <c r="Y149" s="180" t="s">
        <v>83</v>
      </c>
      <c r="Z149" s="181" t="s">
        <v>349</v>
      </c>
    </row>
    <row r="150" spans="1:26" ht="15" x14ac:dyDescent="0.3">
      <c r="A150" s="179" t="s">
        <v>483</v>
      </c>
      <c r="B150" s="178" t="s">
        <v>83</v>
      </c>
      <c r="C150" s="180" t="s">
        <v>83</v>
      </c>
      <c r="D150" s="181">
        <v>0</v>
      </c>
      <c r="E150" s="180" t="s">
        <v>83</v>
      </c>
      <c r="F150" s="181">
        <v>0</v>
      </c>
      <c r="G150" s="180" t="s">
        <v>83</v>
      </c>
      <c r="H150" s="181">
        <v>0</v>
      </c>
      <c r="I150" s="180" t="s">
        <v>83</v>
      </c>
      <c r="J150" s="181">
        <v>0</v>
      </c>
      <c r="K150" s="180" t="s">
        <v>83</v>
      </c>
      <c r="L150" s="181">
        <v>0</v>
      </c>
      <c r="M150" s="180" t="s">
        <v>83</v>
      </c>
      <c r="N150" s="181">
        <v>0</v>
      </c>
      <c r="O150" s="180" t="s">
        <v>83</v>
      </c>
      <c r="P150" s="181">
        <v>0</v>
      </c>
      <c r="Q150" s="180" t="s">
        <v>83</v>
      </c>
      <c r="R150" s="181">
        <v>0</v>
      </c>
      <c r="S150" s="180" t="s">
        <v>83</v>
      </c>
      <c r="T150" s="181">
        <v>0</v>
      </c>
      <c r="U150" s="180" t="s">
        <v>83</v>
      </c>
      <c r="V150" s="181">
        <v>0</v>
      </c>
      <c r="W150" s="180" t="s">
        <v>83</v>
      </c>
      <c r="X150" s="181">
        <v>0</v>
      </c>
      <c r="Y150" s="180" t="s">
        <v>83</v>
      </c>
      <c r="Z150" s="181" t="s">
        <v>349</v>
      </c>
    </row>
    <row r="151" spans="1:26" ht="15" x14ac:dyDescent="0.3">
      <c r="A151" s="179" t="s">
        <v>484</v>
      </c>
      <c r="B151" s="178" t="s">
        <v>83</v>
      </c>
      <c r="C151" s="180" t="s">
        <v>83</v>
      </c>
      <c r="D151" s="181">
        <v>30.0001</v>
      </c>
      <c r="E151" s="180" t="s">
        <v>83</v>
      </c>
      <c r="F151" s="181">
        <v>41.619500000000002</v>
      </c>
      <c r="G151" s="180" t="s">
        <v>83</v>
      </c>
      <c r="H151" s="181">
        <v>67.222399999999993</v>
      </c>
      <c r="I151" s="180" t="s">
        <v>83</v>
      </c>
      <c r="J151" s="181">
        <v>78.498900000000006</v>
      </c>
      <c r="K151" s="180" t="s">
        <v>83</v>
      </c>
      <c r="L151" s="181">
        <v>75.976200000000006</v>
      </c>
      <c r="M151" s="180" t="s">
        <v>83</v>
      </c>
      <c r="N151" s="181">
        <v>81.223399999999998</v>
      </c>
      <c r="O151" s="180" t="s">
        <v>83</v>
      </c>
      <c r="P151" s="181">
        <v>148.39330000000001</v>
      </c>
      <c r="Q151" s="180" t="s">
        <v>83</v>
      </c>
      <c r="R151" s="181">
        <v>151.5283</v>
      </c>
      <c r="S151" s="180" t="s">
        <v>83</v>
      </c>
      <c r="T151" s="181">
        <v>150.2003</v>
      </c>
      <c r="U151" s="180" t="s">
        <v>83</v>
      </c>
      <c r="V151" s="181">
        <v>149.03530000000001</v>
      </c>
      <c r="W151" s="180" t="s">
        <v>83</v>
      </c>
      <c r="X151" s="181">
        <v>156.44649999999999</v>
      </c>
      <c r="Y151" s="180" t="s">
        <v>83</v>
      </c>
      <c r="Z151" s="181" t="s">
        <v>349</v>
      </c>
    </row>
    <row r="152" spans="1:26" ht="15" x14ac:dyDescent="0.3">
      <c r="A152" s="179" t="s">
        <v>485</v>
      </c>
      <c r="B152" s="178" t="s">
        <v>83</v>
      </c>
      <c r="C152" s="180" t="s">
        <v>83</v>
      </c>
      <c r="D152" s="181">
        <v>3.15E-2</v>
      </c>
      <c r="E152" s="180" t="s">
        <v>83</v>
      </c>
      <c r="F152" s="181">
        <v>3.7400000000000003E-2</v>
      </c>
      <c r="G152" s="180" t="s">
        <v>83</v>
      </c>
      <c r="H152" s="181">
        <v>3.9800000000000002E-2</v>
      </c>
      <c r="I152" s="180" t="s">
        <v>83</v>
      </c>
      <c r="J152" s="181">
        <v>4.3700000000000003E-2</v>
      </c>
      <c r="K152" s="180" t="s">
        <v>83</v>
      </c>
      <c r="L152" s="181">
        <v>0.11650000000000001</v>
      </c>
      <c r="M152" s="180" t="s">
        <v>83</v>
      </c>
      <c r="N152" s="181">
        <v>0.186</v>
      </c>
      <c r="O152" s="180" t="s">
        <v>83</v>
      </c>
      <c r="P152" s="181">
        <v>7.8799999999999995E-2</v>
      </c>
      <c r="Q152" s="180" t="s">
        <v>83</v>
      </c>
      <c r="R152" s="181">
        <v>9.2299999999999993E-2</v>
      </c>
      <c r="S152" s="180" t="s">
        <v>83</v>
      </c>
      <c r="T152" s="181">
        <v>0.10539999999999999</v>
      </c>
      <c r="U152" s="180" t="s">
        <v>83</v>
      </c>
      <c r="V152" s="181">
        <v>0.11890000000000001</v>
      </c>
      <c r="W152" s="180" t="s">
        <v>83</v>
      </c>
      <c r="X152" s="181">
        <v>0.13270000000000001</v>
      </c>
      <c r="Y152" s="180" t="s">
        <v>83</v>
      </c>
      <c r="Z152" s="181" t="s">
        <v>349</v>
      </c>
    </row>
    <row r="153" spans="1:26" ht="15" x14ac:dyDescent="0.3">
      <c r="A153" s="179" t="s">
        <v>486</v>
      </c>
      <c r="B153" s="178" t="s">
        <v>83</v>
      </c>
      <c r="C153" s="180" t="s">
        <v>83</v>
      </c>
      <c r="D153" s="181">
        <v>53.453499999999998</v>
      </c>
      <c r="E153" s="180" t="s">
        <v>83</v>
      </c>
      <c r="F153" s="181">
        <v>79.683800000000005</v>
      </c>
      <c r="G153" s="180" t="s">
        <v>83</v>
      </c>
      <c r="H153" s="181">
        <v>108.0395</v>
      </c>
      <c r="I153" s="180" t="s">
        <v>83</v>
      </c>
      <c r="J153" s="181">
        <v>134.4384</v>
      </c>
      <c r="K153" s="180" t="s">
        <v>83</v>
      </c>
      <c r="L153" s="181">
        <v>174.8912</v>
      </c>
      <c r="M153" s="180" t="s">
        <v>83</v>
      </c>
      <c r="N153" s="181">
        <v>220.3758</v>
      </c>
      <c r="O153" s="180" t="s">
        <v>83</v>
      </c>
      <c r="P153" s="181">
        <v>226.785</v>
      </c>
      <c r="Q153" s="180" t="s">
        <v>83</v>
      </c>
      <c r="R153" s="181">
        <v>211.01310000000001</v>
      </c>
      <c r="S153" s="180" t="s">
        <v>83</v>
      </c>
      <c r="T153" s="181">
        <v>225.80940000000001</v>
      </c>
      <c r="U153" s="180" t="s">
        <v>83</v>
      </c>
      <c r="V153" s="181">
        <v>235.0915</v>
      </c>
      <c r="W153" s="180" t="s">
        <v>83</v>
      </c>
      <c r="X153" s="181">
        <v>242.44710000000001</v>
      </c>
      <c r="Y153" s="180" t="s">
        <v>83</v>
      </c>
      <c r="Z153" s="181" t="s">
        <v>349</v>
      </c>
    </row>
    <row r="154" spans="1:26" ht="15" x14ac:dyDescent="0.3">
      <c r="A154" s="179" t="s">
        <v>487</v>
      </c>
      <c r="B154" s="178" t="s">
        <v>83</v>
      </c>
      <c r="C154" s="180" t="s">
        <v>83</v>
      </c>
      <c r="D154" s="181">
        <v>29.7987</v>
      </c>
      <c r="E154" s="180" t="s">
        <v>83</v>
      </c>
      <c r="F154" s="181">
        <v>29.478400000000001</v>
      </c>
      <c r="G154" s="180" t="s">
        <v>83</v>
      </c>
      <c r="H154" s="181">
        <v>27.909500000000001</v>
      </c>
      <c r="I154" s="180" t="s">
        <v>83</v>
      </c>
      <c r="J154" s="181">
        <v>37.7759</v>
      </c>
      <c r="K154" s="180" t="s">
        <v>83</v>
      </c>
      <c r="L154" s="181">
        <v>45.602699999999999</v>
      </c>
      <c r="M154" s="180" t="s">
        <v>83</v>
      </c>
      <c r="N154" s="181">
        <v>64.5291</v>
      </c>
      <c r="O154" s="180" t="s">
        <v>83</v>
      </c>
      <c r="P154" s="181">
        <v>60.531999999999996</v>
      </c>
      <c r="Q154" s="180" t="s">
        <v>83</v>
      </c>
      <c r="R154" s="181">
        <v>-23.500299999999999</v>
      </c>
      <c r="S154" s="180" t="s">
        <v>83</v>
      </c>
      <c r="T154" s="181">
        <v>-127.4234</v>
      </c>
      <c r="U154" s="180" t="s">
        <v>83</v>
      </c>
      <c r="V154" s="181">
        <v>61.441299999999998</v>
      </c>
      <c r="W154" s="180" t="s">
        <v>83</v>
      </c>
      <c r="X154" s="181">
        <v>57.455800000000004</v>
      </c>
      <c r="Y154" s="180" t="s">
        <v>83</v>
      </c>
      <c r="Z154" s="181" t="s">
        <v>349</v>
      </c>
    </row>
    <row r="155" spans="1:26" ht="15" x14ac:dyDescent="0.3">
      <c r="A155" s="182" t="s">
        <v>488</v>
      </c>
      <c r="B155" s="178" t="s">
        <v>83</v>
      </c>
      <c r="C155" s="180" t="s">
        <v>83</v>
      </c>
      <c r="D155" s="181">
        <v>70.468699999999998</v>
      </c>
      <c r="E155" s="180" t="s">
        <v>83</v>
      </c>
      <c r="F155" s="181">
        <v>94.783199999999994</v>
      </c>
      <c r="G155" s="180" t="s">
        <v>83</v>
      </c>
      <c r="H155" s="181">
        <v>115.1897</v>
      </c>
      <c r="I155" s="180" t="s">
        <v>83</v>
      </c>
      <c r="J155" s="181">
        <v>161.1267</v>
      </c>
      <c r="K155" s="180" t="s">
        <v>83</v>
      </c>
      <c r="L155" s="181">
        <v>197.33799999999999</v>
      </c>
      <c r="M155" s="180" t="s">
        <v>83</v>
      </c>
      <c r="N155" s="181">
        <v>224.2165</v>
      </c>
      <c r="O155" s="180" t="s">
        <v>83</v>
      </c>
      <c r="P155" s="181">
        <v>275.71660000000003</v>
      </c>
      <c r="Q155" s="180" t="s">
        <v>83</v>
      </c>
      <c r="R155" s="181">
        <v>295.91180000000003</v>
      </c>
      <c r="S155" s="180" t="s">
        <v>83</v>
      </c>
      <c r="T155" s="181">
        <v>315.88819999999998</v>
      </c>
      <c r="U155" s="180" t="s">
        <v>83</v>
      </c>
      <c r="V155" s="181">
        <v>317.33609999999999</v>
      </c>
      <c r="W155" s="180" t="s">
        <v>83</v>
      </c>
      <c r="X155" s="181">
        <v>210.35589999999999</v>
      </c>
      <c r="Y155" s="180" t="s">
        <v>83</v>
      </c>
      <c r="Z155" s="181" t="s">
        <v>349</v>
      </c>
    </row>
    <row r="156" spans="1:26" ht="15" x14ac:dyDescent="0.3">
      <c r="A156" s="179" t="s">
        <v>489</v>
      </c>
      <c r="B156" s="178" t="s">
        <v>83</v>
      </c>
      <c r="C156" s="180" t="s">
        <v>83</v>
      </c>
      <c r="D156" s="181">
        <v>10.2758</v>
      </c>
      <c r="E156" s="180" t="s">
        <v>83</v>
      </c>
      <c r="F156" s="181">
        <v>25.013000000000002</v>
      </c>
      <c r="G156" s="180" t="s">
        <v>83</v>
      </c>
      <c r="H156" s="181">
        <v>22.807700000000001</v>
      </c>
      <c r="I156" s="180" t="s">
        <v>83</v>
      </c>
      <c r="J156" s="181">
        <v>25.142299999999999</v>
      </c>
      <c r="K156" s="180" t="s">
        <v>83</v>
      </c>
      <c r="L156" s="181">
        <v>32.228400000000001</v>
      </c>
      <c r="M156" s="180" t="s">
        <v>83</v>
      </c>
      <c r="N156" s="181">
        <v>32.820099999999996</v>
      </c>
      <c r="O156" s="180" t="s">
        <v>83</v>
      </c>
      <c r="P156" s="181">
        <v>34.384</v>
      </c>
      <c r="Q156" s="180" t="s">
        <v>83</v>
      </c>
      <c r="R156" s="181">
        <v>37.357900000000001</v>
      </c>
      <c r="S156" s="180" t="s">
        <v>83</v>
      </c>
      <c r="T156" s="181">
        <v>39.147599999999997</v>
      </c>
      <c r="U156" s="180" t="s">
        <v>83</v>
      </c>
      <c r="V156" s="181">
        <v>43.689599999999999</v>
      </c>
      <c r="W156" s="180" t="s">
        <v>83</v>
      </c>
      <c r="X156" s="181">
        <v>43.416699999999999</v>
      </c>
      <c r="Y156" s="180" t="s">
        <v>83</v>
      </c>
      <c r="Z156" s="181" t="s">
        <v>349</v>
      </c>
    </row>
    <row r="157" spans="1:26" ht="15" x14ac:dyDescent="0.3">
      <c r="A157" s="179" t="s">
        <v>490</v>
      </c>
      <c r="B157" s="178" t="s">
        <v>83</v>
      </c>
      <c r="C157" s="180" t="s">
        <v>83</v>
      </c>
      <c r="D157" s="181">
        <v>6.7000000000000002E-3</v>
      </c>
      <c r="E157" s="180" t="s">
        <v>83</v>
      </c>
      <c r="F157" s="181">
        <v>2.0926999999999998</v>
      </c>
      <c r="G157" s="180" t="s">
        <v>83</v>
      </c>
      <c r="H157" s="181">
        <v>0.93189999999999995</v>
      </c>
      <c r="I157" s="180" t="s">
        <v>83</v>
      </c>
      <c r="J157" s="181">
        <v>0.65869999999999995</v>
      </c>
      <c r="K157" s="180" t="s">
        <v>83</v>
      </c>
      <c r="L157" s="181">
        <v>2.6599999999999999E-2</v>
      </c>
      <c r="M157" s="180" t="s">
        <v>83</v>
      </c>
      <c r="N157" s="181">
        <v>0.4168</v>
      </c>
      <c r="O157" s="180" t="s">
        <v>83</v>
      </c>
      <c r="P157" s="181">
        <v>0.10539999999999999</v>
      </c>
      <c r="Q157" s="180" t="s">
        <v>83</v>
      </c>
      <c r="R157" s="181">
        <v>0.1255</v>
      </c>
      <c r="S157" s="180" t="s">
        <v>83</v>
      </c>
      <c r="T157" s="181">
        <v>0.13739999999999999</v>
      </c>
      <c r="U157" s="180" t="s">
        <v>83</v>
      </c>
      <c r="V157" s="181">
        <v>7.2800000000000004E-2</v>
      </c>
      <c r="W157" s="180" t="s">
        <v>83</v>
      </c>
      <c r="X157" s="181">
        <v>7.4399999999999994E-2</v>
      </c>
      <c r="Y157" s="180" t="s">
        <v>83</v>
      </c>
      <c r="Z157" s="181" t="s">
        <v>349</v>
      </c>
    </row>
    <row r="158" spans="1:26" ht="15" x14ac:dyDescent="0.3">
      <c r="A158" s="179" t="s">
        <v>491</v>
      </c>
      <c r="B158" s="178" t="s">
        <v>83</v>
      </c>
      <c r="C158" s="180" t="s">
        <v>83</v>
      </c>
      <c r="D158" s="181">
        <v>29.102399999999999</v>
      </c>
      <c r="E158" s="180" t="s">
        <v>83</v>
      </c>
      <c r="F158" s="181">
        <v>34.810600000000001</v>
      </c>
      <c r="G158" s="180" t="s">
        <v>83</v>
      </c>
      <c r="H158" s="181">
        <v>46.501800000000003</v>
      </c>
      <c r="I158" s="180" t="s">
        <v>83</v>
      </c>
      <c r="J158" s="181">
        <v>57.5122</v>
      </c>
      <c r="K158" s="180" t="s">
        <v>83</v>
      </c>
      <c r="L158" s="181">
        <v>79.281700000000001</v>
      </c>
      <c r="M158" s="180" t="s">
        <v>83</v>
      </c>
      <c r="N158" s="181">
        <v>84.192700000000002</v>
      </c>
      <c r="O158" s="180" t="s">
        <v>83</v>
      </c>
      <c r="P158" s="181">
        <v>115.4376</v>
      </c>
      <c r="Q158" s="180" t="s">
        <v>83</v>
      </c>
      <c r="R158" s="181">
        <v>136.12129999999999</v>
      </c>
      <c r="S158" s="180" t="s">
        <v>83</v>
      </c>
      <c r="T158" s="181">
        <v>146.94630000000001</v>
      </c>
      <c r="U158" s="180" t="s">
        <v>83</v>
      </c>
      <c r="V158" s="181">
        <v>148.0171</v>
      </c>
      <c r="W158" s="180" t="s">
        <v>83</v>
      </c>
      <c r="X158" s="181">
        <v>152.9135</v>
      </c>
      <c r="Y158" s="180" t="s">
        <v>83</v>
      </c>
      <c r="Z158" s="181" t="s">
        <v>349</v>
      </c>
    </row>
    <row r="159" spans="1:26" ht="15" x14ac:dyDescent="0.3">
      <c r="A159" s="182" t="s">
        <v>492</v>
      </c>
      <c r="B159" s="178" t="s">
        <v>83</v>
      </c>
      <c r="C159" s="180" t="s">
        <v>83</v>
      </c>
      <c r="D159" s="181">
        <v>0.65010000000000001</v>
      </c>
      <c r="E159" s="180" t="s">
        <v>83</v>
      </c>
      <c r="F159" s="181">
        <v>0.84709999999999996</v>
      </c>
      <c r="G159" s="180" t="s">
        <v>83</v>
      </c>
      <c r="H159" s="181">
        <v>11.0434</v>
      </c>
      <c r="I159" s="180" t="s">
        <v>83</v>
      </c>
      <c r="J159" s="181">
        <v>12.4278</v>
      </c>
      <c r="K159" s="180" t="s">
        <v>83</v>
      </c>
      <c r="L159" s="181">
        <v>12.82</v>
      </c>
      <c r="M159" s="180" t="s">
        <v>83</v>
      </c>
      <c r="N159" s="181">
        <v>4.8806000000000003</v>
      </c>
      <c r="O159" s="180" t="s">
        <v>83</v>
      </c>
      <c r="P159" s="181">
        <v>1.52E-2</v>
      </c>
      <c r="Q159" s="180" t="s">
        <v>83</v>
      </c>
      <c r="R159" s="181">
        <v>1.4999999999999999E-2</v>
      </c>
      <c r="S159" s="180" t="s">
        <v>83</v>
      </c>
      <c r="T159" s="181">
        <v>1.49E-2</v>
      </c>
      <c r="U159" s="180" t="s">
        <v>83</v>
      </c>
      <c r="V159" s="181">
        <v>1.49E-2</v>
      </c>
      <c r="W159" s="180" t="s">
        <v>83</v>
      </c>
      <c r="X159" s="181">
        <v>1.49E-2</v>
      </c>
      <c r="Y159" s="180" t="s">
        <v>83</v>
      </c>
      <c r="Z159" s="181" t="s">
        <v>349</v>
      </c>
    </row>
    <row r="160" spans="1:26" ht="15" x14ac:dyDescent="0.3">
      <c r="A160" s="179" t="s">
        <v>493</v>
      </c>
      <c r="B160" s="178" t="s">
        <v>83</v>
      </c>
      <c r="C160" s="180" t="s">
        <v>83</v>
      </c>
      <c r="D160" s="181">
        <v>7.0171000000000001</v>
      </c>
      <c r="E160" s="180" t="s">
        <v>83</v>
      </c>
      <c r="F160" s="181">
        <v>5.4626999999999999</v>
      </c>
      <c r="G160" s="180" t="s">
        <v>83</v>
      </c>
      <c r="H160" s="181">
        <v>6.2415000000000003</v>
      </c>
      <c r="I160" s="180" t="s">
        <v>83</v>
      </c>
      <c r="J160" s="181">
        <v>6.4013</v>
      </c>
      <c r="K160" s="180" t="s">
        <v>83</v>
      </c>
      <c r="L160" s="181">
        <v>6.6452999999999998</v>
      </c>
      <c r="M160" s="180" t="s">
        <v>83</v>
      </c>
      <c r="N160" s="181">
        <v>7.6958000000000002</v>
      </c>
      <c r="O160" s="180" t="s">
        <v>83</v>
      </c>
      <c r="P160" s="181">
        <v>12.1212</v>
      </c>
      <c r="Q160" s="180" t="s">
        <v>83</v>
      </c>
      <c r="R160" s="181">
        <v>12.7437</v>
      </c>
      <c r="S160" s="180" t="s">
        <v>83</v>
      </c>
      <c r="T160" s="181">
        <v>13.0694</v>
      </c>
      <c r="U160" s="180" t="s">
        <v>83</v>
      </c>
      <c r="V160" s="181">
        <v>12.845000000000001</v>
      </c>
      <c r="W160" s="180" t="s">
        <v>83</v>
      </c>
      <c r="X160" s="181">
        <v>13.2737</v>
      </c>
      <c r="Y160" s="180" t="s">
        <v>83</v>
      </c>
      <c r="Z160" s="181" t="s">
        <v>349</v>
      </c>
    </row>
    <row r="161" spans="1:26" ht="15" x14ac:dyDescent="0.3">
      <c r="A161" s="179" t="s">
        <v>494</v>
      </c>
      <c r="B161" s="178" t="s">
        <v>83</v>
      </c>
      <c r="C161" s="180" t="s">
        <v>83</v>
      </c>
      <c r="D161" s="181">
        <v>20.572600000000001</v>
      </c>
      <c r="E161" s="180" t="s">
        <v>83</v>
      </c>
      <c r="F161" s="181">
        <v>21.258900000000001</v>
      </c>
      <c r="G161" s="180" t="s">
        <v>83</v>
      </c>
      <c r="H161" s="181">
        <v>25.430399999999999</v>
      </c>
      <c r="I161" s="180" t="s">
        <v>83</v>
      </c>
      <c r="J161" s="181">
        <v>34.009099999999997</v>
      </c>
      <c r="K161" s="180" t="s">
        <v>83</v>
      </c>
      <c r="L161" s="181">
        <v>40.028700000000001</v>
      </c>
      <c r="M161" s="180" t="s">
        <v>83</v>
      </c>
      <c r="N161" s="181">
        <v>44.498199999999997</v>
      </c>
      <c r="O161" s="180" t="s">
        <v>83</v>
      </c>
      <c r="P161" s="181">
        <v>57.033499999999997</v>
      </c>
      <c r="Q161" s="180" t="s">
        <v>83</v>
      </c>
      <c r="R161" s="181">
        <v>56.494399999999999</v>
      </c>
      <c r="S161" s="180" t="s">
        <v>83</v>
      </c>
      <c r="T161" s="181">
        <v>57.047600000000003</v>
      </c>
      <c r="U161" s="180" t="s">
        <v>83</v>
      </c>
      <c r="V161" s="181">
        <v>57.4465</v>
      </c>
      <c r="W161" s="180" t="s">
        <v>83</v>
      </c>
      <c r="X161" s="181">
        <v>58.904200000000003</v>
      </c>
      <c r="Y161" s="180" t="s">
        <v>83</v>
      </c>
      <c r="Z161" s="181" t="s">
        <v>349</v>
      </c>
    </row>
    <row r="162" spans="1:26" ht="15" x14ac:dyDescent="0.3">
      <c r="A162" s="179" t="s">
        <v>495</v>
      </c>
      <c r="B162" s="178" t="s">
        <v>83</v>
      </c>
      <c r="C162" s="180" t="s">
        <v>83</v>
      </c>
      <c r="D162" s="181">
        <v>25.2227</v>
      </c>
      <c r="E162" s="180" t="s">
        <v>83</v>
      </c>
      <c r="F162" s="181">
        <v>36.473999999999997</v>
      </c>
      <c r="G162" s="180" t="s">
        <v>83</v>
      </c>
      <c r="H162" s="181">
        <v>33.403799999999997</v>
      </c>
      <c r="I162" s="180" t="s">
        <v>83</v>
      </c>
      <c r="J162" s="181">
        <v>43.7423</v>
      </c>
      <c r="K162" s="180" t="s">
        <v>83</v>
      </c>
      <c r="L162" s="181">
        <v>62.064</v>
      </c>
      <c r="M162" s="180" t="s">
        <v>83</v>
      </c>
      <c r="N162" s="181">
        <v>74.877300000000005</v>
      </c>
      <c r="O162" s="180" t="s">
        <v>83</v>
      </c>
      <c r="P162" s="181">
        <v>89.004400000000004</v>
      </c>
      <c r="Q162" s="180" t="s">
        <v>83</v>
      </c>
      <c r="R162" s="181">
        <v>92.350399999999993</v>
      </c>
      <c r="S162" s="180" t="s">
        <v>83</v>
      </c>
      <c r="T162" s="181">
        <v>95.950400000000002</v>
      </c>
      <c r="U162" s="180" t="s">
        <v>83</v>
      </c>
      <c r="V162" s="181">
        <v>104.0671</v>
      </c>
      <c r="W162" s="180" t="s">
        <v>83</v>
      </c>
      <c r="X162" s="181">
        <v>106.95</v>
      </c>
      <c r="Y162" s="180" t="s">
        <v>83</v>
      </c>
      <c r="Z162" s="181" t="s">
        <v>349</v>
      </c>
    </row>
    <row r="163" spans="1:26" ht="15" x14ac:dyDescent="0.3">
      <c r="A163" s="179" t="s">
        <v>496</v>
      </c>
      <c r="B163" s="178" t="s">
        <v>83</v>
      </c>
      <c r="C163" s="180" t="s">
        <v>83</v>
      </c>
      <c r="D163" s="181" t="s">
        <v>349</v>
      </c>
      <c r="E163" s="180" t="s">
        <v>83</v>
      </c>
      <c r="F163" s="181" t="s">
        <v>349</v>
      </c>
      <c r="G163" s="180" t="s">
        <v>83</v>
      </c>
      <c r="H163" s="181" t="s">
        <v>349</v>
      </c>
      <c r="I163" s="180" t="s">
        <v>83</v>
      </c>
      <c r="J163" s="181" t="s">
        <v>349</v>
      </c>
      <c r="K163" s="180" t="s">
        <v>83</v>
      </c>
      <c r="L163" s="181" t="s">
        <v>349</v>
      </c>
      <c r="M163" s="180" t="s">
        <v>83</v>
      </c>
      <c r="N163" s="181">
        <v>18.253799999999998</v>
      </c>
      <c r="O163" s="180" t="s">
        <v>83</v>
      </c>
      <c r="P163" s="181">
        <v>18.878299999999999</v>
      </c>
      <c r="Q163" s="180" t="s">
        <v>83</v>
      </c>
      <c r="R163" s="181">
        <v>18.3917</v>
      </c>
      <c r="S163" s="180" t="s">
        <v>83</v>
      </c>
      <c r="T163" s="181">
        <v>17.2715</v>
      </c>
      <c r="U163" s="180" t="s">
        <v>83</v>
      </c>
      <c r="V163" s="181">
        <v>17.477699999999999</v>
      </c>
      <c r="W163" s="180" t="s">
        <v>83</v>
      </c>
      <c r="X163" s="181">
        <v>19.018999999999998</v>
      </c>
      <c r="Y163" s="180" t="s">
        <v>352</v>
      </c>
      <c r="Z163" s="181">
        <v>18.645199999999999</v>
      </c>
    </row>
    <row r="164" spans="1:26" ht="15" x14ac:dyDescent="0.3">
      <c r="A164" s="179" t="s">
        <v>497</v>
      </c>
      <c r="B164" s="178" t="s">
        <v>83</v>
      </c>
      <c r="C164" s="180" t="s">
        <v>83</v>
      </c>
      <c r="D164" s="181">
        <v>168.44759999999999</v>
      </c>
      <c r="E164" s="180" t="s">
        <v>83</v>
      </c>
      <c r="F164" s="181">
        <v>212.6464</v>
      </c>
      <c r="G164" s="180" t="s">
        <v>83</v>
      </c>
      <c r="H164" s="181">
        <v>295.49970000000002</v>
      </c>
      <c r="I164" s="180" t="s">
        <v>83</v>
      </c>
      <c r="J164" s="181">
        <v>394.37900000000002</v>
      </c>
      <c r="K164" s="180" t="s">
        <v>83</v>
      </c>
      <c r="L164" s="181">
        <v>489.16390000000001</v>
      </c>
      <c r="M164" s="180" t="s">
        <v>83</v>
      </c>
      <c r="N164" s="181">
        <v>561.88099999999997</v>
      </c>
      <c r="O164" s="180" t="s">
        <v>83</v>
      </c>
      <c r="P164" s="181">
        <v>669.75900000000001</v>
      </c>
      <c r="Q164" s="180" t="s">
        <v>83</v>
      </c>
      <c r="R164" s="181">
        <v>701.64210000000003</v>
      </c>
      <c r="S164" s="180" t="s">
        <v>83</v>
      </c>
      <c r="T164" s="181">
        <v>669.79570000000001</v>
      </c>
      <c r="U164" s="180" t="s">
        <v>83</v>
      </c>
      <c r="V164" s="181">
        <v>686.45029999999997</v>
      </c>
      <c r="W164" s="180" t="s">
        <v>83</v>
      </c>
      <c r="X164" s="181">
        <v>700.92219999999998</v>
      </c>
      <c r="Y164" s="180" t="s">
        <v>83</v>
      </c>
      <c r="Z164" s="181" t="s">
        <v>349</v>
      </c>
    </row>
    <row r="165" spans="1:26" ht="15" x14ac:dyDescent="0.3">
      <c r="A165" s="179" t="s">
        <v>498</v>
      </c>
      <c r="B165" s="178" t="s">
        <v>83</v>
      </c>
      <c r="C165" s="180" t="s">
        <v>83</v>
      </c>
      <c r="D165" s="181">
        <v>0.73570000000000002</v>
      </c>
      <c r="E165" s="180" t="s">
        <v>83</v>
      </c>
      <c r="F165" s="181">
        <v>9.6403999999999996</v>
      </c>
      <c r="G165" s="180" t="s">
        <v>83</v>
      </c>
      <c r="H165" s="181">
        <v>18.817799999999998</v>
      </c>
      <c r="I165" s="180" t="s">
        <v>83</v>
      </c>
      <c r="J165" s="181">
        <v>39.465699999999998</v>
      </c>
      <c r="K165" s="180" t="s">
        <v>83</v>
      </c>
      <c r="L165" s="181">
        <v>60.4054</v>
      </c>
      <c r="M165" s="180" t="s">
        <v>83</v>
      </c>
      <c r="N165" s="181">
        <v>98.307000000000002</v>
      </c>
      <c r="O165" s="180" t="s">
        <v>83</v>
      </c>
      <c r="P165" s="181">
        <v>138.47280000000001</v>
      </c>
      <c r="Q165" s="180" t="s">
        <v>83</v>
      </c>
      <c r="R165" s="181">
        <v>135.9256</v>
      </c>
      <c r="S165" s="180" t="s">
        <v>83</v>
      </c>
      <c r="T165" s="181">
        <v>127.2958</v>
      </c>
      <c r="U165" s="180" t="s">
        <v>83</v>
      </c>
      <c r="V165" s="181">
        <v>120.2469</v>
      </c>
      <c r="W165" s="180" t="s">
        <v>83</v>
      </c>
      <c r="X165" s="181">
        <v>125.5748</v>
      </c>
      <c r="Y165" s="180" t="s">
        <v>83</v>
      </c>
      <c r="Z165" s="181" t="s">
        <v>349</v>
      </c>
    </row>
    <row r="166" spans="1:26" ht="15" x14ac:dyDescent="0.3">
      <c r="A166" s="179" t="s">
        <v>499</v>
      </c>
      <c r="B166" s="178" t="s">
        <v>83</v>
      </c>
      <c r="C166" s="180" t="s">
        <v>83</v>
      </c>
      <c r="D166" s="181">
        <v>161.47810000000001</v>
      </c>
      <c r="E166" s="180" t="s">
        <v>83</v>
      </c>
      <c r="F166" s="181">
        <v>208.1103</v>
      </c>
      <c r="G166" s="180" t="s">
        <v>83</v>
      </c>
      <c r="H166" s="181">
        <v>309.13029999999998</v>
      </c>
      <c r="I166" s="180" t="s">
        <v>83</v>
      </c>
      <c r="J166" s="181">
        <v>403.76100000000002</v>
      </c>
      <c r="K166" s="180" t="s">
        <v>83</v>
      </c>
      <c r="L166" s="181">
        <v>491.76490000000001</v>
      </c>
      <c r="M166" s="180" t="s">
        <v>83</v>
      </c>
      <c r="N166" s="181">
        <v>547.63620000000003</v>
      </c>
      <c r="O166" s="180" t="s">
        <v>83</v>
      </c>
      <c r="P166" s="181">
        <v>676.20759999999996</v>
      </c>
      <c r="Q166" s="180" t="s">
        <v>83</v>
      </c>
      <c r="R166" s="181">
        <v>752.39400000000001</v>
      </c>
      <c r="S166" s="180" t="s">
        <v>83</v>
      </c>
      <c r="T166" s="181">
        <v>806.42460000000005</v>
      </c>
      <c r="U166" s="180" t="s">
        <v>83</v>
      </c>
      <c r="V166" s="181">
        <v>818.08569999999997</v>
      </c>
      <c r="W166" s="180" t="s">
        <v>83</v>
      </c>
      <c r="X166" s="181">
        <v>838.65470000000005</v>
      </c>
      <c r="Y166" s="180" t="s">
        <v>83</v>
      </c>
      <c r="Z166" s="181" t="s">
        <v>349</v>
      </c>
    </row>
    <row r="167" spans="1:26" ht="15" x14ac:dyDescent="0.3">
      <c r="A167" s="182" t="s">
        <v>500</v>
      </c>
      <c r="B167" s="178" t="s">
        <v>83</v>
      </c>
      <c r="C167" s="180" t="s">
        <v>83</v>
      </c>
      <c r="D167" s="181">
        <v>0</v>
      </c>
      <c r="E167" s="180" t="s">
        <v>83</v>
      </c>
      <c r="F167" s="181">
        <v>0</v>
      </c>
      <c r="G167" s="180" t="s">
        <v>83</v>
      </c>
      <c r="H167" s="181">
        <v>0</v>
      </c>
      <c r="I167" s="180" t="s">
        <v>83</v>
      </c>
      <c r="J167" s="181">
        <v>3.0999999999999999E-3</v>
      </c>
      <c r="K167" s="180" t="s">
        <v>83</v>
      </c>
      <c r="L167" s="181">
        <v>3.2000000000000002E-3</v>
      </c>
      <c r="M167" s="180" t="s">
        <v>83</v>
      </c>
      <c r="N167" s="181">
        <v>5.7999999999999996E-3</v>
      </c>
      <c r="O167" s="180" t="s">
        <v>83</v>
      </c>
      <c r="P167" s="181">
        <v>5.3600000000000002E-2</v>
      </c>
      <c r="Q167" s="180" t="s">
        <v>83</v>
      </c>
      <c r="R167" s="181">
        <v>6.1499999999999999E-2</v>
      </c>
      <c r="S167" s="180" t="s">
        <v>83</v>
      </c>
      <c r="T167" s="181">
        <v>5.5800000000000002E-2</v>
      </c>
      <c r="U167" s="180" t="s">
        <v>83</v>
      </c>
      <c r="V167" s="181">
        <v>6.4100000000000004E-2</v>
      </c>
      <c r="W167" s="180" t="s">
        <v>83</v>
      </c>
      <c r="X167" s="181">
        <v>5.62E-2</v>
      </c>
      <c r="Y167" s="180" t="s">
        <v>83</v>
      </c>
      <c r="Z167" s="181" t="s">
        <v>349</v>
      </c>
    </row>
    <row r="168" spans="1:26" ht="15" x14ac:dyDescent="0.3">
      <c r="A168" s="179" t="s">
        <v>501</v>
      </c>
      <c r="B168" s="178" t="s">
        <v>83</v>
      </c>
      <c r="C168" s="180" t="s">
        <v>83</v>
      </c>
      <c r="D168" s="181">
        <v>23.1174</v>
      </c>
      <c r="E168" s="180" t="s">
        <v>83</v>
      </c>
      <c r="F168" s="181">
        <v>18.099</v>
      </c>
      <c r="G168" s="180" t="s">
        <v>83</v>
      </c>
      <c r="H168" s="181">
        <v>14.281000000000001</v>
      </c>
      <c r="I168" s="180" t="s">
        <v>83</v>
      </c>
      <c r="J168" s="181">
        <v>20.873000000000001</v>
      </c>
      <c r="K168" s="180" t="s">
        <v>83</v>
      </c>
      <c r="L168" s="181">
        <v>23.935099999999998</v>
      </c>
      <c r="M168" s="180" t="s">
        <v>83</v>
      </c>
      <c r="N168" s="181">
        <v>28.5166</v>
      </c>
      <c r="O168" s="180" t="s">
        <v>83</v>
      </c>
      <c r="P168" s="181">
        <v>29.0443</v>
      </c>
      <c r="Q168" s="180" t="s">
        <v>83</v>
      </c>
      <c r="R168" s="181">
        <v>29.7149</v>
      </c>
      <c r="S168" s="180" t="s">
        <v>83</v>
      </c>
      <c r="T168" s="181">
        <v>28.548999999999999</v>
      </c>
      <c r="U168" s="180" t="s">
        <v>83</v>
      </c>
      <c r="V168" s="181">
        <v>29.589400000000001</v>
      </c>
      <c r="W168" s="180" t="s">
        <v>83</v>
      </c>
      <c r="X168" s="181">
        <v>30.672599999999999</v>
      </c>
      <c r="Y168" s="180" t="s">
        <v>83</v>
      </c>
      <c r="Z168" s="181" t="s">
        <v>349</v>
      </c>
    </row>
    <row r="169" spans="1:26" ht="15" x14ac:dyDescent="0.3">
      <c r="A169" s="179" t="s">
        <v>502</v>
      </c>
      <c r="B169" s="178" t="s">
        <v>83</v>
      </c>
      <c r="C169" s="180" t="s">
        <v>83</v>
      </c>
      <c r="D169" s="181">
        <v>7.9688999999999997</v>
      </c>
      <c r="E169" s="180" t="s">
        <v>83</v>
      </c>
      <c r="F169" s="181">
        <v>33.4863</v>
      </c>
      <c r="G169" s="180" t="s">
        <v>83</v>
      </c>
      <c r="H169" s="181">
        <v>52.27</v>
      </c>
      <c r="I169" s="180" t="s">
        <v>83</v>
      </c>
      <c r="J169" s="181">
        <v>73.635900000000007</v>
      </c>
      <c r="K169" s="180" t="s">
        <v>83</v>
      </c>
      <c r="L169" s="181">
        <v>73.692099999999996</v>
      </c>
      <c r="M169" s="180" t="s">
        <v>83</v>
      </c>
      <c r="N169" s="181">
        <v>92.0244</v>
      </c>
      <c r="O169" s="180" t="s">
        <v>83</v>
      </c>
      <c r="P169" s="181">
        <v>57.259599999999999</v>
      </c>
      <c r="Q169" s="180" t="s">
        <v>83</v>
      </c>
      <c r="R169" s="181">
        <v>64.310100000000006</v>
      </c>
      <c r="S169" s="180" t="s">
        <v>83</v>
      </c>
      <c r="T169" s="181">
        <v>68.977900000000005</v>
      </c>
      <c r="U169" s="180" t="s">
        <v>83</v>
      </c>
      <c r="V169" s="181">
        <v>70.572800000000001</v>
      </c>
      <c r="W169" s="180" t="s">
        <v>83</v>
      </c>
      <c r="X169" s="181">
        <v>70.061000000000007</v>
      </c>
      <c r="Y169" s="180" t="s">
        <v>83</v>
      </c>
      <c r="Z169" s="181" t="s">
        <v>349</v>
      </c>
    </row>
    <row r="170" spans="1:26" ht="15" x14ac:dyDescent="0.3">
      <c r="A170" s="179" t="s">
        <v>503</v>
      </c>
      <c r="B170" s="178" t="s">
        <v>83</v>
      </c>
      <c r="C170" s="180" t="s">
        <v>83</v>
      </c>
      <c r="D170" s="181">
        <v>28.9909</v>
      </c>
      <c r="E170" s="180" t="s">
        <v>83</v>
      </c>
      <c r="F170" s="181">
        <v>44.5304</v>
      </c>
      <c r="G170" s="180" t="s">
        <v>83</v>
      </c>
      <c r="H170" s="181">
        <v>61.395800000000001</v>
      </c>
      <c r="I170" s="180" t="s">
        <v>83</v>
      </c>
      <c r="J170" s="181">
        <v>67.269300000000001</v>
      </c>
      <c r="K170" s="180" t="s">
        <v>83</v>
      </c>
      <c r="L170" s="181">
        <v>74.400999999999996</v>
      </c>
      <c r="M170" s="180" t="s">
        <v>83</v>
      </c>
      <c r="N170" s="181">
        <v>107.6186</v>
      </c>
      <c r="O170" s="180" t="s">
        <v>83</v>
      </c>
      <c r="P170" s="181">
        <v>136.89400000000001</v>
      </c>
      <c r="Q170" s="180" t="s">
        <v>83</v>
      </c>
      <c r="R170" s="181">
        <v>137.68950000000001</v>
      </c>
      <c r="S170" s="180" t="s">
        <v>83</v>
      </c>
      <c r="T170" s="181">
        <v>141.13480000000001</v>
      </c>
      <c r="U170" s="180" t="s">
        <v>83</v>
      </c>
      <c r="V170" s="181">
        <v>140.23929999999999</v>
      </c>
      <c r="W170" s="180" t="s">
        <v>83</v>
      </c>
      <c r="X170" s="181">
        <v>146.03120000000001</v>
      </c>
      <c r="Y170" s="180" t="s">
        <v>83</v>
      </c>
      <c r="Z170" s="181" t="s">
        <v>349</v>
      </c>
    </row>
    <row r="171" spans="1:26" ht="15" x14ac:dyDescent="0.3">
      <c r="A171" s="179" t="s">
        <v>504</v>
      </c>
      <c r="B171" s="178" t="s">
        <v>83</v>
      </c>
      <c r="C171" s="180" t="s">
        <v>83</v>
      </c>
      <c r="D171" s="181">
        <v>137.4008</v>
      </c>
      <c r="E171" s="180" t="s">
        <v>83</v>
      </c>
      <c r="F171" s="181">
        <v>142.19139999999999</v>
      </c>
      <c r="G171" s="180" t="s">
        <v>83</v>
      </c>
      <c r="H171" s="181">
        <v>150.11940000000001</v>
      </c>
      <c r="I171" s="180" t="s">
        <v>83</v>
      </c>
      <c r="J171" s="181">
        <v>306.86320000000001</v>
      </c>
      <c r="K171" s="180" t="s">
        <v>83</v>
      </c>
      <c r="L171" s="181">
        <v>446.54</v>
      </c>
      <c r="M171" s="180" t="s">
        <v>83</v>
      </c>
      <c r="N171" s="181">
        <v>499.77510000000001</v>
      </c>
      <c r="O171" s="180" t="s">
        <v>83</v>
      </c>
      <c r="P171" s="181">
        <v>563.78859999999997</v>
      </c>
      <c r="Q171" s="180" t="s">
        <v>83</v>
      </c>
      <c r="R171" s="181">
        <v>635.58240000000001</v>
      </c>
      <c r="S171" s="180" t="s">
        <v>83</v>
      </c>
      <c r="T171" s="181">
        <v>641.94650000000001</v>
      </c>
      <c r="U171" s="180" t="s">
        <v>83</v>
      </c>
      <c r="V171" s="181">
        <v>638.20590000000004</v>
      </c>
      <c r="W171" s="180" t="s">
        <v>83</v>
      </c>
      <c r="X171" s="181">
        <v>653.06669999999997</v>
      </c>
      <c r="Y171" s="180" t="s">
        <v>83</v>
      </c>
      <c r="Z171" s="181" t="s">
        <v>349</v>
      </c>
    </row>
    <row r="172" spans="1:26" ht="15" x14ac:dyDescent="0.3">
      <c r="A172" s="179" t="s">
        <v>505</v>
      </c>
      <c r="B172" s="178" t="s">
        <v>83</v>
      </c>
      <c r="C172" s="180" t="s">
        <v>83</v>
      </c>
      <c r="D172" s="181">
        <v>221.63910000000001</v>
      </c>
      <c r="E172" s="180" t="s">
        <v>83</v>
      </c>
      <c r="F172" s="181">
        <v>312.69369999999998</v>
      </c>
      <c r="G172" s="180" t="s">
        <v>83</v>
      </c>
      <c r="H172" s="181">
        <v>310.99149999999997</v>
      </c>
      <c r="I172" s="180" t="s">
        <v>83</v>
      </c>
      <c r="J172" s="181">
        <v>341.3306</v>
      </c>
      <c r="K172" s="180" t="s">
        <v>83</v>
      </c>
      <c r="L172" s="181">
        <v>368.54270000000002</v>
      </c>
      <c r="M172" s="180" t="s">
        <v>83</v>
      </c>
      <c r="N172" s="181">
        <v>425.81700000000001</v>
      </c>
      <c r="O172" s="180" t="s">
        <v>83</v>
      </c>
      <c r="P172" s="181">
        <v>735.5847</v>
      </c>
      <c r="Q172" s="180" t="s">
        <v>83</v>
      </c>
      <c r="R172" s="181">
        <v>782.63789999999995</v>
      </c>
      <c r="S172" s="180" t="s">
        <v>83</v>
      </c>
      <c r="T172" s="181">
        <v>809.9307</v>
      </c>
      <c r="U172" s="180" t="s">
        <v>83</v>
      </c>
      <c r="V172" s="181">
        <v>822.46410000000003</v>
      </c>
      <c r="W172" s="180" t="s">
        <v>83</v>
      </c>
      <c r="X172" s="181">
        <v>842.41120000000001</v>
      </c>
      <c r="Y172" s="180" t="s">
        <v>83</v>
      </c>
      <c r="Z172" s="181" t="s">
        <v>349</v>
      </c>
    </row>
    <row r="173" spans="1:26" ht="15" x14ac:dyDescent="0.3">
      <c r="A173" s="179" t="s">
        <v>506</v>
      </c>
      <c r="B173" s="178" t="s">
        <v>83</v>
      </c>
      <c r="C173" s="180" t="s">
        <v>83</v>
      </c>
      <c r="D173" s="181">
        <v>11.1524</v>
      </c>
      <c r="E173" s="180" t="s">
        <v>83</v>
      </c>
      <c r="F173" s="181">
        <v>5.5681000000000003</v>
      </c>
      <c r="G173" s="180" t="s">
        <v>83</v>
      </c>
      <c r="H173" s="181">
        <v>3.9237000000000002</v>
      </c>
      <c r="I173" s="180" t="s">
        <v>83</v>
      </c>
      <c r="J173" s="181">
        <v>2.1768000000000001</v>
      </c>
      <c r="K173" s="180" t="s">
        <v>83</v>
      </c>
      <c r="L173" s="181">
        <v>12.708500000000001</v>
      </c>
      <c r="M173" s="180" t="s">
        <v>83</v>
      </c>
      <c r="N173" s="181">
        <v>6.9198000000000004</v>
      </c>
      <c r="O173" s="180" t="s">
        <v>83</v>
      </c>
      <c r="P173" s="181">
        <v>7.5125999999999999</v>
      </c>
      <c r="Q173" s="180" t="s">
        <v>83</v>
      </c>
      <c r="R173" s="181">
        <v>7.6387999999999998</v>
      </c>
      <c r="S173" s="180" t="s">
        <v>83</v>
      </c>
      <c r="T173" s="181">
        <v>7.4287999999999998</v>
      </c>
      <c r="U173" s="180" t="s">
        <v>83</v>
      </c>
      <c r="V173" s="181">
        <v>7.4397000000000002</v>
      </c>
      <c r="W173" s="180" t="s">
        <v>83</v>
      </c>
      <c r="X173" s="181">
        <v>6.9955999999999996</v>
      </c>
      <c r="Y173" s="180" t="s">
        <v>83</v>
      </c>
      <c r="Z173" s="181" t="s">
        <v>349</v>
      </c>
    </row>
    <row r="174" spans="1:26" ht="15" x14ac:dyDescent="0.3">
      <c r="A174" s="179" t="s">
        <v>507</v>
      </c>
      <c r="B174" s="178" t="s">
        <v>83</v>
      </c>
      <c r="C174" s="180" t="s">
        <v>83</v>
      </c>
      <c r="D174" s="181">
        <v>2.6558000000000002</v>
      </c>
      <c r="E174" s="180" t="s">
        <v>83</v>
      </c>
      <c r="F174" s="181">
        <v>8.9300999999999995</v>
      </c>
      <c r="G174" s="180" t="s">
        <v>83</v>
      </c>
      <c r="H174" s="181">
        <v>10.295500000000001</v>
      </c>
      <c r="I174" s="180" t="s">
        <v>83</v>
      </c>
      <c r="J174" s="181">
        <v>23.93</v>
      </c>
      <c r="K174" s="180" t="s">
        <v>83</v>
      </c>
      <c r="L174" s="181">
        <v>58.086799999999997</v>
      </c>
      <c r="M174" s="180" t="s">
        <v>83</v>
      </c>
      <c r="N174" s="181">
        <v>96.836799999999997</v>
      </c>
      <c r="O174" s="180" t="s">
        <v>83</v>
      </c>
      <c r="P174" s="181">
        <v>121.38290000000001</v>
      </c>
      <c r="Q174" s="180" t="s">
        <v>83</v>
      </c>
      <c r="R174" s="181">
        <v>121.81789999999999</v>
      </c>
      <c r="S174" s="180" t="s">
        <v>83</v>
      </c>
      <c r="T174" s="181">
        <v>123.9862</v>
      </c>
      <c r="U174" s="180" t="s">
        <v>83</v>
      </c>
      <c r="V174" s="181">
        <v>116.2829</v>
      </c>
      <c r="W174" s="180" t="s">
        <v>83</v>
      </c>
      <c r="X174" s="181">
        <v>111.2563</v>
      </c>
      <c r="Y174" s="180" t="s">
        <v>83</v>
      </c>
      <c r="Z174" s="181" t="s">
        <v>349</v>
      </c>
    </row>
    <row r="175" spans="1:26" ht="15" x14ac:dyDescent="0.3">
      <c r="A175" s="179" t="s">
        <v>508</v>
      </c>
      <c r="B175" s="178" t="s">
        <v>83</v>
      </c>
      <c r="C175" s="180" t="s">
        <v>83</v>
      </c>
      <c r="D175" s="181">
        <v>209.33860000000001</v>
      </c>
      <c r="E175" s="180" t="s">
        <v>83</v>
      </c>
      <c r="F175" s="181">
        <v>341.41680000000002</v>
      </c>
      <c r="G175" s="180" t="s">
        <v>83</v>
      </c>
      <c r="H175" s="181" t="s">
        <v>349</v>
      </c>
      <c r="I175" s="180" t="s">
        <v>83</v>
      </c>
      <c r="J175" s="181">
        <v>173.18700000000001</v>
      </c>
      <c r="K175" s="180" t="s">
        <v>83</v>
      </c>
      <c r="L175" s="181">
        <v>334.90780000000001</v>
      </c>
      <c r="M175" s="180" t="s">
        <v>83</v>
      </c>
      <c r="N175" s="181">
        <v>275.85680000000002</v>
      </c>
      <c r="O175" s="180" t="s">
        <v>83</v>
      </c>
      <c r="P175" s="181">
        <v>445.35430000000002</v>
      </c>
      <c r="Q175" s="180" t="s">
        <v>83</v>
      </c>
      <c r="R175" s="181">
        <v>450.43470000000002</v>
      </c>
      <c r="S175" s="180" t="s">
        <v>83</v>
      </c>
      <c r="T175" s="181">
        <v>416.6463</v>
      </c>
      <c r="U175" s="180" t="s">
        <v>83</v>
      </c>
      <c r="V175" s="181">
        <v>448.77969999999999</v>
      </c>
      <c r="W175" s="180" t="s">
        <v>83</v>
      </c>
      <c r="X175" s="181">
        <v>533.51610000000005</v>
      </c>
      <c r="Y175" s="180" t="s">
        <v>352</v>
      </c>
      <c r="Z175" s="181">
        <v>555.1662</v>
      </c>
    </row>
    <row r="176" spans="1:26" ht="15" x14ac:dyDescent="0.3">
      <c r="A176" s="179" t="s">
        <v>26</v>
      </c>
      <c r="B176" s="178" t="s">
        <v>83</v>
      </c>
      <c r="C176" s="180" t="s">
        <v>83</v>
      </c>
      <c r="D176" s="181">
        <v>0</v>
      </c>
      <c r="E176" s="180" t="s">
        <v>83</v>
      </c>
      <c r="F176" s="181">
        <v>0</v>
      </c>
      <c r="G176" s="180" t="s">
        <v>83</v>
      </c>
      <c r="H176" s="181">
        <v>0</v>
      </c>
      <c r="I176" s="180" t="s">
        <v>83</v>
      </c>
      <c r="J176" s="181">
        <v>1855.644</v>
      </c>
      <c r="K176" s="180" t="s">
        <v>83</v>
      </c>
      <c r="L176" s="181">
        <v>2057.837</v>
      </c>
      <c r="M176" s="180" t="s">
        <v>83</v>
      </c>
      <c r="N176" s="181">
        <v>2035.759</v>
      </c>
      <c r="O176" s="180" t="s">
        <v>83</v>
      </c>
      <c r="P176" s="181">
        <v>2486.7440000000001</v>
      </c>
      <c r="Q176" s="180" t="s">
        <v>83</v>
      </c>
      <c r="R176" s="181">
        <v>2450.2060000000001</v>
      </c>
      <c r="S176" s="180" t="s">
        <v>83</v>
      </c>
      <c r="T176" s="181">
        <v>2504.6640000000002</v>
      </c>
      <c r="U176" s="180" t="s">
        <v>83</v>
      </c>
      <c r="V176" s="181">
        <v>2508.0859999999998</v>
      </c>
      <c r="W176" s="180" t="s">
        <v>83</v>
      </c>
      <c r="X176" s="181">
        <v>2569.8389999999999</v>
      </c>
      <c r="Y176" s="180" t="s">
        <v>83</v>
      </c>
      <c r="Z176" s="181" t="s">
        <v>349</v>
      </c>
    </row>
    <row r="177" spans="1:26" ht="15" x14ac:dyDescent="0.3">
      <c r="A177" s="179" t="s">
        <v>509</v>
      </c>
      <c r="B177" s="178" t="s">
        <v>83</v>
      </c>
      <c r="C177" s="180" t="s">
        <v>83</v>
      </c>
      <c r="D177" s="181">
        <v>9.5967000000000002</v>
      </c>
      <c r="E177" s="180" t="s">
        <v>83</v>
      </c>
      <c r="F177" s="181">
        <v>11.9963</v>
      </c>
      <c r="G177" s="180" t="s">
        <v>83</v>
      </c>
      <c r="H177" s="181">
        <v>14.194900000000001</v>
      </c>
      <c r="I177" s="180" t="s">
        <v>83</v>
      </c>
      <c r="J177" s="181">
        <v>16.167200000000001</v>
      </c>
      <c r="K177" s="180" t="s">
        <v>83</v>
      </c>
      <c r="L177" s="181">
        <v>20.369199999999999</v>
      </c>
      <c r="M177" s="180" t="s">
        <v>83</v>
      </c>
      <c r="N177" s="181">
        <v>26.3066</v>
      </c>
      <c r="O177" s="180" t="s">
        <v>83</v>
      </c>
      <c r="P177" s="181">
        <v>28.643999999999998</v>
      </c>
      <c r="Q177" s="180" t="s">
        <v>83</v>
      </c>
      <c r="R177" s="181">
        <v>29.171199999999999</v>
      </c>
      <c r="S177" s="180" t="s">
        <v>83</v>
      </c>
      <c r="T177" s="181">
        <v>29.414200000000001</v>
      </c>
      <c r="U177" s="180" t="s">
        <v>83</v>
      </c>
      <c r="V177" s="181">
        <v>30.3965</v>
      </c>
      <c r="W177" s="180" t="s">
        <v>83</v>
      </c>
      <c r="X177" s="181">
        <v>31.138999999999999</v>
      </c>
      <c r="Y177" s="180" t="s">
        <v>83</v>
      </c>
      <c r="Z177" s="181" t="s">
        <v>349</v>
      </c>
    </row>
    <row r="178" spans="1:26" ht="15" x14ac:dyDescent="0.3">
      <c r="A178" s="179" t="s">
        <v>510</v>
      </c>
      <c r="B178" s="178" t="s">
        <v>83</v>
      </c>
      <c r="C178" s="180" t="s">
        <v>83</v>
      </c>
      <c r="D178" s="181">
        <v>0.54749999999999999</v>
      </c>
      <c r="E178" s="180" t="s">
        <v>83</v>
      </c>
      <c r="F178" s="181">
        <v>0.59709999999999996</v>
      </c>
      <c r="G178" s="180" t="s">
        <v>83</v>
      </c>
      <c r="H178" s="181">
        <v>0.4158</v>
      </c>
      <c r="I178" s="180" t="s">
        <v>83</v>
      </c>
      <c r="J178" s="181">
        <v>0.68200000000000005</v>
      </c>
      <c r="K178" s="180" t="s">
        <v>83</v>
      </c>
      <c r="L178" s="181">
        <v>0.41849999999999998</v>
      </c>
      <c r="M178" s="180" t="s">
        <v>83</v>
      </c>
      <c r="N178" s="181">
        <v>0.26150000000000001</v>
      </c>
      <c r="O178" s="180" t="s">
        <v>83</v>
      </c>
      <c r="P178" s="181">
        <v>0.39929999999999999</v>
      </c>
      <c r="Q178" s="180" t="s">
        <v>83</v>
      </c>
      <c r="R178" s="181">
        <v>0.3674</v>
      </c>
      <c r="S178" s="180" t="s">
        <v>83</v>
      </c>
      <c r="T178" s="181">
        <v>0.3468</v>
      </c>
      <c r="U178" s="180" t="s">
        <v>83</v>
      </c>
      <c r="V178" s="181">
        <v>0.25059999999999999</v>
      </c>
      <c r="W178" s="180" t="s">
        <v>83</v>
      </c>
      <c r="X178" s="181">
        <v>0.2364</v>
      </c>
      <c r="Y178" s="180" t="s">
        <v>83</v>
      </c>
      <c r="Z178" s="181" t="s">
        <v>349</v>
      </c>
    </row>
    <row r="179" spans="1:26" ht="15" x14ac:dyDescent="0.3">
      <c r="A179" s="179" t="s">
        <v>511</v>
      </c>
      <c r="B179" s="178" t="s">
        <v>83</v>
      </c>
      <c r="C179" s="180" t="s">
        <v>83</v>
      </c>
      <c r="D179" s="181">
        <v>0.24610000000000001</v>
      </c>
      <c r="E179" s="180" t="s">
        <v>83</v>
      </c>
      <c r="F179" s="181">
        <v>0.40579999999999999</v>
      </c>
      <c r="G179" s="180" t="s">
        <v>83</v>
      </c>
      <c r="H179" s="181">
        <v>0.71089999999999998</v>
      </c>
      <c r="I179" s="180" t="s">
        <v>83</v>
      </c>
      <c r="J179" s="181">
        <v>0.76639999999999997</v>
      </c>
      <c r="K179" s="180" t="s">
        <v>83</v>
      </c>
      <c r="L179" s="181">
        <v>0.60170000000000001</v>
      </c>
      <c r="M179" s="180" t="s">
        <v>83</v>
      </c>
      <c r="N179" s="181">
        <v>0.65939999999999999</v>
      </c>
      <c r="O179" s="180" t="s">
        <v>83</v>
      </c>
      <c r="P179" s="181">
        <v>0.63070000000000004</v>
      </c>
      <c r="Q179" s="180" t="s">
        <v>83</v>
      </c>
      <c r="R179" s="181">
        <v>0.49370000000000003</v>
      </c>
      <c r="S179" s="180" t="s">
        <v>83</v>
      </c>
      <c r="T179" s="181">
        <v>0.73260000000000003</v>
      </c>
      <c r="U179" s="180" t="s">
        <v>83</v>
      </c>
      <c r="V179" s="181">
        <v>0.51370000000000005</v>
      </c>
      <c r="W179" s="180" t="s">
        <v>83</v>
      </c>
      <c r="X179" s="181">
        <v>0.54430000000000001</v>
      </c>
      <c r="Y179" s="180" t="s">
        <v>83</v>
      </c>
      <c r="Z179" s="181" t="s">
        <v>349</v>
      </c>
    </row>
    <row r="180" spans="1:26" ht="15" x14ac:dyDescent="0.3">
      <c r="A180" s="179" t="s">
        <v>512</v>
      </c>
      <c r="B180" s="178" t="s">
        <v>83</v>
      </c>
      <c r="C180" s="180" t="s">
        <v>83</v>
      </c>
      <c r="D180" s="181">
        <v>0.15920000000000001</v>
      </c>
      <c r="E180" s="180" t="s">
        <v>83</v>
      </c>
      <c r="F180" s="181">
        <v>0.30270000000000002</v>
      </c>
      <c r="G180" s="180" t="s">
        <v>83</v>
      </c>
      <c r="H180" s="181">
        <v>0.46510000000000001</v>
      </c>
      <c r="I180" s="180" t="s">
        <v>83</v>
      </c>
      <c r="J180" s="181">
        <v>0.61739999999999995</v>
      </c>
      <c r="K180" s="180" t="s">
        <v>83</v>
      </c>
      <c r="L180" s="181">
        <v>0.59150000000000003</v>
      </c>
      <c r="M180" s="180" t="s">
        <v>83</v>
      </c>
      <c r="N180" s="181">
        <v>0.61829999999999996</v>
      </c>
      <c r="O180" s="180" t="s">
        <v>83</v>
      </c>
      <c r="P180" s="181">
        <v>0.73280000000000001</v>
      </c>
      <c r="Q180" s="180" t="s">
        <v>83</v>
      </c>
      <c r="R180" s="181">
        <v>0.60950000000000004</v>
      </c>
      <c r="S180" s="180" t="s">
        <v>83</v>
      </c>
      <c r="T180" s="181">
        <v>0.64300000000000002</v>
      </c>
      <c r="U180" s="180" t="s">
        <v>83</v>
      </c>
      <c r="V180" s="181">
        <v>0.53190000000000004</v>
      </c>
      <c r="W180" s="180" t="s">
        <v>83</v>
      </c>
      <c r="X180" s="181">
        <v>0.53649999999999998</v>
      </c>
      <c r="Y180" s="180" t="s">
        <v>83</v>
      </c>
      <c r="Z180" s="181" t="s">
        <v>349</v>
      </c>
    </row>
    <row r="181" spans="1:26" ht="15" x14ac:dyDescent="0.3">
      <c r="A181" s="179" t="s">
        <v>513</v>
      </c>
      <c r="B181" s="178" t="s">
        <v>83</v>
      </c>
      <c r="C181" s="180" t="s">
        <v>83</v>
      </c>
      <c r="D181" s="181">
        <v>0.59379999999999999</v>
      </c>
      <c r="E181" s="180" t="s">
        <v>83</v>
      </c>
      <c r="F181" s="181">
        <v>0.93700000000000006</v>
      </c>
      <c r="G181" s="180" t="s">
        <v>83</v>
      </c>
      <c r="H181" s="181">
        <v>0.80110000000000003</v>
      </c>
      <c r="I181" s="180" t="s">
        <v>83</v>
      </c>
      <c r="J181" s="181">
        <v>0.85489999999999999</v>
      </c>
      <c r="K181" s="180" t="s">
        <v>83</v>
      </c>
      <c r="L181" s="181">
        <v>1.0182</v>
      </c>
      <c r="M181" s="180" t="s">
        <v>83</v>
      </c>
      <c r="N181" s="181">
        <v>1.0837000000000001</v>
      </c>
      <c r="O181" s="180" t="s">
        <v>83</v>
      </c>
      <c r="P181" s="181">
        <v>1.2417</v>
      </c>
      <c r="Q181" s="180" t="s">
        <v>83</v>
      </c>
      <c r="R181" s="181">
        <v>1.23</v>
      </c>
      <c r="S181" s="180" t="s">
        <v>83</v>
      </c>
      <c r="T181" s="181">
        <v>1.2430000000000001</v>
      </c>
      <c r="U181" s="180" t="s">
        <v>83</v>
      </c>
      <c r="V181" s="181">
        <v>1.3096000000000001</v>
      </c>
      <c r="W181" s="180" t="s">
        <v>83</v>
      </c>
      <c r="X181" s="181">
        <v>1.3341000000000001</v>
      </c>
      <c r="Y181" s="180" t="s">
        <v>83</v>
      </c>
      <c r="Z181" s="181" t="s">
        <v>349</v>
      </c>
    </row>
    <row r="182" spans="1:26" ht="15" x14ac:dyDescent="0.3">
      <c r="A182" s="179" t="s">
        <v>514</v>
      </c>
      <c r="B182" s="178" t="s">
        <v>83</v>
      </c>
      <c r="C182" s="180" t="s">
        <v>83</v>
      </c>
      <c r="D182" s="181">
        <v>0</v>
      </c>
      <c r="E182" s="180" t="s">
        <v>83</v>
      </c>
      <c r="F182" s="181">
        <v>0</v>
      </c>
      <c r="G182" s="180" t="s">
        <v>83</v>
      </c>
      <c r="H182" s="181">
        <v>0</v>
      </c>
      <c r="I182" s="180" t="s">
        <v>83</v>
      </c>
      <c r="J182" s="181">
        <v>0</v>
      </c>
      <c r="K182" s="180" t="s">
        <v>83</v>
      </c>
      <c r="L182" s="181">
        <v>0</v>
      </c>
      <c r="M182" s="180" t="s">
        <v>83</v>
      </c>
      <c r="N182" s="181">
        <v>0</v>
      </c>
      <c r="O182" s="180" t="s">
        <v>83</v>
      </c>
      <c r="P182" s="181">
        <v>1.6000000000000001E-3</v>
      </c>
      <c r="Q182" s="180" t="s">
        <v>83</v>
      </c>
      <c r="R182" s="181">
        <v>2.0999999999999999E-3</v>
      </c>
      <c r="S182" s="180" t="s">
        <v>83</v>
      </c>
      <c r="T182" s="181">
        <v>1.8E-3</v>
      </c>
      <c r="U182" s="180" t="s">
        <v>83</v>
      </c>
      <c r="V182" s="181">
        <v>2.2000000000000001E-3</v>
      </c>
      <c r="W182" s="180" t="s">
        <v>83</v>
      </c>
      <c r="X182" s="181">
        <v>2.23E-2</v>
      </c>
      <c r="Y182" s="180" t="s">
        <v>83</v>
      </c>
      <c r="Z182" s="181" t="s">
        <v>349</v>
      </c>
    </row>
    <row r="183" spans="1:26" ht="15" x14ac:dyDescent="0.3">
      <c r="A183" s="179" t="s">
        <v>515</v>
      </c>
      <c r="B183" s="178" t="s">
        <v>83</v>
      </c>
      <c r="C183" s="180" t="s">
        <v>83</v>
      </c>
      <c r="D183" s="181">
        <v>0.22289999999999999</v>
      </c>
      <c r="E183" s="180" t="s">
        <v>83</v>
      </c>
      <c r="F183" s="181">
        <v>0.20030000000000001</v>
      </c>
      <c r="G183" s="180" t="s">
        <v>83</v>
      </c>
      <c r="H183" s="181">
        <v>0.22900000000000001</v>
      </c>
      <c r="I183" s="180" t="s">
        <v>83</v>
      </c>
      <c r="J183" s="181">
        <v>0.36709999999999998</v>
      </c>
      <c r="K183" s="180" t="s">
        <v>83</v>
      </c>
      <c r="L183" s="181">
        <v>0.4209</v>
      </c>
      <c r="M183" s="180" t="s">
        <v>83</v>
      </c>
      <c r="N183" s="181">
        <v>0.50090000000000001</v>
      </c>
      <c r="O183" s="180" t="s">
        <v>83</v>
      </c>
      <c r="P183" s="181">
        <v>0.64419999999999999</v>
      </c>
      <c r="Q183" s="180" t="s">
        <v>83</v>
      </c>
      <c r="R183" s="181">
        <v>0.4929</v>
      </c>
      <c r="S183" s="180" t="s">
        <v>83</v>
      </c>
      <c r="T183" s="181">
        <v>0.48060000000000003</v>
      </c>
      <c r="U183" s="180" t="s">
        <v>83</v>
      </c>
      <c r="V183" s="181">
        <v>0.46510000000000001</v>
      </c>
      <c r="W183" s="180" t="s">
        <v>83</v>
      </c>
      <c r="X183" s="181">
        <v>0.47070000000000001</v>
      </c>
      <c r="Y183" s="180" t="s">
        <v>83</v>
      </c>
      <c r="Z183" s="181" t="s">
        <v>349</v>
      </c>
    </row>
    <row r="184" spans="1:26" ht="15" x14ac:dyDescent="0.3">
      <c r="A184" s="179" t="s">
        <v>516</v>
      </c>
      <c r="B184" s="178" t="s">
        <v>83</v>
      </c>
      <c r="C184" s="180" t="s">
        <v>83</v>
      </c>
      <c r="D184" s="181">
        <v>40.294899999999998</v>
      </c>
      <c r="E184" s="180" t="s">
        <v>83</v>
      </c>
      <c r="F184" s="181">
        <v>203.68690000000001</v>
      </c>
      <c r="G184" s="180" t="s">
        <v>83</v>
      </c>
      <c r="H184" s="181">
        <v>284.3997</v>
      </c>
      <c r="I184" s="180" t="s">
        <v>83</v>
      </c>
      <c r="J184" s="181">
        <v>355.30669999999998</v>
      </c>
      <c r="K184" s="180" t="s">
        <v>83</v>
      </c>
      <c r="L184" s="181">
        <v>543.60910000000001</v>
      </c>
      <c r="M184" s="180" t="s">
        <v>83</v>
      </c>
      <c r="N184" s="181">
        <v>722.28390000000002</v>
      </c>
      <c r="O184" s="180" t="s">
        <v>83</v>
      </c>
      <c r="P184" s="181">
        <v>903.59339999999997</v>
      </c>
      <c r="Q184" s="180" t="s">
        <v>83</v>
      </c>
      <c r="R184" s="181">
        <v>828.80309999999997</v>
      </c>
      <c r="S184" s="180" t="s">
        <v>83</v>
      </c>
      <c r="T184" s="181">
        <v>885.40980000000002</v>
      </c>
      <c r="U184" s="180" t="s">
        <v>83</v>
      </c>
      <c r="V184" s="181">
        <v>821.62620000000004</v>
      </c>
      <c r="W184" s="180" t="s">
        <v>83</v>
      </c>
      <c r="X184" s="181">
        <v>867.6001</v>
      </c>
      <c r="Y184" s="180" t="s">
        <v>83</v>
      </c>
      <c r="Z184" s="181" t="s">
        <v>349</v>
      </c>
    </row>
    <row r="185" spans="1:26" ht="15" x14ac:dyDescent="0.3">
      <c r="A185" s="179" t="s">
        <v>517</v>
      </c>
      <c r="B185" s="178" t="s">
        <v>83</v>
      </c>
      <c r="C185" s="180" t="s">
        <v>83</v>
      </c>
      <c r="D185" s="181">
        <v>16.267399999999999</v>
      </c>
      <c r="E185" s="180" t="s">
        <v>83</v>
      </c>
      <c r="F185" s="181">
        <v>18.521100000000001</v>
      </c>
      <c r="G185" s="180" t="s">
        <v>83</v>
      </c>
      <c r="H185" s="181">
        <v>25.491399999999999</v>
      </c>
      <c r="I185" s="180" t="s">
        <v>83</v>
      </c>
      <c r="J185" s="181">
        <v>38.674799999999998</v>
      </c>
      <c r="K185" s="180" t="s">
        <v>83</v>
      </c>
      <c r="L185" s="181">
        <v>47.989699999999999</v>
      </c>
      <c r="M185" s="180" t="s">
        <v>83</v>
      </c>
      <c r="N185" s="181">
        <v>57.506399999999999</v>
      </c>
      <c r="O185" s="180" t="s">
        <v>83</v>
      </c>
      <c r="P185" s="181">
        <v>59.817</v>
      </c>
      <c r="Q185" s="180" t="s">
        <v>83</v>
      </c>
      <c r="R185" s="181">
        <v>60.304099999999998</v>
      </c>
      <c r="S185" s="180" t="s">
        <v>83</v>
      </c>
      <c r="T185" s="181">
        <v>63.507899999999999</v>
      </c>
      <c r="U185" s="180" t="s">
        <v>83</v>
      </c>
      <c r="V185" s="181">
        <v>73.923400000000001</v>
      </c>
      <c r="W185" s="180" t="s">
        <v>83</v>
      </c>
      <c r="X185" s="181">
        <v>73.823099999999997</v>
      </c>
      <c r="Y185" s="180" t="s">
        <v>83</v>
      </c>
      <c r="Z185" s="181" t="s">
        <v>349</v>
      </c>
    </row>
    <row r="186" spans="1:26" ht="15" x14ac:dyDescent="0.3">
      <c r="A186" s="179" t="s">
        <v>518</v>
      </c>
      <c r="B186" s="178" t="s">
        <v>83</v>
      </c>
      <c r="C186" s="180" t="s">
        <v>83</v>
      </c>
      <c r="D186" s="181" t="s">
        <v>349</v>
      </c>
      <c r="E186" s="180" t="s">
        <v>83</v>
      </c>
      <c r="F186" s="181" t="s">
        <v>349</v>
      </c>
      <c r="G186" s="180" t="s">
        <v>83</v>
      </c>
      <c r="H186" s="181" t="s">
        <v>349</v>
      </c>
      <c r="I186" s="180" t="s">
        <v>83</v>
      </c>
      <c r="J186" s="181" t="s">
        <v>349</v>
      </c>
      <c r="K186" s="180" t="s">
        <v>83</v>
      </c>
      <c r="L186" s="181">
        <v>109.77370000000001</v>
      </c>
      <c r="M186" s="180" t="s">
        <v>83</v>
      </c>
      <c r="N186" s="181">
        <v>109.79300000000001</v>
      </c>
      <c r="O186" s="180" t="s">
        <v>83</v>
      </c>
      <c r="P186" s="181">
        <v>108.9058</v>
      </c>
      <c r="Q186" s="180" t="s">
        <v>83</v>
      </c>
      <c r="R186" s="181">
        <v>118.73950000000001</v>
      </c>
      <c r="S186" s="180" t="s">
        <v>83</v>
      </c>
      <c r="T186" s="181">
        <v>113.5291</v>
      </c>
      <c r="U186" s="180" t="s">
        <v>83</v>
      </c>
      <c r="V186" s="181">
        <v>118.2208</v>
      </c>
      <c r="W186" s="180" t="s">
        <v>83</v>
      </c>
      <c r="X186" s="181">
        <v>125.88379999999999</v>
      </c>
      <c r="Y186" s="180" t="s">
        <v>83</v>
      </c>
      <c r="Z186" s="181">
        <v>131.30930000000001</v>
      </c>
    </row>
    <row r="187" spans="1:26" ht="15" x14ac:dyDescent="0.3">
      <c r="A187" s="179" t="s">
        <v>519</v>
      </c>
      <c r="B187" s="178" t="s">
        <v>83</v>
      </c>
      <c r="C187" s="180" t="s">
        <v>83</v>
      </c>
      <c r="D187" s="181">
        <v>0.10539999999999999</v>
      </c>
      <c r="E187" s="180" t="s">
        <v>83</v>
      </c>
      <c r="F187" s="181">
        <v>0.1004</v>
      </c>
      <c r="G187" s="180" t="s">
        <v>83</v>
      </c>
      <c r="H187" s="181">
        <v>0.2</v>
      </c>
      <c r="I187" s="180" t="s">
        <v>83</v>
      </c>
      <c r="J187" s="181">
        <v>0.65700000000000003</v>
      </c>
      <c r="K187" s="180" t="s">
        <v>83</v>
      </c>
      <c r="L187" s="181">
        <v>0.56640000000000001</v>
      </c>
      <c r="M187" s="180" t="s">
        <v>83</v>
      </c>
      <c r="N187" s="181">
        <v>0.69550000000000001</v>
      </c>
      <c r="O187" s="180" t="s">
        <v>83</v>
      </c>
      <c r="P187" s="181">
        <v>0.83440000000000003</v>
      </c>
      <c r="Q187" s="180" t="s">
        <v>83</v>
      </c>
      <c r="R187" s="181">
        <v>0.878</v>
      </c>
      <c r="S187" s="180" t="s">
        <v>83</v>
      </c>
      <c r="T187" s="181">
        <v>0.82089999999999996</v>
      </c>
      <c r="U187" s="180" t="s">
        <v>83</v>
      </c>
      <c r="V187" s="181">
        <v>0.83430000000000004</v>
      </c>
      <c r="W187" s="180" t="s">
        <v>83</v>
      </c>
      <c r="X187" s="181">
        <v>0.89149999999999996</v>
      </c>
      <c r="Y187" s="180" t="s">
        <v>83</v>
      </c>
      <c r="Z187" s="181" t="s">
        <v>349</v>
      </c>
    </row>
    <row r="188" spans="1:26" ht="15" x14ac:dyDescent="0.3">
      <c r="A188" s="179" t="s">
        <v>520</v>
      </c>
      <c r="B188" s="178" t="s">
        <v>83</v>
      </c>
      <c r="C188" s="180" t="s">
        <v>83</v>
      </c>
      <c r="D188" s="181">
        <v>7.8678999999999997</v>
      </c>
      <c r="E188" s="180" t="s">
        <v>83</v>
      </c>
      <c r="F188" s="181">
        <v>9.4964999999999993</v>
      </c>
      <c r="G188" s="180" t="s">
        <v>83</v>
      </c>
      <c r="H188" s="181">
        <v>12.149900000000001</v>
      </c>
      <c r="I188" s="180" t="s">
        <v>83</v>
      </c>
      <c r="J188" s="181">
        <v>9.5426000000000002</v>
      </c>
      <c r="K188" s="180" t="s">
        <v>83</v>
      </c>
      <c r="L188" s="181">
        <v>14.1084</v>
      </c>
      <c r="M188" s="180" t="s">
        <v>83</v>
      </c>
      <c r="N188" s="181">
        <v>21.3748</v>
      </c>
      <c r="O188" s="180" t="s">
        <v>83</v>
      </c>
      <c r="P188" s="181">
        <v>28.297699999999999</v>
      </c>
      <c r="Q188" s="180" t="s">
        <v>83</v>
      </c>
      <c r="R188" s="181">
        <v>27.582000000000001</v>
      </c>
      <c r="S188" s="180" t="s">
        <v>83</v>
      </c>
      <c r="T188" s="181">
        <v>29.304600000000001</v>
      </c>
      <c r="U188" s="180" t="s">
        <v>83</v>
      </c>
      <c r="V188" s="181">
        <v>22.508500000000002</v>
      </c>
      <c r="W188" s="180" t="s">
        <v>83</v>
      </c>
      <c r="X188" s="181">
        <v>23.142399999999999</v>
      </c>
      <c r="Y188" s="180" t="s">
        <v>83</v>
      </c>
      <c r="Z188" s="181" t="s">
        <v>349</v>
      </c>
    </row>
    <row r="189" spans="1:26" ht="15" x14ac:dyDescent="0.3">
      <c r="A189" s="179" t="s">
        <v>521</v>
      </c>
      <c r="B189" s="178" t="s">
        <v>83</v>
      </c>
      <c r="C189" s="180" t="s">
        <v>83</v>
      </c>
      <c r="D189" s="181">
        <v>25.428599999999999</v>
      </c>
      <c r="E189" s="180" t="s">
        <v>83</v>
      </c>
      <c r="F189" s="181">
        <v>63.444800000000001</v>
      </c>
      <c r="G189" s="180" t="s">
        <v>83</v>
      </c>
      <c r="H189" s="181">
        <v>79.456599999999995</v>
      </c>
      <c r="I189" s="180" t="s">
        <v>83</v>
      </c>
      <c r="J189" s="181">
        <v>227.96780000000001</v>
      </c>
      <c r="K189" s="180" t="s">
        <v>83</v>
      </c>
      <c r="L189" s="181">
        <v>93.245099999999994</v>
      </c>
      <c r="M189" s="180" t="s">
        <v>83</v>
      </c>
      <c r="N189" s="181">
        <v>101.40649999999999</v>
      </c>
      <c r="O189" s="180" t="s">
        <v>83</v>
      </c>
      <c r="P189" s="181">
        <v>123.46380000000001</v>
      </c>
      <c r="Q189" s="180" t="s">
        <v>83</v>
      </c>
      <c r="R189" s="181">
        <v>129.8381</v>
      </c>
      <c r="S189" s="180" t="s">
        <v>83</v>
      </c>
      <c r="T189" s="181">
        <v>100.63800000000001</v>
      </c>
      <c r="U189" s="180" t="s">
        <v>83</v>
      </c>
      <c r="V189" s="181">
        <v>155.952</v>
      </c>
      <c r="W189" s="180" t="s">
        <v>83</v>
      </c>
      <c r="X189" s="181">
        <v>102.3942</v>
      </c>
      <c r="Y189" s="180" t="s">
        <v>83</v>
      </c>
      <c r="Z189" s="181" t="s">
        <v>349</v>
      </c>
    </row>
    <row r="190" spans="1:26" ht="15" x14ac:dyDescent="0.3">
      <c r="A190" s="179" t="s">
        <v>522</v>
      </c>
      <c r="B190" s="178" t="s">
        <v>83</v>
      </c>
      <c r="C190" s="180" t="s">
        <v>83</v>
      </c>
      <c r="D190" s="181">
        <v>0.76690000000000003</v>
      </c>
      <c r="E190" s="180" t="s">
        <v>83</v>
      </c>
      <c r="F190" s="181">
        <v>1.129</v>
      </c>
      <c r="G190" s="180" t="s">
        <v>83</v>
      </c>
      <c r="H190" s="181">
        <v>1.2108000000000001</v>
      </c>
      <c r="I190" s="180" t="s">
        <v>83</v>
      </c>
      <c r="J190" s="181">
        <v>2.9197000000000002</v>
      </c>
      <c r="K190" s="180" t="s">
        <v>83</v>
      </c>
      <c r="L190" s="181">
        <v>1.8888</v>
      </c>
      <c r="M190" s="180" t="s">
        <v>83</v>
      </c>
      <c r="N190" s="181">
        <v>2.2355999999999998</v>
      </c>
      <c r="O190" s="180" t="s">
        <v>83</v>
      </c>
      <c r="P190" s="181">
        <v>3.8151000000000002</v>
      </c>
      <c r="Q190" s="180" t="s">
        <v>83</v>
      </c>
      <c r="R190" s="181">
        <v>4.0617999999999999</v>
      </c>
      <c r="S190" s="180" t="s">
        <v>83</v>
      </c>
      <c r="T190" s="181">
        <v>5.0787000000000004</v>
      </c>
      <c r="U190" s="180" t="s">
        <v>83</v>
      </c>
      <c r="V190" s="181">
        <v>5.1257000000000001</v>
      </c>
      <c r="W190" s="180" t="s">
        <v>83</v>
      </c>
      <c r="X190" s="181">
        <v>6.2483000000000004</v>
      </c>
      <c r="Y190" s="180" t="s">
        <v>83</v>
      </c>
      <c r="Z190" s="181" t="s">
        <v>349</v>
      </c>
    </row>
    <row r="191" spans="1:26" ht="15" x14ac:dyDescent="0.3">
      <c r="A191" s="179" t="s">
        <v>523</v>
      </c>
      <c r="B191" s="178" t="s">
        <v>83</v>
      </c>
      <c r="C191" s="180" t="s">
        <v>83</v>
      </c>
      <c r="D191" s="181">
        <v>33.779499999999999</v>
      </c>
      <c r="E191" s="180" t="s">
        <v>83</v>
      </c>
      <c r="F191" s="181">
        <v>40.871000000000002</v>
      </c>
      <c r="G191" s="180" t="s">
        <v>83</v>
      </c>
      <c r="H191" s="181">
        <v>46.091299999999997</v>
      </c>
      <c r="I191" s="180" t="s">
        <v>83</v>
      </c>
      <c r="J191" s="181">
        <v>48.485900000000001</v>
      </c>
      <c r="K191" s="180" t="s">
        <v>83</v>
      </c>
      <c r="L191" s="181">
        <v>52.301400000000001</v>
      </c>
      <c r="M191" s="180" t="s">
        <v>83</v>
      </c>
      <c r="N191" s="181">
        <v>49.838299999999997</v>
      </c>
      <c r="O191" s="180" t="s">
        <v>83</v>
      </c>
      <c r="P191" s="181">
        <v>52.150599999999997</v>
      </c>
      <c r="Q191" s="180" t="s">
        <v>83</v>
      </c>
      <c r="R191" s="181">
        <v>52.2012</v>
      </c>
      <c r="S191" s="180" t="s">
        <v>83</v>
      </c>
      <c r="T191" s="181">
        <v>52.465800000000002</v>
      </c>
      <c r="U191" s="180" t="s">
        <v>83</v>
      </c>
      <c r="V191" s="181">
        <v>52.823</v>
      </c>
      <c r="W191" s="180" t="s">
        <v>83</v>
      </c>
      <c r="X191" s="181">
        <v>53.307000000000002</v>
      </c>
      <c r="Y191" s="180" t="s">
        <v>83</v>
      </c>
      <c r="Z191" s="181" t="s">
        <v>349</v>
      </c>
    </row>
    <row r="192" spans="1:26" ht="15" x14ac:dyDescent="0.3">
      <c r="A192" s="179" t="s">
        <v>524</v>
      </c>
      <c r="B192" s="178" t="s">
        <v>83</v>
      </c>
      <c r="C192" s="180" t="s">
        <v>83</v>
      </c>
      <c r="D192" s="181">
        <v>669.04259999999999</v>
      </c>
      <c r="E192" s="180" t="s">
        <v>83</v>
      </c>
      <c r="F192" s="181">
        <v>672.1848</v>
      </c>
      <c r="G192" s="180" t="s">
        <v>83</v>
      </c>
      <c r="H192" s="181">
        <v>748.72529999999995</v>
      </c>
      <c r="I192" s="180" t="s">
        <v>83</v>
      </c>
      <c r="J192" s="181">
        <v>781.39779999999996</v>
      </c>
      <c r="K192" s="180" t="s">
        <v>83</v>
      </c>
      <c r="L192" s="181">
        <v>825.50509999999997</v>
      </c>
      <c r="M192" s="180" t="s">
        <v>83</v>
      </c>
      <c r="N192" s="181">
        <v>734.28949999999998</v>
      </c>
      <c r="O192" s="180" t="s">
        <v>83</v>
      </c>
      <c r="P192" s="181">
        <v>709.1508</v>
      </c>
      <c r="Q192" s="180" t="s">
        <v>83</v>
      </c>
      <c r="R192" s="181">
        <v>705.21299999999997</v>
      </c>
      <c r="S192" s="180" t="s">
        <v>83</v>
      </c>
      <c r="T192" s="181">
        <v>721.52790000000005</v>
      </c>
      <c r="U192" s="180" t="s">
        <v>83</v>
      </c>
      <c r="V192" s="181">
        <v>715.66780000000006</v>
      </c>
      <c r="W192" s="180" t="s">
        <v>83</v>
      </c>
      <c r="X192" s="181">
        <v>695.35850000000005</v>
      </c>
      <c r="Y192" s="180" t="s">
        <v>83</v>
      </c>
      <c r="Z192" s="181" t="s">
        <v>349</v>
      </c>
    </row>
    <row r="193" spans="1:26" ht="15" x14ac:dyDescent="0.3">
      <c r="A193" s="179" t="s">
        <v>525</v>
      </c>
      <c r="B193" s="178" t="s">
        <v>83</v>
      </c>
      <c r="C193" s="180" t="s">
        <v>83</v>
      </c>
      <c r="D193" s="181">
        <v>26.293700000000001</v>
      </c>
      <c r="E193" s="180" t="s">
        <v>83</v>
      </c>
      <c r="F193" s="181">
        <v>33.4529</v>
      </c>
      <c r="G193" s="180" t="s">
        <v>83</v>
      </c>
      <c r="H193" s="181">
        <v>36.503399999999999</v>
      </c>
      <c r="I193" s="180" t="s">
        <v>83</v>
      </c>
      <c r="J193" s="181">
        <v>54.035200000000003</v>
      </c>
      <c r="K193" s="180" t="s">
        <v>83</v>
      </c>
      <c r="L193" s="181">
        <v>58.669699999999999</v>
      </c>
      <c r="M193" s="180" t="s">
        <v>83</v>
      </c>
      <c r="N193" s="181">
        <v>71.533699999999996</v>
      </c>
      <c r="O193" s="180" t="s">
        <v>83</v>
      </c>
      <c r="P193" s="181">
        <v>103.7059</v>
      </c>
      <c r="Q193" s="180" t="s">
        <v>83</v>
      </c>
      <c r="R193" s="181">
        <v>63.3431</v>
      </c>
      <c r="S193" s="180" t="s">
        <v>83</v>
      </c>
      <c r="T193" s="181">
        <v>123.5637</v>
      </c>
      <c r="U193" s="180" t="s">
        <v>83</v>
      </c>
      <c r="V193" s="181">
        <v>63.154400000000003</v>
      </c>
      <c r="W193" s="180" t="s">
        <v>83</v>
      </c>
      <c r="X193" s="181">
        <v>65.023300000000006</v>
      </c>
      <c r="Y193" s="180" t="s">
        <v>83</v>
      </c>
      <c r="Z193" s="181" t="s">
        <v>349</v>
      </c>
    </row>
    <row r="194" spans="1:26" ht="15" x14ac:dyDescent="0.3">
      <c r="A194" s="179" t="s">
        <v>526</v>
      </c>
      <c r="B194" s="178" t="s">
        <v>83</v>
      </c>
      <c r="C194" s="180" t="s">
        <v>83</v>
      </c>
      <c r="D194" s="181">
        <v>0</v>
      </c>
      <c r="E194" s="180" t="s">
        <v>83</v>
      </c>
      <c r="F194" s="181">
        <v>0</v>
      </c>
      <c r="G194" s="180" t="s">
        <v>83</v>
      </c>
      <c r="H194" s="181">
        <v>0</v>
      </c>
      <c r="I194" s="180" t="s">
        <v>83</v>
      </c>
      <c r="J194" s="181">
        <v>0</v>
      </c>
      <c r="K194" s="180" t="s">
        <v>83</v>
      </c>
      <c r="L194" s="181">
        <v>0</v>
      </c>
      <c r="M194" s="180" t="s">
        <v>83</v>
      </c>
      <c r="N194" s="181">
        <v>0</v>
      </c>
      <c r="O194" s="180" t="s">
        <v>83</v>
      </c>
      <c r="P194" s="181">
        <v>220.48570000000001</v>
      </c>
      <c r="Q194" s="180" t="s">
        <v>83</v>
      </c>
      <c r="R194" s="181">
        <v>246.11709999999999</v>
      </c>
      <c r="S194" s="180" t="s">
        <v>83</v>
      </c>
      <c r="T194" s="181">
        <v>243.6746</v>
      </c>
      <c r="U194" s="180" t="s">
        <v>83</v>
      </c>
      <c r="V194" s="181">
        <v>250.99369999999999</v>
      </c>
      <c r="W194" s="180" t="s">
        <v>83</v>
      </c>
      <c r="X194" s="181">
        <v>257.89679999999998</v>
      </c>
      <c r="Y194" s="180" t="s">
        <v>83</v>
      </c>
      <c r="Z194" s="181" t="s">
        <v>349</v>
      </c>
    </row>
    <row r="195" spans="1:26" ht="15" x14ac:dyDescent="0.3">
      <c r="A195" s="179" t="s">
        <v>527</v>
      </c>
      <c r="B195" s="178" t="s">
        <v>83</v>
      </c>
      <c r="C195" s="180" t="s">
        <v>83</v>
      </c>
      <c r="D195" s="181">
        <v>7.2343000000000002</v>
      </c>
      <c r="E195" s="180" t="s">
        <v>83</v>
      </c>
      <c r="F195" s="181">
        <v>7.3886000000000003</v>
      </c>
      <c r="G195" s="180" t="s">
        <v>83</v>
      </c>
      <c r="H195" s="181">
        <v>4.7626999999999997</v>
      </c>
      <c r="I195" s="180" t="s">
        <v>83</v>
      </c>
      <c r="J195" s="181">
        <v>6.1927000000000003</v>
      </c>
      <c r="K195" s="180" t="s">
        <v>83</v>
      </c>
      <c r="L195" s="181">
        <v>14.4764</v>
      </c>
      <c r="M195" s="180" t="s">
        <v>83</v>
      </c>
      <c r="N195" s="181">
        <v>17.220300000000002</v>
      </c>
      <c r="O195" s="180" t="s">
        <v>83</v>
      </c>
      <c r="P195" s="181">
        <v>13.1272</v>
      </c>
      <c r="Q195" s="180" t="s">
        <v>83</v>
      </c>
      <c r="R195" s="181">
        <v>15.3406</v>
      </c>
      <c r="S195" s="180" t="s">
        <v>83</v>
      </c>
      <c r="T195" s="181">
        <v>28.424499999999998</v>
      </c>
      <c r="U195" s="180" t="s">
        <v>83</v>
      </c>
      <c r="V195" s="181">
        <v>28.471699999999998</v>
      </c>
      <c r="W195" s="180" t="s">
        <v>83</v>
      </c>
      <c r="X195" s="181">
        <v>29.3719</v>
      </c>
      <c r="Y195" s="180" t="s">
        <v>83</v>
      </c>
      <c r="Z195" s="181" t="s">
        <v>349</v>
      </c>
    </row>
    <row r="196" spans="1:26" ht="15" x14ac:dyDescent="0.3">
      <c r="A196" s="179" t="s">
        <v>528</v>
      </c>
      <c r="B196" s="178" t="s">
        <v>83</v>
      </c>
      <c r="C196" s="180" t="s">
        <v>83</v>
      </c>
      <c r="D196" s="181">
        <v>0</v>
      </c>
      <c r="E196" s="180" t="s">
        <v>83</v>
      </c>
      <c r="F196" s="181">
        <v>0</v>
      </c>
      <c r="G196" s="180" t="s">
        <v>83</v>
      </c>
      <c r="H196" s="181">
        <v>0</v>
      </c>
      <c r="I196" s="180" t="s">
        <v>83</v>
      </c>
      <c r="J196" s="181">
        <v>0</v>
      </c>
      <c r="K196" s="180" t="s">
        <v>83</v>
      </c>
      <c r="L196" s="181">
        <v>0</v>
      </c>
      <c r="M196" s="180" t="s">
        <v>83</v>
      </c>
      <c r="N196" s="181">
        <v>0</v>
      </c>
      <c r="O196" s="180" t="s">
        <v>83</v>
      </c>
      <c r="P196" s="181">
        <v>43.149700000000003</v>
      </c>
      <c r="Q196" s="180" t="s">
        <v>83</v>
      </c>
      <c r="R196" s="181">
        <v>43.009599999999999</v>
      </c>
      <c r="S196" s="180" t="s">
        <v>83</v>
      </c>
      <c r="T196" s="181">
        <v>42.709299999999999</v>
      </c>
      <c r="U196" s="180" t="s">
        <v>83</v>
      </c>
      <c r="V196" s="181">
        <v>42.462899999999998</v>
      </c>
      <c r="W196" s="180" t="s">
        <v>83</v>
      </c>
      <c r="X196" s="181">
        <v>42.425199999999997</v>
      </c>
      <c r="Y196" s="180" t="s">
        <v>83</v>
      </c>
      <c r="Z196" s="181" t="s">
        <v>349</v>
      </c>
    </row>
    <row r="197" spans="1:26" ht="15" x14ac:dyDescent="0.3">
      <c r="A197" s="179" t="s">
        <v>529</v>
      </c>
      <c r="B197" s="178" t="s">
        <v>83</v>
      </c>
      <c r="C197" s="180" t="s">
        <v>83</v>
      </c>
      <c r="D197" s="181">
        <v>4.3391000000000002</v>
      </c>
      <c r="E197" s="180" t="s">
        <v>83</v>
      </c>
      <c r="F197" s="181">
        <v>6.2215999999999996</v>
      </c>
      <c r="G197" s="180" t="s">
        <v>83</v>
      </c>
      <c r="H197" s="181">
        <v>8.7362000000000002</v>
      </c>
      <c r="I197" s="180" t="s">
        <v>83</v>
      </c>
      <c r="J197" s="181">
        <v>8.8877000000000006</v>
      </c>
      <c r="K197" s="180" t="s">
        <v>83</v>
      </c>
      <c r="L197" s="181">
        <v>11.235200000000001</v>
      </c>
      <c r="M197" s="180" t="s">
        <v>83</v>
      </c>
      <c r="N197" s="181">
        <v>11.586600000000001</v>
      </c>
      <c r="O197" s="180" t="s">
        <v>83</v>
      </c>
      <c r="P197" s="181">
        <v>14.784599999999999</v>
      </c>
      <c r="Q197" s="180" t="s">
        <v>83</v>
      </c>
      <c r="R197" s="181">
        <v>15.1656</v>
      </c>
      <c r="S197" s="180" t="s">
        <v>83</v>
      </c>
      <c r="T197" s="181">
        <v>15.242000000000001</v>
      </c>
      <c r="U197" s="180" t="s">
        <v>83</v>
      </c>
      <c r="V197" s="181">
        <v>15.4419</v>
      </c>
      <c r="W197" s="180" t="s">
        <v>83</v>
      </c>
      <c r="X197" s="181">
        <v>15.1943</v>
      </c>
      <c r="Y197" s="180" t="s">
        <v>83</v>
      </c>
      <c r="Z197" s="181" t="s">
        <v>349</v>
      </c>
    </row>
    <row r="198" spans="1:26" ht="15" x14ac:dyDescent="0.3">
      <c r="A198" s="179" t="s">
        <v>530</v>
      </c>
      <c r="B198" s="178" t="s">
        <v>83</v>
      </c>
      <c r="C198" s="180" t="s">
        <v>83</v>
      </c>
      <c r="D198" s="181">
        <v>19.010400000000001</v>
      </c>
      <c r="E198" s="180" t="s">
        <v>83</v>
      </c>
      <c r="F198" s="181">
        <v>55.207700000000003</v>
      </c>
      <c r="G198" s="180" t="s">
        <v>83</v>
      </c>
      <c r="H198" s="181">
        <v>59.195099999999996</v>
      </c>
      <c r="I198" s="180" t="s">
        <v>83</v>
      </c>
      <c r="J198" s="181">
        <v>110.1794</v>
      </c>
      <c r="K198" s="180" t="s">
        <v>83</v>
      </c>
      <c r="L198" s="181">
        <v>140.48259999999999</v>
      </c>
      <c r="M198" s="180" t="s">
        <v>83</v>
      </c>
      <c r="N198" s="181">
        <v>198.48849999999999</v>
      </c>
      <c r="O198" s="180" t="s">
        <v>83</v>
      </c>
      <c r="P198" s="181">
        <v>68.080600000000004</v>
      </c>
      <c r="Q198" s="180" t="s">
        <v>83</v>
      </c>
      <c r="R198" s="181">
        <v>64.256799999999998</v>
      </c>
      <c r="S198" s="180" t="s">
        <v>83</v>
      </c>
      <c r="T198" s="181">
        <v>66.812399999999997</v>
      </c>
      <c r="U198" s="180" t="s">
        <v>83</v>
      </c>
      <c r="V198" s="181">
        <v>62.919899999999998</v>
      </c>
      <c r="W198" s="180" t="s">
        <v>83</v>
      </c>
      <c r="X198" s="181">
        <v>54.938600000000001</v>
      </c>
      <c r="Y198" s="180" t="s">
        <v>83</v>
      </c>
      <c r="Z198" s="181" t="s">
        <v>349</v>
      </c>
    </row>
    <row r="199" spans="1:26" ht="15" x14ac:dyDescent="0.3">
      <c r="A199" s="179" t="s">
        <v>531</v>
      </c>
      <c r="B199" s="178" t="s">
        <v>83</v>
      </c>
      <c r="C199" s="180" t="s">
        <v>83</v>
      </c>
      <c r="D199" s="181">
        <v>73.124799999999993</v>
      </c>
      <c r="E199" s="180" t="s">
        <v>83</v>
      </c>
      <c r="F199" s="181">
        <v>182.29599999999999</v>
      </c>
      <c r="G199" s="180" t="s">
        <v>83</v>
      </c>
      <c r="H199" s="181">
        <v>245.26920000000001</v>
      </c>
      <c r="I199" s="180" t="s">
        <v>83</v>
      </c>
      <c r="J199" s="181">
        <v>300.48309999999998</v>
      </c>
      <c r="K199" s="180" t="s">
        <v>83</v>
      </c>
      <c r="L199" s="181">
        <v>333.44170000000003</v>
      </c>
      <c r="M199" s="180" t="s">
        <v>83</v>
      </c>
      <c r="N199" s="181">
        <v>307.49860000000001</v>
      </c>
      <c r="O199" s="180" t="s">
        <v>83</v>
      </c>
      <c r="P199" s="181">
        <v>289.66030000000001</v>
      </c>
      <c r="Q199" s="180" t="s">
        <v>83</v>
      </c>
      <c r="R199" s="181">
        <v>276.6103</v>
      </c>
      <c r="S199" s="180" t="s">
        <v>83</v>
      </c>
      <c r="T199" s="181">
        <v>277.0446</v>
      </c>
      <c r="U199" s="180" t="s">
        <v>83</v>
      </c>
      <c r="V199" s="181">
        <v>280.01459999999997</v>
      </c>
      <c r="W199" s="180" t="s">
        <v>83</v>
      </c>
      <c r="X199" s="181">
        <v>276.70249999999999</v>
      </c>
      <c r="Y199" s="180" t="s">
        <v>83</v>
      </c>
      <c r="Z199" s="181" t="s">
        <v>349</v>
      </c>
    </row>
    <row r="200" spans="1:26" ht="15" x14ac:dyDescent="0.3">
      <c r="A200" s="182" t="s">
        <v>532</v>
      </c>
      <c r="B200" s="178" t="s">
        <v>83</v>
      </c>
      <c r="C200" s="180" t="s">
        <v>83</v>
      </c>
      <c r="D200" s="181">
        <v>0</v>
      </c>
      <c r="E200" s="180" t="s">
        <v>83</v>
      </c>
      <c r="F200" s="181">
        <v>0</v>
      </c>
      <c r="G200" s="180" t="s">
        <v>83</v>
      </c>
      <c r="H200" s="181">
        <v>0</v>
      </c>
      <c r="I200" s="180" t="s">
        <v>83</v>
      </c>
      <c r="J200" s="181">
        <v>9.1595999999999993</v>
      </c>
      <c r="K200" s="180" t="s">
        <v>83</v>
      </c>
      <c r="L200" s="181">
        <v>13.773300000000001</v>
      </c>
      <c r="M200" s="180" t="s">
        <v>83</v>
      </c>
      <c r="N200" s="181">
        <v>17.259499999999999</v>
      </c>
      <c r="O200" s="180" t="s">
        <v>83</v>
      </c>
      <c r="P200" s="181">
        <v>33.222799999999999</v>
      </c>
      <c r="Q200" s="180" t="s">
        <v>83</v>
      </c>
      <c r="R200" s="181">
        <v>39.958500000000001</v>
      </c>
      <c r="S200" s="180" t="s">
        <v>83</v>
      </c>
      <c r="T200" s="181">
        <v>49.606400000000001</v>
      </c>
      <c r="U200" s="180" t="s">
        <v>83</v>
      </c>
      <c r="V200" s="181">
        <v>55.5197</v>
      </c>
      <c r="W200" s="180" t="s">
        <v>83</v>
      </c>
      <c r="X200" s="181">
        <v>58.449300000000001</v>
      </c>
      <c r="Y200" s="180" t="s">
        <v>83</v>
      </c>
      <c r="Z200" s="181" t="s">
        <v>349</v>
      </c>
    </row>
    <row r="201" spans="1:26" ht="15" x14ac:dyDescent="0.3">
      <c r="A201" s="179" t="s">
        <v>533</v>
      </c>
      <c r="B201" s="178" t="s">
        <v>83</v>
      </c>
      <c r="C201" s="180" t="s">
        <v>83</v>
      </c>
      <c r="D201" s="181">
        <v>54.134300000000003</v>
      </c>
      <c r="E201" s="180" t="s">
        <v>83</v>
      </c>
      <c r="F201" s="181">
        <v>72.739400000000003</v>
      </c>
      <c r="G201" s="180" t="s">
        <v>83</v>
      </c>
      <c r="H201" s="181">
        <v>86.282600000000002</v>
      </c>
      <c r="I201" s="180" t="s">
        <v>83</v>
      </c>
      <c r="J201" s="181">
        <v>102.01739999999999</v>
      </c>
      <c r="K201" s="180" t="s">
        <v>83</v>
      </c>
      <c r="L201" s="181">
        <v>135.92230000000001</v>
      </c>
      <c r="M201" s="180" t="s">
        <v>83</v>
      </c>
      <c r="N201" s="181">
        <v>161.7954</v>
      </c>
      <c r="O201" s="180" t="s">
        <v>83</v>
      </c>
      <c r="P201" s="181">
        <v>215.59219999999999</v>
      </c>
      <c r="Q201" s="180" t="s">
        <v>83</v>
      </c>
      <c r="R201" s="181">
        <v>212.3434</v>
      </c>
      <c r="S201" s="180" t="s">
        <v>83</v>
      </c>
      <c r="T201" s="181">
        <v>211.6412</v>
      </c>
      <c r="U201" s="180" t="s">
        <v>83</v>
      </c>
      <c r="V201" s="181">
        <v>213.38079999999999</v>
      </c>
      <c r="W201" s="180" t="s">
        <v>83</v>
      </c>
      <c r="X201" s="181">
        <v>221.43520000000001</v>
      </c>
      <c r="Y201" s="180" t="s">
        <v>83</v>
      </c>
      <c r="Z201" s="181" t="s">
        <v>349</v>
      </c>
    </row>
    <row r="202" spans="1:26" ht="15" x14ac:dyDescent="0.3">
      <c r="A202" s="179" t="s">
        <v>534</v>
      </c>
      <c r="B202" s="178" t="s">
        <v>83</v>
      </c>
      <c r="C202" s="180" t="s">
        <v>83</v>
      </c>
      <c r="D202" s="181">
        <v>150.75399999999999</v>
      </c>
      <c r="E202" s="180" t="s">
        <v>83</v>
      </c>
      <c r="F202" s="181">
        <v>219.2483</v>
      </c>
      <c r="G202" s="180" t="s">
        <v>83</v>
      </c>
      <c r="H202" s="181">
        <v>394.36450000000002</v>
      </c>
      <c r="I202" s="180" t="s">
        <v>83</v>
      </c>
      <c r="J202" s="181">
        <v>517.96879999999999</v>
      </c>
      <c r="K202" s="180" t="s">
        <v>83</v>
      </c>
      <c r="L202" s="181">
        <v>668.54570000000001</v>
      </c>
      <c r="M202" s="180" t="s">
        <v>83</v>
      </c>
      <c r="N202" s="181">
        <v>757.81449999999995</v>
      </c>
      <c r="O202" s="180" t="s">
        <v>83</v>
      </c>
      <c r="P202" s="181">
        <v>809.85820000000001</v>
      </c>
      <c r="Q202" s="180" t="s">
        <v>83</v>
      </c>
      <c r="R202" s="181">
        <v>829.26980000000003</v>
      </c>
      <c r="S202" s="180" t="s">
        <v>83</v>
      </c>
      <c r="T202" s="181">
        <v>825.98130000000003</v>
      </c>
      <c r="U202" s="180" t="s">
        <v>83</v>
      </c>
      <c r="V202" s="181">
        <v>848.53470000000004</v>
      </c>
      <c r="W202" s="180" t="s">
        <v>83</v>
      </c>
      <c r="X202" s="181">
        <v>868.07420000000002</v>
      </c>
      <c r="Y202" s="180" t="s">
        <v>83</v>
      </c>
      <c r="Z202" s="181" t="s">
        <v>349</v>
      </c>
    </row>
    <row r="203" spans="1:26" ht="15" x14ac:dyDescent="0.3">
      <c r="A203" s="182" t="s">
        <v>535</v>
      </c>
      <c r="B203" s="178" t="s">
        <v>83</v>
      </c>
      <c r="C203" s="180" t="s">
        <v>83</v>
      </c>
      <c r="D203" s="181">
        <v>1.6800999999999999</v>
      </c>
      <c r="E203" s="180" t="s">
        <v>83</v>
      </c>
      <c r="F203" s="181">
        <v>1.0783</v>
      </c>
      <c r="G203" s="180" t="s">
        <v>83</v>
      </c>
      <c r="H203" s="181">
        <v>1.2629999999999999</v>
      </c>
      <c r="I203" s="180" t="s">
        <v>83</v>
      </c>
      <c r="J203" s="181">
        <v>1.9489000000000001</v>
      </c>
      <c r="K203" s="180" t="s">
        <v>83</v>
      </c>
      <c r="L203" s="181">
        <v>2.3069999999999999</v>
      </c>
      <c r="M203" s="180" t="s">
        <v>83</v>
      </c>
      <c r="N203" s="181">
        <v>2.4939</v>
      </c>
      <c r="O203" s="180" t="s">
        <v>83</v>
      </c>
      <c r="P203" s="181">
        <v>3.2844000000000002</v>
      </c>
      <c r="Q203" s="180" t="s">
        <v>83</v>
      </c>
      <c r="R203" s="181">
        <v>3.3191000000000002</v>
      </c>
      <c r="S203" s="180" t="s">
        <v>83</v>
      </c>
      <c r="T203" s="181">
        <v>4.9958</v>
      </c>
      <c r="U203" s="180" t="s">
        <v>83</v>
      </c>
      <c r="V203" s="181">
        <v>5.1022999999999996</v>
      </c>
      <c r="W203" s="180" t="s">
        <v>83</v>
      </c>
      <c r="X203" s="181">
        <v>5.4333</v>
      </c>
      <c r="Y203" s="180" t="s">
        <v>83</v>
      </c>
      <c r="Z203" s="181" t="s">
        <v>349</v>
      </c>
    </row>
    <row r="204" spans="1:26" ht="15" x14ac:dyDescent="0.3">
      <c r="A204" s="179" t="s">
        <v>536</v>
      </c>
      <c r="B204" s="178" t="s">
        <v>83</v>
      </c>
      <c r="C204" s="180" t="s">
        <v>83</v>
      </c>
      <c r="D204" s="181">
        <v>7.7257999999999996</v>
      </c>
      <c r="E204" s="180" t="s">
        <v>83</v>
      </c>
      <c r="F204" s="181">
        <v>8.0212000000000003</v>
      </c>
      <c r="G204" s="180" t="s">
        <v>83</v>
      </c>
      <c r="H204" s="181">
        <v>14.8582</v>
      </c>
      <c r="I204" s="180" t="s">
        <v>83</v>
      </c>
      <c r="J204" s="181">
        <v>16.651700000000002</v>
      </c>
      <c r="K204" s="180" t="s">
        <v>83</v>
      </c>
      <c r="L204" s="181">
        <v>16.663499999999999</v>
      </c>
      <c r="M204" s="180" t="s">
        <v>83</v>
      </c>
      <c r="N204" s="181">
        <v>23.659300000000002</v>
      </c>
      <c r="O204" s="180" t="s">
        <v>83</v>
      </c>
      <c r="P204" s="181">
        <v>31.0474</v>
      </c>
      <c r="Q204" s="180" t="s">
        <v>83</v>
      </c>
      <c r="R204" s="181">
        <v>27.8538</v>
      </c>
      <c r="S204" s="180" t="s">
        <v>83</v>
      </c>
      <c r="T204" s="181">
        <v>31.479399999999998</v>
      </c>
      <c r="U204" s="180" t="s">
        <v>83</v>
      </c>
      <c r="V204" s="181">
        <v>26.893899999999999</v>
      </c>
      <c r="W204" s="180" t="s">
        <v>83</v>
      </c>
      <c r="X204" s="181">
        <v>27.7789</v>
      </c>
      <c r="Y204" s="180" t="s">
        <v>83</v>
      </c>
      <c r="Z204" s="181" t="s">
        <v>349</v>
      </c>
    </row>
    <row r="205" spans="1:26" ht="15" x14ac:dyDescent="0.3">
      <c r="A205" s="179" t="s">
        <v>537</v>
      </c>
      <c r="B205" s="178" t="s">
        <v>83</v>
      </c>
      <c r="C205" s="180" t="s">
        <v>83</v>
      </c>
      <c r="D205" s="181">
        <v>0.36359999999999998</v>
      </c>
      <c r="E205" s="180" t="s">
        <v>83</v>
      </c>
      <c r="F205" s="181">
        <v>0.50070000000000003</v>
      </c>
      <c r="G205" s="180" t="s">
        <v>83</v>
      </c>
      <c r="H205" s="181">
        <v>0.31430000000000002</v>
      </c>
      <c r="I205" s="180" t="s">
        <v>83</v>
      </c>
      <c r="J205" s="181">
        <v>0.44280000000000003</v>
      </c>
      <c r="K205" s="180" t="s">
        <v>83</v>
      </c>
      <c r="L205" s="181">
        <v>0.47289999999999999</v>
      </c>
      <c r="M205" s="180" t="s">
        <v>83</v>
      </c>
      <c r="N205" s="181">
        <v>1.252</v>
      </c>
      <c r="O205" s="180" t="s">
        <v>83</v>
      </c>
      <c r="P205" s="181">
        <v>2.9317000000000002</v>
      </c>
      <c r="Q205" s="180" t="s">
        <v>83</v>
      </c>
      <c r="R205" s="181">
        <v>3.1164000000000001</v>
      </c>
      <c r="S205" s="180" t="s">
        <v>83</v>
      </c>
      <c r="T205" s="181">
        <v>3.3086000000000002</v>
      </c>
      <c r="U205" s="180" t="s">
        <v>83</v>
      </c>
      <c r="V205" s="181">
        <v>3.5144000000000002</v>
      </c>
      <c r="W205" s="180" t="s">
        <v>83</v>
      </c>
      <c r="X205" s="181">
        <v>3.7214999999999998</v>
      </c>
      <c r="Y205" s="180" t="s">
        <v>83</v>
      </c>
      <c r="Z205" s="181" t="s">
        <v>349</v>
      </c>
    </row>
    <row r="206" spans="1:26" ht="15" x14ac:dyDescent="0.3">
      <c r="A206" s="179" t="s">
        <v>538</v>
      </c>
      <c r="B206" s="178" t="s">
        <v>83</v>
      </c>
      <c r="C206" s="180" t="s">
        <v>83</v>
      </c>
      <c r="D206" s="181">
        <v>30.086099999999998</v>
      </c>
      <c r="E206" s="180" t="s">
        <v>83</v>
      </c>
      <c r="F206" s="181">
        <v>24.061199999999999</v>
      </c>
      <c r="G206" s="180" t="s">
        <v>83</v>
      </c>
      <c r="H206" s="181">
        <v>13.6097</v>
      </c>
      <c r="I206" s="180" t="s">
        <v>83</v>
      </c>
      <c r="J206" s="181">
        <v>23.545100000000001</v>
      </c>
      <c r="K206" s="180" t="s">
        <v>83</v>
      </c>
      <c r="L206" s="181">
        <v>29.736499999999999</v>
      </c>
      <c r="M206" s="180" t="s">
        <v>83</v>
      </c>
      <c r="N206" s="181">
        <v>27.764299999999999</v>
      </c>
      <c r="O206" s="180" t="s">
        <v>83</v>
      </c>
      <c r="P206" s="181">
        <v>27.4725</v>
      </c>
      <c r="Q206" s="180" t="s">
        <v>83</v>
      </c>
      <c r="R206" s="181">
        <v>25.857600000000001</v>
      </c>
      <c r="S206" s="180" t="s">
        <v>83</v>
      </c>
      <c r="T206" s="181">
        <v>24.659800000000001</v>
      </c>
      <c r="U206" s="180" t="s">
        <v>83</v>
      </c>
      <c r="V206" s="181">
        <v>23.304500000000001</v>
      </c>
      <c r="W206" s="180" t="s">
        <v>83</v>
      </c>
      <c r="X206" s="181">
        <v>21.918399999999998</v>
      </c>
      <c r="Y206" s="180" t="s">
        <v>83</v>
      </c>
      <c r="Z206" s="181" t="s">
        <v>349</v>
      </c>
    </row>
    <row r="207" spans="1:26" ht="15" x14ac:dyDescent="0.3">
      <c r="A207" s="179" t="s">
        <v>539</v>
      </c>
      <c r="B207" s="178" t="s">
        <v>83</v>
      </c>
      <c r="C207" s="180" t="s">
        <v>83</v>
      </c>
      <c r="D207" s="181">
        <v>17.7485</v>
      </c>
      <c r="E207" s="180" t="s">
        <v>83</v>
      </c>
      <c r="F207" s="181">
        <v>38.9983</v>
      </c>
      <c r="G207" s="180" t="s">
        <v>83</v>
      </c>
      <c r="H207" s="181">
        <v>43.248800000000003</v>
      </c>
      <c r="I207" s="180" t="s">
        <v>83</v>
      </c>
      <c r="J207" s="181">
        <v>70.992500000000007</v>
      </c>
      <c r="K207" s="180" t="s">
        <v>83</v>
      </c>
      <c r="L207" s="181">
        <v>77.710899999999995</v>
      </c>
      <c r="M207" s="180" t="s">
        <v>83</v>
      </c>
      <c r="N207" s="181">
        <v>93.890100000000004</v>
      </c>
      <c r="O207" s="180" t="s">
        <v>83</v>
      </c>
      <c r="P207" s="181">
        <v>99.186300000000003</v>
      </c>
      <c r="Q207" s="180" t="s">
        <v>83</v>
      </c>
      <c r="R207" s="181">
        <v>100.2261</v>
      </c>
      <c r="S207" s="180" t="s">
        <v>83</v>
      </c>
      <c r="T207" s="181">
        <v>98.511099999999999</v>
      </c>
      <c r="U207" s="180" t="s">
        <v>83</v>
      </c>
      <c r="V207" s="181">
        <v>91.0548</v>
      </c>
      <c r="W207" s="180" t="s">
        <v>83</v>
      </c>
      <c r="X207" s="181">
        <v>91.224599999999995</v>
      </c>
      <c r="Y207" s="180" t="s">
        <v>83</v>
      </c>
      <c r="Z207" s="181" t="s">
        <v>349</v>
      </c>
    </row>
    <row r="208" spans="1:26" ht="15" x14ac:dyDescent="0.3">
      <c r="A208" s="182" t="s">
        <v>540</v>
      </c>
      <c r="B208" s="178" t="s">
        <v>83</v>
      </c>
      <c r="C208" s="180" t="s">
        <v>83</v>
      </c>
      <c r="D208" s="181">
        <v>0</v>
      </c>
      <c r="E208" s="180" t="s">
        <v>83</v>
      </c>
      <c r="F208" s="181">
        <v>0</v>
      </c>
      <c r="G208" s="180" t="s">
        <v>83</v>
      </c>
      <c r="H208" s="181">
        <v>0</v>
      </c>
      <c r="I208" s="180" t="s">
        <v>83</v>
      </c>
      <c r="J208" s="181">
        <v>34.003999999999998</v>
      </c>
      <c r="K208" s="180" t="s">
        <v>83</v>
      </c>
      <c r="L208" s="181">
        <v>45.740200000000002</v>
      </c>
      <c r="M208" s="180" t="s">
        <v>83</v>
      </c>
      <c r="N208" s="181">
        <v>51.601199999999999</v>
      </c>
      <c r="O208" s="180" t="s">
        <v>83</v>
      </c>
      <c r="P208" s="181">
        <v>72.695099999999996</v>
      </c>
      <c r="Q208" s="180" t="s">
        <v>83</v>
      </c>
      <c r="R208" s="181">
        <v>74.2864</v>
      </c>
      <c r="S208" s="180" t="s">
        <v>83</v>
      </c>
      <c r="T208" s="181">
        <v>74.126400000000004</v>
      </c>
      <c r="U208" s="180" t="s">
        <v>83</v>
      </c>
      <c r="V208" s="181">
        <v>75.696899999999999</v>
      </c>
      <c r="W208" s="180" t="s">
        <v>83</v>
      </c>
      <c r="X208" s="181">
        <v>82.781999999999996</v>
      </c>
      <c r="Y208" s="180" t="s">
        <v>83</v>
      </c>
      <c r="Z208" s="181" t="s">
        <v>349</v>
      </c>
    </row>
    <row r="209" spans="1:26" ht="15" x14ac:dyDescent="0.3">
      <c r="A209" s="179" t="s">
        <v>541</v>
      </c>
      <c r="B209" s="178" t="s">
        <v>83</v>
      </c>
      <c r="C209" s="180" t="s">
        <v>83</v>
      </c>
      <c r="D209" s="181">
        <v>3.8E-3</v>
      </c>
      <c r="E209" s="180" t="s">
        <v>83</v>
      </c>
      <c r="F209" s="181">
        <v>3.5999999999999999E-3</v>
      </c>
      <c r="G209" s="180" t="s">
        <v>83</v>
      </c>
      <c r="H209" s="181">
        <v>3.0999999999999999E-3</v>
      </c>
      <c r="I209" s="180" t="s">
        <v>83</v>
      </c>
      <c r="J209" s="181">
        <v>5.7999999999999996E-3</v>
      </c>
      <c r="K209" s="180" t="s">
        <v>83</v>
      </c>
      <c r="L209" s="181">
        <v>2.6499999999999999E-2</v>
      </c>
      <c r="M209" s="180" t="s">
        <v>83</v>
      </c>
      <c r="N209" s="181">
        <v>6.6100000000000006E-2</v>
      </c>
      <c r="O209" s="180" t="s">
        <v>83</v>
      </c>
      <c r="P209" s="181">
        <v>4.6199999999999998E-2</v>
      </c>
      <c r="Q209" s="180" t="s">
        <v>83</v>
      </c>
      <c r="R209" s="181">
        <v>4.7199999999999999E-2</v>
      </c>
      <c r="S209" s="180" t="s">
        <v>83</v>
      </c>
      <c r="T209" s="181">
        <v>4.41E-2</v>
      </c>
      <c r="U209" s="180" t="s">
        <v>83</v>
      </c>
      <c r="V209" s="181">
        <v>4.4999999999999998E-2</v>
      </c>
      <c r="W209" s="180" t="s">
        <v>83</v>
      </c>
      <c r="X209" s="181">
        <v>4.7199999999999999E-2</v>
      </c>
      <c r="Y209" s="180" t="s">
        <v>83</v>
      </c>
      <c r="Z209" s="181" t="s">
        <v>349</v>
      </c>
    </row>
    <row r="210" spans="1:26" ht="15" x14ac:dyDescent="0.3">
      <c r="A210" s="179" t="s">
        <v>542</v>
      </c>
      <c r="B210" s="178" t="s">
        <v>83</v>
      </c>
      <c r="C210" s="180" t="s">
        <v>83</v>
      </c>
      <c r="D210" s="181">
        <v>7.6E-3</v>
      </c>
      <c r="E210" s="180" t="s">
        <v>83</v>
      </c>
      <c r="F210" s="181">
        <v>1.46E-2</v>
      </c>
      <c r="G210" s="180" t="s">
        <v>83</v>
      </c>
      <c r="H210" s="181">
        <v>6.3E-3</v>
      </c>
      <c r="I210" s="180" t="s">
        <v>83</v>
      </c>
      <c r="J210" s="181">
        <v>8.3000000000000001E-3</v>
      </c>
      <c r="K210" s="180" t="s">
        <v>83</v>
      </c>
      <c r="L210" s="181">
        <v>8.5000000000000006E-3</v>
      </c>
      <c r="M210" s="180" t="s">
        <v>83</v>
      </c>
      <c r="N210" s="181">
        <v>1.4E-3</v>
      </c>
      <c r="O210" s="180" t="s">
        <v>83</v>
      </c>
      <c r="P210" s="181">
        <v>7.4999999999999997E-3</v>
      </c>
      <c r="Q210" s="180" t="s">
        <v>83</v>
      </c>
      <c r="R210" s="181">
        <v>6.7000000000000002E-3</v>
      </c>
      <c r="S210" s="180" t="s">
        <v>83</v>
      </c>
      <c r="T210" s="181">
        <v>9.7000000000000003E-3</v>
      </c>
      <c r="U210" s="180" t="s">
        <v>83</v>
      </c>
      <c r="V210" s="181">
        <v>7.4999999999999997E-3</v>
      </c>
      <c r="W210" s="180" t="s">
        <v>83</v>
      </c>
      <c r="X210" s="181">
        <v>6.1999999999999998E-3</v>
      </c>
      <c r="Y210" s="180" t="s">
        <v>83</v>
      </c>
      <c r="Z210" s="181" t="s">
        <v>349</v>
      </c>
    </row>
    <row r="211" spans="1:26" ht="15" x14ac:dyDescent="0.3">
      <c r="A211" s="179" t="s">
        <v>543</v>
      </c>
      <c r="B211" s="178" t="s">
        <v>83</v>
      </c>
      <c r="C211" s="180" t="s">
        <v>83</v>
      </c>
      <c r="D211" s="181">
        <v>51.131700000000002</v>
      </c>
      <c r="E211" s="180" t="s">
        <v>83</v>
      </c>
      <c r="F211" s="181">
        <v>47.347299999999997</v>
      </c>
      <c r="G211" s="180" t="s">
        <v>83</v>
      </c>
      <c r="H211" s="181">
        <v>59.6038</v>
      </c>
      <c r="I211" s="180" t="s">
        <v>83</v>
      </c>
      <c r="J211" s="181">
        <v>80.953800000000001</v>
      </c>
      <c r="K211" s="180" t="s">
        <v>83</v>
      </c>
      <c r="L211" s="181">
        <v>95.028400000000005</v>
      </c>
      <c r="M211" s="180" t="s">
        <v>83</v>
      </c>
      <c r="N211" s="181">
        <v>110.55159999999999</v>
      </c>
      <c r="O211" s="180" t="s">
        <v>83</v>
      </c>
      <c r="P211" s="181">
        <v>128.21299999999999</v>
      </c>
      <c r="Q211" s="180" t="s">
        <v>83</v>
      </c>
      <c r="R211" s="181">
        <v>131.43940000000001</v>
      </c>
      <c r="S211" s="180" t="s">
        <v>83</v>
      </c>
      <c r="T211" s="181">
        <v>133.4726</v>
      </c>
      <c r="U211" s="180" t="s">
        <v>83</v>
      </c>
      <c r="V211" s="181">
        <v>137.8331</v>
      </c>
      <c r="W211" s="180" t="s">
        <v>83</v>
      </c>
      <c r="X211" s="181">
        <v>141.35509999999999</v>
      </c>
      <c r="Y211" s="180" t="s">
        <v>83</v>
      </c>
      <c r="Z211" s="181" t="s">
        <v>349</v>
      </c>
    </row>
    <row r="212" spans="1:26" ht="15" x14ac:dyDescent="0.3">
      <c r="A212" s="179" t="s">
        <v>544</v>
      </c>
      <c r="B212" s="178" t="s">
        <v>83</v>
      </c>
      <c r="C212" s="180" t="s">
        <v>83</v>
      </c>
      <c r="D212" s="181">
        <v>0</v>
      </c>
      <c r="E212" s="180" t="s">
        <v>83</v>
      </c>
      <c r="F212" s="181">
        <v>0</v>
      </c>
      <c r="G212" s="180" t="s">
        <v>83</v>
      </c>
      <c r="H212" s="181">
        <v>0</v>
      </c>
      <c r="I212" s="180" t="s">
        <v>83</v>
      </c>
      <c r="J212" s="181">
        <v>340.76139999999998</v>
      </c>
      <c r="K212" s="180" t="s">
        <v>83</v>
      </c>
      <c r="L212" s="181">
        <v>441.88659999999999</v>
      </c>
      <c r="M212" s="180" t="s">
        <v>83</v>
      </c>
      <c r="N212" s="181">
        <v>487.4597</v>
      </c>
      <c r="O212" s="180" t="s">
        <v>83</v>
      </c>
      <c r="P212" s="181">
        <v>437.6071</v>
      </c>
      <c r="Q212" s="180" t="s">
        <v>83</v>
      </c>
      <c r="R212" s="181">
        <v>484.70139999999998</v>
      </c>
      <c r="S212" s="180" t="s">
        <v>83</v>
      </c>
      <c r="T212" s="181">
        <v>483.40159999999997</v>
      </c>
      <c r="U212" s="180" t="s">
        <v>83</v>
      </c>
      <c r="V212" s="181">
        <v>551.41390000000001</v>
      </c>
      <c r="W212" s="180" t="s">
        <v>83</v>
      </c>
      <c r="X212" s="181">
        <v>554.10410000000002</v>
      </c>
      <c r="Y212" s="180" t="s">
        <v>83</v>
      </c>
      <c r="Z212" s="181" t="s">
        <v>349</v>
      </c>
    </row>
    <row r="213" spans="1:26" ht="15" x14ac:dyDescent="0.3">
      <c r="A213" s="179" t="s">
        <v>545</v>
      </c>
      <c r="B213" s="178" t="s">
        <v>83</v>
      </c>
      <c r="C213" s="180" t="s">
        <v>83</v>
      </c>
      <c r="D213" s="181">
        <v>0.88349999999999995</v>
      </c>
      <c r="E213" s="180" t="s">
        <v>83</v>
      </c>
      <c r="F213" s="181">
        <v>21.9863</v>
      </c>
      <c r="G213" s="180" t="s">
        <v>83</v>
      </c>
      <c r="H213" s="181">
        <v>50.0702</v>
      </c>
      <c r="I213" s="180" t="s">
        <v>83</v>
      </c>
      <c r="J213" s="181">
        <v>106.3824</v>
      </c>
      <c r="K213" s="180" t="s">
        <v>83</v>
      </c>
      <c r="L213" s="181">
        <v>171.77350000000001</v>
      </c>
      <c r="M213" s="180" t="s">
        <v>83</v>
      </c>
      <c r="N213" s="181">
        <v>239.3064</v>
      </c>
      <c r="O213" s="180" t="s">
        <v>83</v>
      </c>
      <c r="P213" s="181">
        <v>219.45930000000001</v>
      </c>
      <c r="Q213" s="180" t="s">
        <v>83</v>
      </c>
      <c r="R213" s="181">
        <v>249.15090000000001</v>
      </c>
      <c r="S213" s="180" t="s">
        <v>83</v>
      </c>
      <c r="T213" s="181">
        <v>279.77440000000001</v>
      </c>
      <c r="U213" s="180" t="s">
        <v>83</v>
      </c>
      <c r="V213" s="181">
        <v>232.30549999999999</v>
      </c>
      <c r="W213" s="180" t="s">
        <v>83</v>
      </c>
      <c r="X213" s="181">
        <v>249.50139999999999</v>
      </c>
      <c r="Y213" s="180" t="s">
        <v>83</v>
      </c>
      <c r="Z213" s="181" t="s">
        <v>349</v>
      </c>
    </row>
    <row r="214" spans="1:26" ht="15" x14ac:dyDescent="0.3">
      <c r="A214" s="179" t="s">
        <v>546</v>
      </c>
      <c r="B214" s="178" t="s">
        <v>83</v>
      </c>
      <c r="C214" s="180" t="s">
        <v>83</v>
      </c>
      <c r="D214" s="181">
        <v>50.8187</v>
      </c>
      <c r="E214" s="180" t="s">
        <v>83</v>
      </c>
      <c r="F214" s="181">
        <v>63.774299999999997</v>
      </c>
      <c r="G214" s="180" t="s">
        <v>83</v>
      </c>
      <c r="H214" s="181">
        <v>54.5197</v>
      </c>
      <c r="I214" s="180" t="s">
        <v>83</v>
      </c>
      <c r="J214" s="181">
        <v>112.4954</v>
      </c>
      <c r="K214" s="180" t="s">
        <v>83</v>
      </c>
      <c r="L214" s="181">
        <v>138.59280000000001</v>
      </c>
      <c r="M214" s="180" t="s">
        <v>83</v>
      </c>
      <c r="N214" s="181">
        <v>137.2741</v>
      </c>
      <c r="O214" s="180" t="s">
        <v>83</v>
      </c>
      <c r="P214" s="181">
        <v>75.714699999999993</v>
      </c>
      <c r="Q214" s="180" t="s">
        <v>83</v>
      </c>
      <c r="R214" s="181">
        <v>73.578299999999999</v>
      </c>
      <c r="S214" s="180" t="s">
        <v>83</v>
      </c>
      <c r="T214" s="181">
        <v>66.442700000000002</v>
      </c>
      <c r="U214" s="180" t="s">
        <v>83</v>
      </c>
      <c r="V214" s="181">
        <v>70.286199999999994</v>
      </c>
      <c r="W214" s="180" t="s">
        <v>83</v>
      </c>
      <c r="X214" s="181">
        <v>63.308700000000002</v>
      </c>
      <c r="Y214" s="180" t="s">
        <v>83</v>
      </c>
      <c r="Z214" s="181" t="s">
        <v>349</v>
      </c>
    </row>
    <row r="215" spans="1:26" ht="15" x14ac:dyDescent="0.3">
      <c r="A215" s="182" t="s">
        <v>547</v>
      </c>
      <c r="B215" s="178" t="s">
        <v>83</v>
      </c>
      <c r="C215" s="180" t="s">
        <v>83</v>
      </c>
      <c r="D215" s="181">
        <v>0</v>
      </c>
      <c r="E215" s="180" t="s">
        <v>83</v>
      </c>
      <c r="F215" s="181">
        <v>0</v>
      </c>
      <c r="G215" s="180" t="s">
        <v>83</v>
      </c>
      <c r="H215" s="181">
        <v>0</v>
      </c>
      <c r="I215" s="180" t="s">
        <v>83</v>
      </c>
      <c r="J215" s="181">
        <v>206.94730000000001</v>
      </c>
      <c r="K215" s="180" t="s">
        <v>83</v>
      </c>
      <c r="L215" s="181">
        <v>221.29810000000001</v>
      </c>
      <c r="M215" s="180" t="s">
        <v>83</v>
      </c>
      <c r="N215" s="181">
        <v>230.37860000000001</v>
      </c>
      <c r="O215" s="180" t="s">
        <v>83</v>
      </c>
      <c r="P215" s="181">
        <v>284.06490000000002</v>
      </c>
      <c r="Q215" s="180" t="s">
        <v>83</v>
      </c>
      <c r="R215" s="181">
        <v>310.36770000000001</v>
      </c>
      <c r="S215" s="180" t="s">
        <v>83</v>
      </c>
      <c r="T215" s="181">
        <v>290.68720000000002</v>
      </c>
      <c r="U215" s="180" t="s">
        <v>83</v>
      </c>
      <c r="V215" s="181">
        <v>319.2296</v>
      </c>
      <c r="W215" s="180" t="s">
        <v>83</v>
      </c>
      <c r="X215" s="181">
        <v>327.68630000000002</v>
      </c>
      <c r="Y215" s="180" t="s">
        <v>83</v>
      </c>
      <c r="Z215" s="181" t="s">
        <v>349</v>
      </c>
    </row>
    <row r="216" spans="1:26" ht="15" x14ac:dyDescent="0.3">
      <c r="A216" s="179" t="s">
        <v>548</v>
      </c>
      <c r="B216" s="178" t="s">
        <v>83</v>
      </c>
      <c r="C216" s="180" t="s">
        <v>83</v>
      </c>
      <c r="D216" s="181">
        <v>1.1652</v>
      </c>
      <c r="E216" s="180" t="s">
        <v>83</v>
      </c>
      <c r="F216" s="181">
        <v>1.4160999999999999</v>
      </c>
      <c r="G216" s="180" t="s">
        <v>83</v>
      </c>
      <c r="H216" s="181">
        <v>1.8573</v>
      </c>
      <c r="I216" s="180" t="s">
        <v>83</v>
      </c>
      <c r="J216" s="181">
        <v>1.6701999999999999</v>
      </c>
      <c r="K216" s="180" t="s">
        <v>83</v>
      </c>
      <c r="L216" s="181">
        <v>1.9073</v>
      </c>
      <c r="M216" s="180" t="s">
        <v>83</v>
      </c>
      <c r="N216" s="181">
        <v>2.4032</v>
      </c>
      <c r="O216" s="180" t="s">
        <v>83</v>
      </c>
      <c r="P216" s="181">
        <v>2.2023999999999999</v>
      </c>
      <c r="Q216" s="180" t="s">
        <v>83</v>
      </c>
      <c r="R216" s="181">
        <v>2.8647</v>
      </c>
      <c r="S216" s="180" t="s">
        <v>83</v>
      </c>
      <c r="T216" s="181">
        <v>2.6232000000000002</v>
      </c>
      <c r="U216" s="180" t="s">
        <v>83</v>
      </c>
      <c r="V216" s="181">
        <v>2.3283999999999998</v>
      </c>
      <c r="W216" s="180" t="s">
        <v>83</v>
      </c>
      <c r="X216" s="181">
        <v>2.3814000000000002</v>
      </c>
      <c r="Y216" s="180" t="s">
        <v>83</v>
      </c>
      <c r="Z216" s="181" t="s">
        <v>349</v>
      </c>
    </row>
    <row r="217" spans="1:26" ht="15" x14ac:dyDescent="0.3">
      <c r="A217" s="179" t="s">
        <v>549</v>
      </c>
      <c r="B217" s="178" t="s">
        <v>83</v>
      </c>
      <c r="C217" s="180" t="s">
        <v>83</v>
      </c>
      <c r="D217" s="181">
        <v>142.08199999999999</v>
      </c>
      <c r="E217" s="180" t="s">
        <v>83</v>
      </c>
      <c r="F217" s="181">
        <v>184.37710000000001</v>
      </c>
      <c r="G217" s="180" t="s">
        <v>83</v>
      </c>
      <c r="H217" s="181">
        <v>189.34829999999999</v>
      </c>
      <c r="I217" s="180" t="s">
        <v>83</v>
      </c>
      <c r="J217" s="181">
        <v>311.97379999999998</v>
      </c>
      <c r="K217" s="180" t="s">
        <v>83</v>
      </c>
      <c r="L217" s="181">
        <v>303.73860000000002</v>
      </c>
      <c r="M217" s="180" t="s">
        <v>83</v>
      </c>
      <c r="N217" s="181">
        <v>278.54079999999999</v>
      </c>
      <c r="O217" s="180" t="s">
        <v>83</v>
      </c>
      <c r="P217" s="181">
        <v>267.58229999999998</v>
      </c>
      <c r="Q217" s="180" t="s">
        <v>83</v>
      </c>
      <c r="R217" s="181">
        <v>235.1858</v>
      </c>
      <c r="S217" s="180" t="s">
        <v>83</v>
      </c>
      <c r="T217" s="181">
        <v>233.7346</v>
      </c>
      <c r="U217" s="180" t="s">
        <v>83</v>
      </c>
      <c r="V217" s="181">
        <v>210.21629999999999</v>
      </c>
      <c r="W217" s="180" t="s">
        <v>83</v>
      </c>
      <c r="X217" s="181">
        <v>225.2636</v>
      </c>
      <c r="Y217" s="180" t="s">
        <v>83</v>
      </c>
      <c r="Z217" s="181" t="s">
        <v>349</v>
      </c>
    </row>
    <row r="218" spans="1:26" ht="15" x14ac:dyDescent="0.3">
      <c r="A218" s="179" t="s">
        <v>550</v>
      </c>
      <c r="B218" s="178" t="s">
        <v>83</v>
      </c>
      <c r="C218" s="180" t="s">
        <v>83</v>
      </c>
      <c r="D218" s="181">
        <v>76.595600000000005</v>
      </c>
      <c r="E218" s="180" t="s">
        <v>83</v>
      </c>
      <c r="F218" s="181">
        <v>96.843599999999995</v>
      </c>
      <c r="G218" s="180" t="s">
        <v>83</v>
      </c>
      <c r="H218" s="181">
        <v>145.7073</v>
      </c>
      <c r="I218" s="180" t="s">
        <v>83</v>
      </c>
      <c r="J218" s="181">
        <v>308.28530000000001</v>
      </c>
      <c r="K218" s="180" t="s">
        <v>83</v>
      </c>
      <c r="L218" s="181">
        <v>688.54510000000005</v>
      </c>
      <c r="M218" s="180" t="s">
        <v>83</v>
      </c>
      <c r="N218" s="181">
        <v>937.9529</v>
      </c>
      <c r="O218" s="180" t="s">
        <v>83</v>
      </c>
      <c r="P218" s="181">
        <v>1165.6679999999999</v>
      </c>
      <c r="Q218" s="180" t="s">
        <v>83</v>
      </c>
      <c r="R218" s="181">
        <v>855.6617</v>
      </c>
      <c r="S218" s="180" t="s">
        <v>83</v>
      </c>
      <c r="T218" s="181">
        <v>842.60429999999997</v>
      </c>
      <c r="U218" s="180" t="s">
        <v>83</v>
      </c>
      <c r="V218" s="181">
        <v>871.06700000000001</v>
      </c>
      <c r="W218" s="180" t="s">
        <v>83</v>
      </c>
      <c r="X218" s="181">
        <v>893.52189999999996</v>
      </c>
      <c r="Y218" s="180" t="s">
        <v>83</v>
      </c>
      <c r="Z218" s="181" t="s">
        <v>349</v>
      </c>
    </row>
    <row r="219" spans="1:26" ht="15" x14ac:dyDescent="0.3">
      <c r="A219" s="182" t="s">
        <v>551</v>
      </c>
      <c r="B219" s="178" t="s">
        <v>83</v>
      </c>
      <c r="C219" s="180" t="s">
        <v>83</v>
      </c>
      <c r="D219" s="181">
        <v>9.5930999999999997</v>
      </c>
      <c r="E219" s="180" t="s">
        <v>83</v>
      </c>
      <c r="F219" s="181">
        <v>12.6036</v>
      </c>
      <c r="G219" s="180" t="s">
        <v>83</v>
      </c>
      <c r="H219" s="181">
        <v>21.337900000000001</v>
      </c>
      <c r="I219" s="180" t="s">
        <v>83</v>
      </c>
      <c r="J219" s="181">
        <v>39.3874</v>
      </c>
      <c r="K219" s="180" t="s">
        <v>83</v>
      </c>
      <c r="L219" s="181">
        <v>53.837899999999998</v>
      </c>
      <c r="M219" s="180" t="s">
        <v>83</v>
      </c>
      <c r="N219" s="181">
        <v>68.785700000000006</v>
      </c>
      <c r="O219" s="180" t="s">
        <v>83</v>
      </c>
      <c r="P219" s="181">
        <v>49.679200000000002</v>
      </c>
      <c r="Q219" s="180" t="s">
        <v>83</v>
      </c>
      <c r="R219" s="181">
        <v>39.568899999999999</v>
      </c>
      <c r="S219" s="180" t="s">
        <v>83</v>
      </c>
      <c r="T219" s="181">
        <v>36.822800000000001</v>
      </c>
      <c r="U219" s="180" t="s">
        <v>83</v>
      </c>
      <c r="V219" s="181">
        <v>36.317100000000003</v>
      </c>
      <c r="W219" s="180" t="s">
        <v>83</v>
      </c>
      <c r="X219" s="181">
        <v>35.095700000000001</v>
      </c>
      <c r="Y219" s="180" t="s">
        <v>83</v>
      </c>
      <c r="Z219" s="181" t="s">
        <v>349</v>
      </c>
    </row>
    <row r="220" spans="1:26" ht="15" x14ac:dyDescent="0.3">
      <c r="A220" s="179" t="s">
        <v>552</v>
      </c>
      <c r="B220" s="178" t="s">
        <v>83</v>
      </c>
      <c r="C220" s="180" t="s">
        <v>83</v>
      </c>
      <c r="D220" s="181">
        <v>46.396700000000003</v>
      </c>
      <c r="E220" s="180" t="s">
        <v>83</v>
      </c>
      <c r="F220" s="181">
        <v>51.305100000000003</v>
      </c>
      <c r="G220" s="180" t="s">
        <v>83</v>
      </c>
      <c r="H220" s="181">
        <v>54.958599999999997</v>
      </c>
      <c r="I220" s="180" t="s">
        <v>83</v>
      </c>
      <c r="J220" s="181">
        <v>53.118000000000002</v>
      </c>
      <c r="K220" s="180" t="s">
        <v>83</v>
      </c>
      <c r="L220" s="181">
        <v>82.7226</v>
      </c>
      <c r="M220" s="180" t="s">
        <v>83</v>
      </c>
      <c r="N220" s="181">
        <v>128.0334</v>
      </c>
      <c r="O220" s="180" t="s">
        <v>83</v>
      </c>
      <c r="P220" s="181">
        <v>135.78729999999999</v>
      </c>
      <c r="Q220" s="180" t="s">
        <v>83</v>
      </c>
      <c r="R220" s="181">
        <v>146.56890000000001</v>
      </c>
      <c r="S220" s="180" t="s">
        <v>83</v>
      </c>
      <c r="T220" s="181">
        <v>155.0651</v>
      </c>
      <c r="U220" s="180" t="s">
        <v>83</v>
      </c>
      <c r="V220" s="181">
        <v>158.6431</v>
      </c>
      <c r="W220" s="180" t="s">
        <v>83</v>
      </c>
      <c r="X220" s="181">
        <v>164.7251</v>
      </c>
      <c r="Y220" s="180" t="s">
        <v>83</v>
      </c>
      <c r="Z220" s="181" t="s">
        <v>349</v>
      </c>
    </row>
    <row r="221" spans="1:26" ht="15" x14ac:dyDescent="0.3">
      <c r="A221" s="179" t="s">
        <v>553</v>
      </c>
      <c r="B221" s="178" t="s">
        <v>83</v>
      </c>
      <c r="C221" s="180" t="s">
        <v>83</v>
      </c>
      <c r="D221" s="181">
        <v>43.256100000000004</v>
      </c>
      <c r="E221" s="180" t="s">
        <v>83</v>
      </c>
      <c r="F221" s="181">
        <v>49.421799999999998</v>
      </c>
      <c r="G221" s="180" t="s">
        <v>83</v>
      </c>
      <c r="H221" s="181">
        <v>59.214199999999998</v>
      </c>
      <c r="I221" s="180" t="s">
        <v>83</v>
      </c>
      <c r="J221" s="181">
        <v>61.010399999999997</v>
      </c>
      <c r="K221" s="180" t="s">
        <v>83</v>
      </c>
      <c r="L221" s="181">
        <v>52.8294</v>
      </c>
      <c r="M221" s="180" t="s">
        <v>83</v>
      </c>
      <c r="N221" s="181">
        <v>54.049300000000002</v>
      </c>
      <c r="O221" s="180" t="s">
        <v>83</v>
      </c>
      <c r="P221" s="181">
        <v>69.554900000000004</v>
      </c>
      <c r="Q221" s="180" t="s">
        <v>83</v>
      </c>
      <c r="R221" s="181">
        <v>71.225499999999997</v>
      </c>
      <c r="S221" s="180" t="s">
        <v>83</v>
      </c>
      <c r="T221" s="181">
        <v>73.945899999999995</v>
      </c>
      <c r="U221" s="180" t="s">
        <v>83</v>
      </c>
      <c r="V221" s="181">
        <v>78.8857</v>
      </c>
      <c r="W221" s="180" t="s">
        <v>83</v>
      </c>
      <c r="X221" s="181">
        <v>80.631799999999998</v>
      </c>
      <c r="Y221" s="180" t="s">
        <v>83</v>
      </c>
      <c r="Z221" s="181" t="s">
        <v>349</v>
      </c>
    </row>
    <row r="222" spans="1:26" ht="15" x14ac:dyDescent="0.3">
      <c r="A222" s="179" t="s">
        <v>554</v>
      </c>
      <c r="B222" s="178" t="s">
        <v>83</v>
      </c>
      <c r="C222" s="180" t="s">
        <v>83</v>
      </c>
      <c r="D222" s="181">
        <v>7310.9853999999996</v>
      </c>
      <c r="E222" s="180" t="s">
        <v>83</v>
      </c>
      <c r="F222" s="181">
        <v>8301.9833999999992</v>
      </c>
      <c r="G222" s="180" t="s">
        <v>83</v>
      </c>
      <c r="H222" s="181">
        <v>9747.0938000000006</v>
      </c>
      <c r="I222" s="180" t="s">
        <v>83</v>
      </c>
      <c r="J222" s="181">
        <v>12058.8691</v>
      </c>
      <c r="K222" s="180" t="s">
        <v>83</v>
      </c>
      <c r="L222" s="181">
        <v>12853.7021</v>
      </c>
      <c r="M222" s="180" t="s">
        <v>83</v>
      </c>
      <c r="N222" s="181">
        <v>11422.624</v>
      </c>
      <c r="O222" s="180" t="s">
        <v>83</v>
      </c>
      <c r="P222" s="181">
        <v>12483.9121</v>
      </c>
      <c r="Q222" s="180" t="s">
        <v>83</v>
      </c>
      <c r="R222" s="181">
        <v>12598.3477</v>
      </c>
      <c r="S222" s="180" t="s">
        <v>83</v>
      </c>
      <c r="T222" s="181">
        <v>12606.950199999999</v>
      </c>
      <c r="U222" s="180" t="s">
        <v>83</v>
      </c>
      <c r="V222" s="181">
        <v>12781.010700000001</v>
      </c>
      <c r="W222" s="180" t="s">
        <v>83</v>
      </c>
      <c r="X222" s="181">
        <v>12810.194299999999</v>
      </c>
      <c r="Y222" s="180" t="s">
        <v>83</v>
      </c>
      <c r="Z222" s="181" t="s">
        <v>349</v>
      </c>
    </row>
    <row r="223" spans="1:26" ht="15" x14ac:dyDescent="0.3">
      <c r="A223" s="179" t="s">
        <v>555</v>
      </c>
      <c r="B223" s="178" t="s">
        <v>83</v>
      </c>
      <c r="C223" s="180" t="s">
        <v>83</v>
      </c>
      <c r="D223" s="181">
        <v>1738.1660999999999</v>
      </c>
      <c r="E223" s="180" t="s">
        <v>83</v>
      </c>
      <c r="F223" s="181">
        <v>2562.2809999999999</v>
      </c>
      <c r="G223" s="180" t="s">
        <v>83</v>
      </c>
      <c r="H223" s="181">
        <v>3214.0048999999999</v>
      </c>
      <c r="I223" s="180" t="s">
        <v>83</v>
      </c>
      <c r="J223" s="181">
        <v>3578.5243999999998</v>
      </c>
      <c r="K223" s="180" t="s">
        <v>83</v>
      </c>
      <c r="L223" s="181">
        <v>3506.4679999999998</v>
      </c>
      <c r="M223" s="180" t="s">
        <v>83</v>
      </c>
      <c r="N223" s="181">
        <v>3291.3200999999999</v>
      </c>
      <c r="O223" s="180" t="s">
        <v>83</v>
      </c>
      <c r="P223" s="181">
        <v>3575.0322000000001</v>
      </c>
      <c r="Q223" s="180" t="s">
        <v>83</v>
      </c>
      <c r="R223" s="181">
        <v>3515.7615000000001</v>
      </c>
      <c r="S223" s="180" t="s">
        <v>83</v>
      </c>
      <c r="T223" s="181">
        <v>3728.1161999999999</v>
      </c>
      <c r="U223" s="180" t="s">
        <v>83</v>
      </c>
      <c r="V223" s="181">
        <v>3719.9319</v>
      </c>
      <c r="W223" s="180" t="s">
        <v>83</v>
      </c>
      <c r="X223" s="181">
        <v>3771.9973</v>
      </c>
      <c r="Y223" s="180" t="s">
        <v>83</v>
      </c>
      <c r="Z223" s="181" t="s">
        <v>349</v>
      </c>
    </row>
    <row r="224" spans="1:26" x14ac:dyDescent="0.3">
      <c r="A224" s="183" t="s">
        <v>556</v>
      </c>
    </row>
    <row r="225" spans="1:2" x14ac:dyDescent="0.3">
      <c r="A225" s="184" t="s">
        <v>557</v>
      </c>
    </row>
    <row r="226" spans="1:2" x14ac:dyDescent="0.3">
      <c r="A226" s="185" t="s">
        <v>558</v>
      </c>
      <c r="B226" s="184" t="s">
        <v>559</v>
      </c>
    </row>
    <row r="227" spans="1:2" x14ac:dyDescent="0.3">
      <c r="A227" s="185" t="s">
        <v>560</v>
      </c>
      <c r="B227" s="184" t="s">
        <v>561</v>
      </c>
    </row>
  </sheetData>
  <mergeCells count="31">
    <mergeCell ref="S8:T8"/>
    <mergeCell ref="M7:N7"/>
    <mergeCell ref="O7:P7"/>
    <mergeCell ref="Q7:R7"/>
    <mergeCell ref="U8:V8"/>
    <mergeCell ref="W8:X8"/>
    <mergeCell ref="Y8:Z8"/>
    <mergeCell ref="Y7:Z7"/>
    <mergeCell ref="C8:D8"/>
    <mergeCell ref="E8:F8"/>
    <mergeCell ref="G8:H8"/>
    <mergeCell ref="I8:J8"/>
    <mergeCell ref="K8:L8"/>
    <mergeCell ref="M8:N8"/>
    <mergeCell ref="S7:T7"/>
    <mergeCell ref="U7:V7"/>
    <mergeCell ref="W7:X7"/>
    <mergeCell ref="K7:L7"/>
    <mergeCell ref="O8:P8"/>
    <mergeCell ref="Q8:R8"/>
    <mergeCell ref="A7:B7"/>
    <mergeCell ref="C7:D7"/>
    <mergeCell ref="E7:F7"/>
    <mergeCell ref="G7:H7"/>
    <mergeCell ref="I7:J7"/>
    <mergeCell ref="A4:B4"/>
    <mergeCell ref="C4:Z4"/>
    <mergeCell ref="A5:B5"/>
    <mergeCell ref="C5:Z5"/>
    <mergeCell ref="A6:B6"/>
    <mergeCell ref="C6:Z6"/>
  </mergeCells>
  <hyperlinks>
    <hyperlink ref="A3" r:id="rId1" display="http://localhost/OECDStat_Metadata/ShowMetadata.ashx?Dataset=MATERIAL_RESOURCES&amp;ShowOnWeb=true&amp;Lang=fr" xr:uid="{00000000-0004-0000-0400-000000000000}"/>
    <hyperlink ref="A21" r:id="rId2" display="http://localhost/OECDStat_Metadata/ShowMetadata.ashx?Dataset=MATERIAL_RESOURCES&amp;Coords=[COU].[DEU]&amp;ShowOnWeb=true&amp;Lang=fr" xr:uid="{00000000-0004-0000-0400-000001000000}"/>
    <hyperlink ref="A26" r:id="rId3" display="http://localhost/OECDStat_Metadata/ShowMetadata.ashx?Dataset=MATERIAL_RESOURCES&amp;Coords=[COU].[ISR]&amp;ShowOnWeb=true&amp;Lang=fr" xr:uid="{00000000-0004-0000-0400-000002000000}"/>
    <hyperlink ref="A59" r:id="rId4" display="http://localhost/OECDStat_Metadata/ShowMetadata.ashx?Dataset=MATERIAL_RESOURCES&amp;Coords=[COU].[ARM]&amp;ShowOnWeb=true&amp;Lang=fr" xr:uid="{00000000-0004-0000-0400-000003000000}"/>
    <hyperlink ref="A60" r:id="rId5" display="http://localhost/OECDStat_Metadata/ShowMetadata.ashx?Dataset=MATERIAL_RESOURCES&amp;Coords=[COU].[ABW]&amp;ShowOnWeb=true&amp;Lang=fr" xr:uid="{00000000-0004-0000-0400-000004000000}"/>
    <hyperlink ref="A61" r:id="rId6" display="http://localhost/OECDStat_Metadata/ShowMetadata.ashx?Dataset=MATERIAL_RESOURCES&amp;Coords=[COU].[AZE]&amp;ShowOnWeb=true&amp;Lang=fr" xr:uid="{00000000-0004-0000-0400-000005000000}"/>
    <hyperlink ref="A72" r:id="rId7" display="http://localhost/OECDStat_Metadata/ShowMetadata.ashx?Dataset=MATERIAL_RESOURCES&amp;Coords=[COU].[BIH]&amp;ShowOnWeb=true&amp;Lang=fr" xr:uid="{00000000-0004-0000-0400-000006000000}"/>
    <hyperlink ref="A78" r:id="rId8" display="http://localhost/OECDStat_Metadata/ShowMetadata.ashx?Dataset=MATERIAL_RESOURCES&amp;Coords=[COU].[BFA]&amp;ShowOnWeb=true&amp;Lang=fr" xr:uid="{00000000-0004-0000-0400-000007000000}"/>
    <hyperlink ref="A80" r:id="rId9" display="http://localhost/OECDStat_Metadata/ShowMetadata.ashx?Dataset=MATERIAL_RESOURCES&amp;Coords=[COU].[KHM]&amp;ShowOnWeb=true&amp;Lang=fr" xr:uid="{00000000-0004-0000-0400-000008000000}"/>
    <hyperlink ref="A89" r:id="rId10" display="http://localhost/OECDStat_Metadata/ShowMetadata.ashx?Dataset=MATERIAL_RESOURCES&amp;Coords=[COU].[COD]&amp;ShowOnWeb=true&amp;Lang=fr" xr:uid="{00000000-0004-0000-0400-000009000000}"/>
    <hyperlink ref="A91" r:id="rId11" display="http://localhost/OECDStat_Metadata/ShowMetadata.ashx?Dataset=MATERIAL_RESOURCES&amp;Coords=[COU].[CIV]&amp;ShowOnWeb=true&amp;Lang=fr" xr:uid="{00000000-0004-0000-0400-00000A000000}"/>
    <hyperlink ref="A94" r:id="rId12" display="http://localhost/OECDStat_Metadata/ShowMetadata.ashx?Dataset=MATERIAL_RESOURCES&amp;Coords=[COU].[CYP]&amp;ShowOnWeb=true&amp;Lang=fr" xr:uid="{00000000-0004-0000-0400-00000B000000}"/>
    <hyperlink ref="A103" r:id="rId13" display="http://localhost/OECDStat_Metadata/ShowMetadata.ashx?Dataset=MATERIAL_RESOURCES&amp;Coords=[COU].[ERI]&amp;ShowOnWeb=true&amp;Lang=fr" xr:uid="{00000000-0004-0000-0400-00000C000000}"/>
    <hyperlink ref="A104" r:id="rId14" display="http://localhost/OECDStat_Metadata/ShowMetadata.ashx?Dataset=MATERIAL_RESOURCES&amp;Coords=[COU].[ETH]&amp;ShowOnWeb=true&amp;Lang=fr" xr:uid="{00000000-0004-0000-0400-00000D000000}"/>
    <hyperlink ref="A119" r:id="rId15" display="http://localhost/OECDStat_Metadata/ShowMetadata.ashx?Dataset=MATERIAL_RESOURCES&amp;Coords=[COU].[HKG]&amp;ShowOnWeb=true&amp;Lang=fr" xr:uid="{00000000-0004-0000-0400-00000E000000}"/>
    <hyperlink ref="A126" r:id="rId16" display="http://localhost/OECDStat_Metadata/ShowMetadata.ashx?Dataset=MATERIAL_RESOURCES&amp;Coords=[COU].[KAZ]&amp;ShowOnWeb=true&amp;Lang=fr" xr:uid="{00000000-0004-0000-0400-00000F000000}"/>
    <hyperlink ref="A131" r:id="rId17" display="http://localhost/OECDStat_Metadata/ShowMetadata.ashx?Dataset=MATERIAL_RESOURCES&amp;Coords=[COU].[KGZ]&amp;ShowOnWeb=true&amp;Lang=fr" xr:uid="{00000000-0004-0000-0400-000010000000}"/>
    <hyperlink ref="A138" r:id="rId18" display="http://localhost/OECDStat_Metadata/ShowMetadata.ashx?Dataset=MATERIAL_RESOURCES&amp;Coords=[COU].[MAC]&amp;ShowOnWeb=true&amp;Lang=fr" xr:uid="{00000000-0004-0000-0400-000011000000}"/>
    <hyperlink ref="A145" r:id="rId19" display="http://localhost/OECDStat_Metadata/ShowMetadata.ashx?Dataset=MATERIAL_RESOURCES&amp;Coords=[COU].[MHL]&amp;ShowOnWeb=true&amp;Lang=fr" xr:uid="{00000000-0004-0000-0400-000012000000}"/>
    <hyperlink ref="A148" r:id="rId20" display="http://localhost/OECDStat_Metadata/ShowMetadata.ashx?Dataset=MATERIAL_RESOURCES&amp;Coords=[COU].[FSM]&amp;ShowOnWeb=true&amp;Lang=fr" xr:uid="{00000000-0004-0000-0400-000013000000}"/>
    <hyperlink ref="A149" r:id="rId21" display="http://localhost/OECDStat_Metadata/ShowMetadata.ashx?Dataset=MATERIAL_RESOURCES&amp;Coords=[COU].[MDA]&amp;ShowOnWeb=true&amp;Lang=fr" xr:uid="{00000000-0004-0000-0400-000014000000}"/>
    <hyperlink ref="A155" r:id="rId22" display="http://localhost/OECDStat_Metadata/ShowMetadata.ashx?Dataset=MATERIAL_RESOURCES&amp;Coords=[COU].[MMR]&amp;ShowOnWeb=true&amp;Lang=fr" xr:uid="{00000000-0004-0000-0400-000015000000}"/>
    <hyperlink ref="A159" r:id="rId23" display="http://localhost/OECDStat_Metadata/ShowMetadata.ashx?Dataset=MATERIAL_RESOURCES&amp;Coords=[COU].[ANT]&amp;ShowOnWeb=true&amp;Lang=fr" xr:uid="{00000000-0004-0000-0400-000016000000}"/>
    <hyperlink ref="A167" r:id="rId24" display="http://localhost/OECDStat_Metadata/ShowMetadata.ashx?Dataset=MATERIAL_RESOURCES&amp;Coords=[COU].[PLW]&amp;ShowOnWeb=true&amp;Lang=fr" xr:uid="{00000000-0004-0000-0400-000017000000}"/>
    <hyperlink ref="A200" r:id="rId25" display="http://localhost/OECDStat_Metadata/ShowMetadata.ashx?Dataset=MATERIAL_RESOURCES&amp;Coords=[COU].[TJK]&amp;ShowOnWeb=true&amp;Lang=fr" xr:uid="{00000000-0004-0000-0400-000018000000}"/>
    <hyperlink ref="A203" r:id="rId26" display="http://localhost/OECDStat_Metadata/ShowMetadata.ashx?Dataset=MATERIAL_RESOURCES&amp;Coords=[COU].[TLS]&amp;ShowOnWeb=true&amp;Lang=fr" xr:uid="{00000000-0004-0000-0400-000019000000}"/>
    <hyperlink ref="A208" r:id="rId27" display="http://localhost/OECDStat_Metadata/ShowMetadata.ashx?Dataset=MATERIAL_RESOURCES&amp;Coords=[COU].[TKM]&amp;ShowOnWeb=true&amp;Lang=fr" xr:uid="{00000000-0004-0000-0400-00001A000000}"/>
    <hyperlink ref="A215" r:id="rId28" display="http://localhost/OECDStat_Metadata/ShowMetadata.ashx?Dataset=MATERIAL_RESOURCES&amp;Coords=[COU].[UZB]&amp;ShowOnWeb=true&amp;Lang=fr" xr:uid="{00000000-0004-0000-0400-00001B000000}"/>
    <hyperlink ref="A219" r:id="rId29" display="http://localhost/OECDStat_Metadata/ShowMetadata.ashx?Dataset=MATERIAL_RESOURCES&amp;Coords=[COU].[YEM]&amp;ShowOnWeb=true&amp;Lang=fr" xr:uid="{00000000-0004-0000-0400-00001C000000}"/>
    <hyperlink ref="A224" r:id="rId30" display="https://stats-3.oecd.org/index.aspx?DatasetCode=MATERIAL_RESOURCES" xr:uid="{00000000-0004-0000-0400-00001D000000}"/>
    <hyperlink ref="A2" r:id="rId31" xr:uid="{00000000-0004-0000-0400-00001E000000}"/>
  </hyperlinks>
  <pageMargins left="0.7" right="0.7" top="0.75" bottom="0.75" header="0.3" footer="0.3"/>
  <pageSetup paperSize="9" orientation="portrait" r:id="rId32"/>
  <legacyDrawing r:id="rId3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4"/>
  <sheetViews>
    <sheetView showGridLines="0" zoomScaleNormal="100" workbookViewId="0">
      <selection activeCell="L27" sqref="L27"/>
    </sheetView>
  </sheetViews>
  <sheetFormatPr baseColWidth="10" defaultColWidth="11.44140625" defaultRowHeight="14.4" x14ac:dyDescent="0.3"/>
  <cols>
    <col min="1" max="1" width="51.77734375" style="1" customWidth="1"/>
    <col min="2" max="2" width="18.77734375" style="1" customWidth="1"/>
    <col min="3" max="3" width="16" style="1" customWidth="1"/>
    <col min="4" max="4" width="15.5546875" style="1" customWidth="1"/>
    <col min="5" max="5" width="16.5546875" style="1" customWidth="1"/>
    <col min="6" max="6" width="6" style="1" customWidth="1"/>
    <col min="7" max="7" width="5.77734375" style="1" customWidth="1"/>
    <col min="8" max="8" width="6" style="1" customWidth="1"/>
    <col min="9" max="9" width="6.44140625" style="1" customWidth="1"/>
    <col min="10" max="10" width="6.21875" style="1" customWidth="1"/>
    <col min="11" max="11" width="7.77734375" style="1" customWidth="1"/>
    <col min="12" max="12" width="8" style="1" customWidth="1"/>
    <col min="13" max="13" width="8.44140625" style="1" customWidth="1"/>
    <col min="14" max="14" width="7.77734375" style="1" customWidth="1"/>
    <col min="15" max="15" width="7.21875" style="1" customWidth="1"/>
    <col min="16" max="16" width="8.77734375" style="1" customWidth="1"/>
    <col min="17" max="18" width="11.21875" customWidth="1"/>
    <col min="19" max="19" width="9.44140625" style="1" customWidth="1"/>
    <col min="20" max="20" width="40" style="1" customWidth="1"/>
    <col min="21" max="21" width="39.77734375" style="1" customWidth="1"/>
    <col min="22" max="23" width="11.44140625" style="1"/>
    <col min="24" max="24" width="20.44140625" style="1" customWidth="1"/>
    <col min="25" max="16384" width="11.44140625" style="1"/>
  </cols>
  <sheetData>
    <row r="1" spans="1:19" ht="13.2" x14ac:dyDescent="0.25">
      <c r="A1" s="238" t="s">
        <v>66</v>
      </c>
      <c r="B1" s="238"/>
      <c r="C1" s="238"/>
      <c r="D1" s="238"/>
      <c r="E1" s="238"/>
      <c r="F1" s="238"/>
      <c r="G1" s="238"/>
      <c r="H1" s="238"/>
      <c r="I1" s="238"/>
      <c r="J1" s="238"/>
      <c r="K1" s="238"/>
      <c r="L1" s="238"/>
      <c r="M1" s="238"/>
      <c r="N1" s="238"/>
      <c r="O1" s="238"/>
      <c r="P1" s="238"/>
      <c r="Q1" s="238"/>
      <c r="R1" s="238"/>
    </row>
    <row r="2" spans="1:19" ht="15.6" customHeight="1" x14ac:dyDescent="0.25">
      <c r="A2" s="238"/>
      <c r="B2" s="238"/>
      <c r="C2" s="238"/>
      <c r="D2" s="238"/>
      <c r="E2" s="238"/>
      <c r="F2" s="238"/>
      <c r="G2" s="238"/>
      <c r="H2" s="238"/>
      <c r="I2" s="238"/>
      <c r="J2" s="238"/>
      <c r="K2" s="238"/>
      <c r="L2" s="238"/>
      <c r="M2" s="238"/>
      <c r="N2" s="238"/>
      <c r="O2" s="238"/>
      <c r="P2" s="238"/>
      <c r="Q2" s="238"/>
      <c r="R2" s="238"/>
    </row>
    <row r="3" spans="1:19" x14ac:dyDescent="0.3">
      <c r="A3" s="2" t="s">
        <v>0</v>
      </c>
    </row>
    <row r="4" spans="1:19" ht="12.6" customHeight="1" x14ac:dyDescent="0.3">
      <c r="A4" s="36" t="s">
        <v>1</v>
      </c>
    </row>
    <row r="5" spans="1:19" ht="15.6" x14ac:dyDescent="0.3">
      <c r="A5" s="4"/>
    </row>
    <row r="6" spans="1:19" x14ac:dyDescent="0.25">
      <c r="A6" s="109" t="s">
        <v>316</v>
      </c>
      <c r="B6" s="26" t="s">
        <v>32</v>
      </c>
      <c r="C6" s="26" t="s">
        <v>33</v>
      </c>
      <c r="D6" s="26" t="s">
        <v>34</v>
      </c>
      <c r="E6" s="26">
        <v>2008</v>
      </c>
      <c r="F6" s="26">
        <v>2009</v>
      </c>
      <c r="G6" s="26">
        <v>2010</v>
      </c>
      <c r="H6" s="26">
        <v>2011</v>
      </c>
      <c r="I6" s="26">
        <v>2012</v>
      </c>
      <c r="J6" s="26">
        <v>2013</v>
      </c>
      <c r="K6" s="26">
        <v>2014</v>
      </c>
      <c r="L6" s="26">
        <v>2015</v>
      </c>
      <c r="M6" s="26">
        <v>2016</v>
      </c>
      <c r="N6" s="26">
        <v>2017</v>
      </c>
      <c r="O6" s="26">
        <v>2018</v>
      </c>
      <c r="P6" s="26">
        <v>2019</v>
      </c>
      <c r="Q6" s="26">
        <v>2020</v>
      </c>
      <c r="R6" s="26">
        <v>2021</v>
      </c>
    </row>
    <row r="7" spans="1:19" ht="13.2" x14ac:dyDescent="0.25">
      <c r="A7" s="26" t="s">
        <v>9</v>
      </c>
      <c r="B7" s="96">
        <f>Donnees_Eurostat_MFA!C17/1000</f>
        <v>709.03479600000003</v>
      </c>
      <c r="C7" s="96">
        <f>Donnees_Eurostat_MFA!M17/1000</f>
        <v>735.01090499999998</v>
      </c>
      <c r="D7" s="96">
        <f>Donnees_Eurostat_MFA!T17/1000</f>
        <v>737.20861300000001</v>
      </c>
      <c r="E7" s="96">
        <f>Donnees_Eurostat_MFA!U17/1000</f>
        <v>719.40748299999996</v>
      </c>
      <c r="F7" s="96">
        <f>Donnees_Eurostat_MFA!V17/1000</f>
        <v>659.05464500000005</v>
      </c>
      <c r="G7" s="96">
        <f>Donnees_Eurostat_MFA!W17/1000</f>
        <v>636.40427699999998</v>
      </c>
      <c r="H7" s="96">
        <f>Donnees_Eurostat_MFA!X17/1000</f>
        <v>654.97222199999999</v>
      </c>
      <c r="I7" s="96">
        <f>Donnees_Eurostat_MFA!Y17/1000</f>
        <v>634.447496</v>
      </c>
      <c r="J7" s="96">
        <f>Donnees_Eurostat_MFA!Z17/1000</f>
        <v>636.33150699999999</v>
      </c>
      <c r="K7" s="96">
        <f>Donnees_Eurostat_MFA!AA17/1000</f>
        <v>639.68209100000001</v>
      </c>
      <c r="L7" s="96">
        <f>Donnees_Eurostat_MFA!AB17/1000</f>
        <v>594.66875000000005</v>
      </c>
      <c r="M7" s="96">
        <f>Donnees_Eurostat_MFA!AC17/1000</f>
        <v>578.36689000000001</v>
      </c>
      <c r="N7" s="96">
        <f>Donnees_Eurostat_MFA!AD17/1000</f>
        <v>630.28507100000002</v>
      </c>
      <c r="O7" s="96">
        <f>Donnees_Eurostat_MFA!AE17/1000</f>
        <v>623.72638199999994</v>
      </c>
      <c r="P7" s="96">
        <f>Donnees_Eurostat_MFA!AF17/1000</f>
        <v>647.76393400000006</v>
      </c>
      <c r="Q7" s="96">
        <f>Donnees_Eurostat_MFA!AG17/1000</f>
        <v>590.06404399999997</v>
      </c>
      <c r="R7" s="96">
        <f>Donnees_Eurostat_MFA!AH17/1000</f>
        <v>649.6236530000001</v>
      </c>
      <c r="S7" s="38"/>
    </row>
    <row r="8" spans="1:19" ht="13.2" x14ac:dyDescent="0.25">
      <c r="A8" s="26" t="s">
        <v>10</v>
      </c>
      <c r="B8" s="96">
        <v>286.2</v>
      </c>
      <c r="C8" s="96">
        <f>Donnees_Eurostat_MFA!M93/1000</f>
        <v>347.21648100000004</v>
      </c>
      <c r="D8" s="96">
        <f>Donnees_Eurostat_MFA!T93/1000</f>
        <v>366.17712599999999</v>
      </c>
      <c r="E8" s="96">
        <f>Donnees_Eurostat_MFA!U93/1000</f>
        <v>370.13834900000001</v>
      </c>
      <c r="F8" s="96">
        <f>Donnees_Eurostat_MFA!V93/1000</f>
        <v>302.33648399999998</v>
      </c>
      <c r="G8" s="96">
        <f>Donnees_Eurostat_MFA!W93/1000</f>
        <v>331.94322199999999</v>
      </c>
      <c r="H8" s="96">
        <f>Donnees_Eurostat_MFA!X93/1000</f>
        <v>382.34295600000002</v>
      </c>
      <c r="I8" s="96">
        <f>Donnees_Eurostat_MFA!Y93/1000</f>
        <v>373.12536800000004</v>
      </c>
      <c r="J8" s="96">
        <f>Donnees_Eurostat_MFA!Z93/1000</f>
        <v>373.08802399999996</v>
      </c>
      <c r="K8" s="96">
        <f>Donnees_Eurostat_MFA!AA93/1000</f>
        <v>366.29155699999995</v>
      </c>
      <c r="L8" s="96">
        <f>Donnees_Eurostat_MFA!AB93/1000</f>
        <v>370.71412900000001</v>
      </c>
      <c r="M8" s="96">
        <f>Donnees_Eurostat_MFA!AC93/1000</f>
        <v>370.58199400000001</v>
      </c>
      <c r="N8" s="96">
        <f>Donnees_Eurostat_MFA!AD93/1000</f>
        <v>379.86405999999999</v>
      </c>
      <c r="O8" s="96">
        <f>Donnees_Eurostat_MFA!AE93/1000</f>
        <v>380.99034699999999</v>
      </c>
      <c r="P8" s="96">
        <f>Donnees_Eurostat_MFA!AF93/1000</f>
        <v>379.21922699999999</v>
      </c>
      <c r="Q8" s="96">
        <f>Donnees_Eurostat_MFA!AG93/1000</f>
        <v>334.96491100000003</v>
      </c>
      <c r="R8" s="96">
        <f>Donnees_Eurostat_MFA!AH93/1000</f>
        <v>355.37975</v>
      </c>
      <c r="S8" s="38"/>
    </row>
    <row r="9" spans="1:19" ht="13.2" x14ac:dyDescent="0.25">
      <c r="A9" s="26" t="s">
        <v>11</v>
      </c>
      <c r="B9" s="96">
        <v>-163.69999999999999</v>
      </c>
      <c r="C9" s="96">
        <f>-Donnees_Eurostat_MFA!M169/1000</f>
        <v>-197.70991100000001</v>
      </c>
      <c r="D9" s="96">
        <f>-Donnees_Eurostat_MFA!T169/1000</f>
        <v>-191.563413</v>
      </c>
      <c r="E9" s="96">
        <f>-Donnees_Eurostat_MFA!U169/1000</f>
        <v>-195.37838500000001</v>
      </c>
      <c r="F9" s="96">
        <f>-Donnees_Eurostat_MFA!V169/1000</f>
        <v>-161.33567600000001</v>
      </c>
      <c r="G9" s="96">
        <f>-Donnees_Eurostat_MFA!W169/1000</f>
        <v>-183.67945499999999</v>
      </c>
      <c r="H9" s="96">
        <f>-Donnees_Eurostat_MFA!X169/1000</f>
        <v>-230.89951000000002</v>
      </c>
      <c r="I9" s="96">
        <f>-Donnees_Eurostat_MFA!Y169/1000</f>
        <v>-219.79561999999999</v>
      </c>
      <c r="J9" s="96">
        <f>-Donnees_Eurostat_MFA!Z169/1000</f>
        <v>-219.59628400000003</v>
      </c>
      <c r="K9" s="96">
        <f>-Donnees_Eurostat_MFA!AA169/1000</f>
        <v>-224.643473</v>
      </c>
      <c r="L9" s="96">
        <f>-Donnees_Eurostat_MFA!AB169/1000</f>
        <v>-225.59345999999999</v>
      </c>
      <c r="M9" s="96">
        <f>-Donnees_Eurostat_MFA!AC169/1000</f>
        <v>-219.91925000000001</v>
      </c>
      <c r="N9" s="96">
        <f>-Donnees_Eurostat_MFA!AD169/1000</f>
        <v>-222.913049</v>
      </c>
      <c r="O9" s="96">
        <f>-Donnees_Eurostat_MFA!AE169/1000</f>
        <v>-228.40134899999998</v>
      </c>
      <c r="P9" s="96">
        <f>-Donnees_Eurostat_MFA!AF169/1000</f>
        <v>-227.910855</v>
      </c>
      <c r="Q9" s="96">
        <f>-Donnees_Eurostat_MFA!AG169/1000</f>
        <v>-207.27209200000001</v>
      </c>
      <c r="R9" s="96">
        <f>-Donnees_Eurostat_MFA!AH169/1000</f>
        <v>-212.66699199999999</v>
      </c>
      <c r="S9" s="38"/>
    </row>
    <row r="10" spans="1:19" ht="13.2" x14ac:dyDescent="0.25">
      <c r="A10" s="26" t="s">
        <v>12</v>
      </c>
      <c r="B10" s="97">
        <f t="shared" ref="B10:R10" si="0">B7+B8+B9</f>
        <v>831.53479599999991</v>
      </c>
      <c r="C10" s="97">
        <f t="shared" si="0"/>
        <v>884.51747499999999</v>
      </c>
      <c r="D10" s="97">
        <f t="shared" si="0"/>
        <v>911.82232600000009</v>
      </c>
      <c r="E10" s="97">
        <f t="shared" si="0"/>
        <v>894.16744700000004</v>
      </c>
      <c r="F10" s="97">
        <f t="shared" si="0"/>
        <v>800.05545300000006</v>
      </c>
      <c r="G10" s="97">
        <f t="shared" si="0"/>
        <v>784.66804400000001</v>
      </c>
      <c r="H10" s="97">
        <f t="shared" si="0"/>
        <v>806.4156680000001</v>
      </c>
      <c r="I10" s="97">
        <f t="shared" si="0"/>
        <v>787.777244</v>
      </c>
      <c r="J10" s="97">
        <f t="shared" si="0"/>
        <v>789.82324700000004</v>
      </c>
      <c r="K10" s="97">
        <f t="shared" si="0"/>
        <v>781.33017499999994</v>
      </c>
      <c r="L10" s="97">
        <f t="shared" si="0"/>
        <v>739.78941899999995</v>
      </c>
      <c r="M10" s="97">
        <f t="shared" si="0"/>
        <v>729.02963399999999</v>
      </c>
      <c r="N10" s="97">
        <f t="shared" si="0"/>
        <v>787.23608200000001</v>
      </c>
      <c r="O10" s="97">
        <f t="shared" si="0"/>
        <v>776.31538</v>
      </c>
      <c r="P10" s="97">
        <f t="shared" si="0"/>
        <v>799.07230600000014</v>
      </c>
      <c r="Q10" s="97">
        <f t="shared" si="0"/>
        <v>717.75686299999995</v>
      </c>
      <c r="R10" s="97">
        <f t="shared" si="0"/>
        <v>792.33641100000023</v>
      </c>
      <c r="S10" s="38"/>
    </row>
    <row r="12" spans="1:19" x14ac:dyDescent="0.3">
      <c r="A12" s="37" t="s">
        <v>37</v>
      </c>
    </row>
    <row r="13" spans="1:19" x14ac:dyDescent="0.3">
      <c r="A13" s="37" t="s">
        <v>36</v>
      </c>
    </row>
    <row r="14" spans="1:19" x14ac:dyDescent="0.3">
      <c r="A14" s="37" t="s">
        <v>67</v>
      </c>
    </row>
    <row r="15" spans="1:19" ht="15.6" x14ac:dyDescent="0.3">
      <c r="B15" s="6"/>
    </row>
    <row r="16" spans="1:19" ht="15.6" x14ac:dyDescent="0.25">
      <c r="A16" s="239" t="s">
        <v>43</v>
      </c>
      <c r="B16" s="239"/>
      <c r="C16" s="239"/>
      <c r="D16" s="239"/>
      <c r="E16" s="239"/>
      <c r="F16" s="239"/>
      <c r="G16" s="239"/>
      <c r="H16" s="239"/>
      <c r="I16" s="239"/>
      <c r="J16" s="239"/>
      <c r="K16" s="239"/>
      <c r="L16" s="239"/>
      <c r="M16" s="239"/>
      <c r="N16" s="239"/>
      <c r="O16" s="239"/>
      <c r="P16" s="239"/>
      <c r="Q16" s="239"/>
      <c r="R16" s="239"/>
    </row>
    <row r="17" spans="1:18" x14ac:dyDescent="0.3">
      <c r="A17" s="39" t="s">
        <v>44</v>
      </c>
      <c r="B17"/>
    </row>
    <row r="18" spans="1:18" x14ac:dyDescent="0.3">
      <c r="A18" s="95">
        <v>2021</v>
      </c>
      <c r="B18" s="18"/>
    </row>
    <row r="19" spans="1:18" ht="38.1" customHeight="1" x14ac:dyDescent="0.3">
      <c r="A19" s="109" t="s">
        <v>316</v>
      </c>
      <c r="B19" s="30" t="s">
        <v>12</v>
      </c>
      <c r="C19" s="30" t="s">
        <v>9</v>
      </c>
      <c r="D19" s="30" t="s">
        <v>10</v>
      </c>
      <c r="E19" s="30" t="s">
        <v>11</v>
      </c>
      <c r="F19" s="102"/>
      <c r="G19" s="104"/>
      <c r="H19" s="102"/>
      <c r="I19" s="102"/>
      <c r="J19" s="102"/>
      <c r="K19" s="102"/>
      <c r="L19" s="104"/>
      <c r="M19" s="102"/>
      <c r="N19" s="102"/>
      <c r="O19" s="102"/>
      <c r="P19" s="102"/>
      <c r="Q19" s="76"/>
      <c r="R19" s="102"/>
    </row>
    <row r="20" spans="1:18" x14ac:dyDescent="0.3">
      <c r="A20" s="40" t="s">
        <v>39</v>
      </c>
      <c r="B20" s="100">
        <f>C20+D20-E20</f>
        <v>208.57750099999998</v>
      </c>
      <c r="C20" s="100">
        <f>(Donnees_Eurostat_MFA!AH18-Donnees_Eurostat_MFA!AH37)/1000</f>
        <v>231.63234599999998</v>
      </c>
      <c r="D20" s="100">
        <f>(Donnees_Eurostat_MFA!AH94-Donnees_Eurostat_MFA!AH113)/1000</f>
        <v>54.848001000000004</v>
      </c>
      <c r="E20" s="100">
        <f>(Donnees_Eurostat_MFA!AH170-Donnees_Eurostat_MFA!AH189)/1000</f>
        <v>77.902845999999997</v>
      </c>
      <c r="F20" s="105"/>
      <c r="G20" s="104"/>
      <c r="H20" s="105"/>
      <c r="I20" s="105"/>
      <c r="J20" s="105"/>
      <c r="K20" s="105"/>
      <c r="L20" s="104"/>
      <c r="M20" s="105"/>
      <c r="N20" s="105"/>
      <c r="O20" s="105"/>
      <c r="P20" s="105"/>
      <c r="Q20" s="76"/>
      <c r="R20" s="105"/>
    </row>
    <row r="21" spans="1:18" x14ac:dyDescent="0.3">
      <c r="A21" s="40" t="s">
        <v>2</v>
      </c>
      <c r="B21" s="100">
        <f t="shared" ref="B21:B29" si="1">C21+D21-E21</f>
        <v>22.981121999999999</v>
      </c>
      <c r="C21" s="100">
        <f>Donnees_Eurostat_MFA!AH37/1000</f>
        <v>22.524999999999999</v>
      </c>
      <c r="D21" s="100">
        <f>Donnees_Eurostat_MFA!AH113/1000</f>
        <v>8.8316530000000011</v>
      </c>
      <c r="E21" s="100">
        <f>Donnees_Eurostat_MFA!AH189/1000</f>
        <v>8.3755310000000005</v>
      </c>
      <c r="F21" s="105"/>
      <c r="G21" s="104"/>
      <c r="H21" s="105"/>
      <c r="I21" s="105"/>
      <c r="J21" s="105"/>
      <c r="K21" s="105"/>
      <c r="L21" s="104"/>
      <c r="M21" s="105"/>
      <c r="N21" s="105"/>
      <c r="O21" s="105"/>
      <c r="P21" s="105"/>
      <c r="Q21" s="76"/>
      <c r="R21" s="105"/>
    </row>
    <row r="22" spans="1:18" x14ac:dyDescent="0.3">
      <c r="A22" s="40" t="s">
        <v>3</v>
      </c>
      <c r="B22" s="100">
        <f t="shared" si="1"/>
        <v>17.667725000000004</v>
      </c>
      <c r="C22" s="100">
        <f>Donnees_Eurostat_MFA!AH50/1000</f>
        <v>0.236508</v>
      </c>
      <c r="D22" s="100">
        <f>Donnees_Eurostat_MFA!AH126/1000</f>
        <v>61.683613999999999</v>
      </c>
      <c r="E22" s="100">
        <f>Donnees_Eurostat_MFA!AH202/1000</f>
        <v>44.252396999999995</v>
      </c>
      <c r="F22" s="105"/>
      <c r="G22" s="104"/>
      <c r="H22" s="105"/>
      <c r="I22" s="105"/>
      <c r="J22" s="105"/>
      <c r="K22" s="105"/>
      <c r="L22" s="104"/>
      <c r="M22" s="105"/>
      <c r="N22" s="105"/>
      <c r="O22" s="105"/>
      <c r="P22" s="105"/>
      <c r="Q22" s="76"/>
      <c r="R22" s="105"/>
    </row>
    <row r="23" spans="1:18" x14ac:dyDescent="0.3">
      <c r="A23" s="40" t="s">
        <v>40</v>
      </c>
      <c r="B23" s="100">
        <f t="shared" si="1"/>
        <v>420.31639999999999</v>
      </c>
      <c r="C23" s="100">
        <f>Donnees_Eurostat_MFA!AH63/1000</f>
        <v>394.53951899999998</v>
      </c>
      <c r="D23" s="100">
        <f>Donnees_Eurostat_MFA!AH139/1000</f>
        <v>51.666316999999999</v>
      </c>
      <c r="E23" s="100">
        <f>Donnees_Eurostat_MFA!AH215/1000</f>
        <v>25.889436</v>
      </c>
      <c r="F23" s="105"/>
      <c r="G23" s="104"/>
      <c r="H23" s="105"/>
      <c r="I23" s="105"/>
      <c r="J23" s="105"/>
      <c r="K23" s="105"/>
      <c r="L23" s="104"/>
      <c r="M23" s="105"/>
      <c r="N23" s="105"/>
      <c r="O23" s="105"/>
      <c r="P23" s="105"/>
      <c r="Q23" s="76"/>
      <c r="R23" s="105"/>
    </row>
    <row r="24" spans="1:18" x14ac:dyDescent="0.3">
      <c r="A24" s="40" t="s">
        <v>4</v>
      </c>
      <c r="B24" s="100">
        <f t="shared" si="1"/>
        <v>8.1698410000000017</v>
      </c>
      <c r="C24" s="100">
        <f>Donnees_Eurostat_MFA!AH75/1000</f>
        <v>0</v>
      </c>
      <c r="D24" s="100">
        <f>Donnees_Eurostat_MFA!AH151/1000</f>
        <v>8.7210930000000015</v>
      </c>
      <c r="E24" s="100">
        <f>Donnees_Eurostat_MFA!AH227/1000</f>
        <v>0.55125199999999996</v>
      </c>
      <c r="F24" s="105"/>
      <c r="G24" s="104"/>
      <c r="H24" s="105"/>
      <c r="I24" s="105"/>
      <c r="J24" s="105"/>
      <c r="K24" s="105"/>
      <c r="L24" s="104"/>
      <c r="M24" s="105"/>
      <c r="N24" s="105"/>
      <c r="O24" s="105"/>
      <c r="P24" s="105"/>
      <c r="Q24" s="76"/>
      <c r="R24" s="105"/>
    </row>
    <row r="25" spans="1:18" x14ac:dyDescent="0.3">
      <c r="A25" s="40" t="s">
        <v>5</v>
      </c>
      <c r="B25" s="100">
        <f t="shared" si="1"/>
        <v>79.491234999999989</v>
      </c>
      <c r="C25" s="100">
        <f>Donnees_Eurostat_MFA!AH81/1000</f>
        <v>0.67246600000000001</v>
      </c>
      <c r="D25" s="100">
        <f>Donnees_Eurostat_MFA!AH157/1000</f>
        <v>92.758415999999997</v>
      </c>
      <c r="E25" s="100">
        <f>Donnees_Eurostat_MFA!AH233/1000</f>
        <v>13.939647000000001</v>
      </c>
      <c r="F25" s="105"/>
      <c r="G25" s="104"/>
      <c r="H25" s="105"/>
      <c r="I25" s="105"/>
      <c r="J25" s="105"/>
      <c r="K25" s="105"/>
      <c r="L25" s="104"/>
      <c r="M25" s="105"/>
      <c r="N25" s="105"/>
      <c r="O25" s="105"/>
      <c r="P25" s="105"/>
      <c r="Q25" s="76"/>
      <c r="R25" s="105"/>
    </row>
    <row r="26" spans="1:18" x14ac:dyDescent="0.3">
      <c r="A26" s="40" t="s">
        <v>6</v>
      </c>
      <c r="B26" s="100">
        <f t="shared" si="1"/>
        <v>22.879666000000004</v>
      </c>
      <c r="C26" s="100">
        <f>Donnees_Eurostat_MFA!AH82/1000</f>
        <v>1.7814E-2</v>
      </c>
      <c r="D26" s="100">
        <f>Donnees_Eurostat_MFA!AH158/1000</f>
        <v>26.931561000000002</v>
      </c>
      <c r="E26" s="100">
        <f>Donnees_Eurostat_MFA!AH234/1000</f>
        <v>4.0697089999999996</v>
      </c>
      <c r="F26" s="105"/>
      <c r="G26" s="104"/>
      <c r="H26" s="105"/>
      <c r="I26" s="105"/>
      <c r="J26" s="105"/>
      <c r="K26" s="105"/>
      <c r="L26" s="104"/>
      <c r="M26" s="105"/>
      <c r="N26" s="105"/>
      <c r="O26" s="105"/>
      <c r="P26" s="105"/>
      <c r="Q26" s="76"/>
      <c r="R26" s="105"/>
    </row>
    <row r="27" spans="1:18" x14ac:dyDescent="0.3">
      <c r="A27" s="40" t="s">
        <v>7</v>
      </c>
      <c r="B27" s="100">
        <f t="shared" si="1"/>
        <v>4.4385110000000125</v>
      </c>
      <c r="C27" s="100">
        <f>(Donnees_Eurostat_MFA!AH74/1000-SUM('Graph 1'!C24:C26))</f>
        <v>0</v>
      </c>
      <c r="D27" s="100">
        <f>Donnees_Eurostat_MFA!AH150/1000-SUM('Graph 1'!D24:D26)</f>
        <v>22.84505200000001</v>
      </c>
      <c r="E27" s="100">
        <f>Donnees_Eurostat_MFA!AH226/1000 - SUM('Graph 1'!E24:E26)</f>
        <v>18.406540999999997</v>
      </c>
      <c r="F27" s="105"/>
      <c r="G27" s="104"/>
      <c r="H27" s="105"/>
      <c r="I27" s="105"/>
      <c r="J27" s="105"/>
      <c r="K27" s="105"/>
      <c r="L27" s="104"/>
      <c r="M27" s="105"/>
      <c r="N27" s="105"/>
      <c r="O27" s="105"/>
      <c r="P27" s="105"/>
      <c r="Q27" s="76"/>
      <c r="R27" s="105"/>
    </row>
    <row r="28" spans="1:18" x14ac:dyDescent="0.3">
      <c r="A28" s="40" t="s">
        <v>8</v>
      </c>
      <c r="B28" s="100">
        <f t="shared" si="1"/>
        <v>7.814409999999981</v>
      </c>
      <c r="C28" s="100">
        <f>Donnees_Eurostat_MFA!AH17/1000-SUM('Graph 1'!C20:C27)</f>
        <v>0</v>
      </c>
      <c r="D28" s="100">
        <f>Donnees_Eurostat_MFA!AH93/1000-SUM('Graph 1'!D20:D27)</f>
        <v>27.094042999999999</v>
      </c>
      <c r="E28" s="100">
        <f>Donnees_Eurostat_MFA!AH169/1000 - SUM('Graph 1'!E20:E27)</f>
        <v>19.279633000000018</v>
      </c>
      <c r="F28" s="105"/>
      <c r="G28" s="104"/>
      <c r="H28" s="105"/>
      <c r="I28" s="105"/>
      <c r="J28" s="105"/>
      <c r="K28" s="105"/>
      <c r="L28" s="104"/>
      <c r="M28" s="105"/>
      <c r="N28" s="105"/>
      <c r="O28" s="105"/>
      <c r="P28" s="105"/>
      <c r="Q28" s="76"/>
      <c r="R28" s="105"/>
    </row>
    <row r="29" spans="1:18" x14ac:dyDescent="0.3">
      <c r="A29" s="40" t="s">
        <v>41</v>
      </c>
      <c r="B29" s="100">
        <f t="shared" si="1"/>
        <v>792.33641100000023</v>
      </c>
      <c r="C29" s="101">
        <f>Donnees_Eurostat_MFA!AH17/1000</f>
        <v>649.6236530000001</v>
      </c>
      <c r="D29" s="101">
        <f>Donnees_Eurostat_MFA!AH93/1000</f>
        <v>355.37975</v>
      </c>
      <c r="E29" s="101">
        <f>Donnees_Eurostat_MFA!AH169/1000</f>
        <v>212.66699199999999</v>
      </c>
      <c r="F29" s="105"/>
      <c r="G29" s="104"/>
      <c r="H29" s="106"/>
      <c r="I29" s="106"/>
      <c r="J29" s="106"/>
      <c r="K29" s="106"/>
      <c r="L29" s="104"/>
      <c r="M29" s="106"/>
      <c r="N29" s="106"/>
      <c r="O29" s="106"/>
      <c r="P29" s="106"/>
      <c r="Q29" s="76"/>
      <c r="R29" s="106"/>
    </row>
    <row r="30" spans="1:18" x14ac:dyDescent="0.3">
      <c r="A30" s="41" t="s">
        <v>68</v>
      </c>
      <c r="B30"/>
      <c r="D30" s="99"/>
      <c r="E30" s="99"/>
      <c r="F30" s="103"/>
      <c r="K30" s="98"/>
    </row>
    <row r="31" spans="1:18" x14ac:dyDescent="0.3">
      <c r="B31"/>
    </row>
    <row r="32" spans="1:18"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54" spans="1:5" ht="53.4" x14ac:dyDescent="0.3">
      <c r="A54" s="109" t="s">
        <v>316</v>
      </c>
      <c r="B54" s="30" t="s">
        <v>12</v>
      </c>
      <c r="C54" s="30" t="s">
        <v>9</v>
      </c>
      <c r="D54" s="30" t="s">
        <v>10</v>
      </c>
      <c r="E54" s="30" t="s">
        <v>11</v>
      </c>
    </row>
    <row r="55" spans="1:5" x14ac:dyDescent="0.3">
      <c r="A55" s="40" t="s">
        <v>39</v>
      </c>
      <c r="B55" s="107">
        <f>B20/B$29 *100</f>
        <v>26.324361483874796</v>
      </c>
      <c r="C55" s="107">
        <f>C20/C$29 *100</f>
        <v>35.656390423949041</v>
      </c>
      <c r="D55" s="107">
        <f>D20/D$29 *100</f>
        <v>15.43363148856962</v>
      </c>
      <c r="E55" s="107">
        <f>E20/E$29 *100</f>
        <v>36.631376250433824</v>
      </c>
    </row>
    <row r="56" spans="1:5" x14ac:dyDescent="0.3">
      <c r="A56" s="40" t="s">
        <v>2</v>
      </c>
      <c r="B56" s="107">
        <f t="shared" ref="B56:B63" si="2">B21/B$29 *100</f>
        <v>2.9004248297759969</v>
      </c>
      <c r="C56" s="107">
        <f t="shared" ref="C56:E63" si="3">C21/C$29 *100</f>
        <v>3.4673922194763431</v>
      </c>
      <c r="D56" s="107">
        <f t="shared" si="3"/>
        <v>2.4851311871315125</v>
      </c>
      <c r="E56" s="107">
        <f t="shared" si="3"/>
        <v>3.9383314360321608</v>
      </c>
    </row>
    <row r="57" spans="1:5" x14ac:dyDescent="0.3">
      <c r="A57" s="40" t="s">
        <v>3</v>
      </c>
      <c r="B57" s="107">
        <f t="shared" si="2"/>
        <v>2.2298262145622889</v>
      </c>
      <c r="C57" s="107">
        <f t="shared" si="3"/>
        <v>3.6406925595734108E-2</v>
      </c>
      <c r="D57" s="107">
        <f t="shared" si="3"/>
        <v>17.357098709197697</v>
      </c>
      <c r="E57" s="107">
        <f t="shared" si="3"/>
        <v>20.808305315194374</v>
      </c>
    </row>
    <row r="58" spans="1:5" x14ac:dyDescent="0.3">
      <c r="A58" s="40" t="s">
        <v>40</v>
      </c>
      <c r="B58" s="107">
        <f t="shared" si="2"/>
        <v>53.047719903408542</v>
      </c>
      <c r="C58" s="107">
        <f t="shared" si="3"/>
        <v>60.733551984751998</v>
      </c>
      <c r="D58" s="107">
        <f t="shared" si="3"/>
        <v>14.538340183986284</v>
      </c>
      <c r="E58" s="107">
        <f t="shared" si="3"/>
        <v>12.173697364375192</v>
      </c>
    </row>
    <row r="59" spans="1:5" x14ac:dyDescent="0.3">
      <c r="A59" s="40" t="s">
        <v>4</v>
      </c>
      <c r="B59" s="107">
        <f t="shared" si="2"/>
        <v>1.0311076061352429</v>
      </c>
      <c r="C59" s="107">
        <f t="shared" si="3"/>
        <v>0</v>
      </c>
      <c r="D59" s="107">
        <f t="shared" si="3"/>
        <v>2.4540208045056033</v>
      </c>
      <c r="E59" s="107">
        <f t="shared" si="3"/>
        <v>0.25920900785581247</v>
      </c>
    </row>
    <row r="60" spans="1:5" x14ac:dyDescent="0.3">
      <c r="A60" s="40" t="s">
        <v>5</v>
      </c>
      <c r="B60" s="107">
        <f t="shared" si="2"/>
        <v>10.032510673045412</v>
      </c>
      <c r="C60" s="107">
        <f t="shared" si="3"/>
        <v>0.10351624311930649</v>
      </c>
      <c r="D60" s="107">
        <f t="shared" si="3"/>
        <v>26.101210325011483</v>
      </c>
      <c r="E60" s="107">
        <f t="shared" si="3"/>
        <v>6.5546829194819303</v>
      </c>
    </row>
    <row r="61" spans="1:5" x14ac:dyDescent="0.3">
      <c r="A61" s="40" t="s">
        <v>6</v>
      </c>
      <c r="B61" s="107">
        <f t="shared" si="2"/>
        <v>2.8876201676916242</v>
      </c>
      <c r="C61" s="107">
        <f t="shared" si="3"/>
        <v>2.7422031075583385E-3</v>
      </c>
      <c r="D61" s="107">
        <f t="shared" si="3"/>
        <v>7.5782486199621673</v>
      </c>
      <c r="E61" s="107">
        <f t="shared" si="3"/>
        <v>1.913653342122787</v>
      </c>
    </row>
    <row r="62" spans="1:5" x14ac:dyDescent="0.3">
      <c r="A62" s="40" t="s">
        <v>7</v>
      </c>
      <c r="B62" s="107">
        <f t="shared" si="2"/>
        <v>0.56018011268701007</v>
      </c>
      <c r="C62" s="107">
        <f t="shared" si="3"/>
        <v>0</v>
      </c>
      <c r="D62" s="107">
        <f t="shared" si="3"/>
        <v>6.42834939244569</v>
      </c>
      <c r="E62" s="107">
        <f t="shared" si="3"/>
        <v>8.6551000824801232</v>
      </c>
    </row>
    <row r="63" spans="1:5" x14ac:dyDescent="0.3">
      <c r="A63" s="40" t="s">
        <v>8</v>
      </c>
      <c r="B63" s="107">
        <f t="shared" si="2"/>
        <v>0.98624900881905553</v>
      </c>
      <c r="C63" s="107">
        <f t="shared" si="3"/>
        <v>0</v>
      </c>
      <c r="D63" s="107">
        <f t="shared" si="3"/>
        <v>7.6239692891899438</v>
      </c>
      <c r="E63" s="107">
        <f t="shared" si="3"/>
        <v>9.0656442820238041</v>
      </c>
    </row>
    <row r="64" spans="1:5" x14ac:dyDescent="0.3">
      <c r="A64" s="40" t="s">
        <v>41</v>
      </c>
      <c r="B64" s="107">
        <f>SUM(B55:B63)</f>
        <v>99.999999999999957</v>
      </c>
      <c r="C64" s="107">
        <f>SUM(C55:C63)</f>
        <v>99.999999999999972</v>
      </c>
      <c r="D64" s="107">
        <f>SUM(D55:D63)</f>
        <v>100.00000000000001</v>
      </c>
      <c r="E64" s="107">
        <f>SUM(E55:E63)</f>
        <v>100</v>
      </c>
    </row>
  </sheetData>
  <mergeCells count="2">
    <mergeCell ref="A1:R2"/>
    <mergeCell ref="A16:R16"/>
  </mergeCells>
  <pageMargins left="0.78740157480314965" right="0.78740157480314965" top="0.98425196850393704" bottom="0.98425196850393704" header="0.51181102362204722" footer="0.51181102362204722"/>
  <pageSetup paperSize="9" scale="95"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59"/>
  <sheetViews>
    <sheetView showGridLines="0" zoomScaleNormal="100" workbookViewId="0">
      <selection activeCell="K11" sqref="K11"/>
    </sheetView>
  </sheetViews>
  <sheetFormatPr baseColWidth="10" defaultColWidth="8.77734375" defaultRowHeight="15" outlineLevelCol="1" x14ac:dyDescent="0.25"/>
  <cols>
    <col min="1" max="1" width="35.21875" style="6" customWidth="1"/>
    <col min="2" max="2" width="7.21875" style="6" customWidth="1"/>
    <col min="3" max="3" width="7.44140625" style="6" customWidth="1" outlineLevel="1"/>
    <col min="4" max="6" width="8.77734375" style="6" customWidth="1" outlineLevel="1"/>
    <col min="7" max="7" width="8.77734375" style="6" customWidth="1"/>
    <col min="8" max="9" width="8.77734375" style="6" customWidth="1" outlineLevel="1"/>
    <col min="10" max="10" width="9" style="6" customWidth="1" outlineLevel="1"/>
    <col min="11" max="11" width="9.21875" style="6" customWidth="1" outlineLevel="1"/>
    <col min="12" max="12" width="7.5546875" style="6" customWidth="1"/>
    <col min="13" max="21" width="8.77734375" style="6" customWidth="1"/>
    <col min="22" max="22" width="9" style="6" customWidth="1"/>
    <col min="23" max="26" width="8.77734375" style="6" customWidth="1"/>
    <col min="27" max="27" width="7.5546875" style="6" customWidth="1"/>
    <col min="28" max="28" width="8.44140625" style="6" customWidth="1"/>
    <col min="29" max="29" width="9.21875" style="6" customWidth="1"/>
    <col min="30" max="30" width="7.5546875" style="6" customWidth="1"/>
    <col min="31" max="31" width="6.77734375" style="6" customWidth="1"/>
    <col min="32" max="252" width="11.44140625" style="6" customWidth="1"/>
    <col min="253" max="253" width="35.21875" style="6" customWidth="1"/>
    <col min="254" max="254" width="11" style="6" customWidth="1"/>
    <col min="255" max="255" width="11.21875" style="6" customWidth="1"/>
    <col min="256" max="16384" width="8.77734375" style="6"/>
  </cols>
  <sheetData>
    <row r="1" spans="1:42" x14ac:dyDescent="0.25">
      <c r="A1" s="241" t="s">
        <v>45</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row>
    <row r="2" spans="1:42" x14ac:dyDescent="0.2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row>
    <row r="3" spans="1:42" s="19" customFormat="1" ht="15.6" x14ac:dyDescent="0.25">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row>
    <row r="4" spans="1:42" ht="15.6" x14ac:dyDescent="0.3">
      <c r="A4" s="109" t="s">
        <v>316</v>
      </c>
      <c r="B4" s="27">
        <v>1990</v>
      </c>
      <c r="C4" s="27">
        <f t="shared" ref="C4:U4" si="0">B4+1</f>
        <v>1991</v>
      </c>
      <c r="D4" s="27">
        <f t="shared" si="0"/>
        <v>1992</v>
      </c>
      <c r="E4" s="27">
        <f t="shared" si="0"/>
        <v>1993</v>
      </c>
      <c r="F4" s="27">
        <f t="shared" si="0"/>
        <v>1994</v>
      </c>
      <c r="G4" s="27">
        <f t="shared" si="0"/>
        <v>1995</v>
      </c>
      <c r="H4" s="27">
        <f t="shared" si="0"/>
        <v>1996</v>
      </c>
      <c r="I4" s="27">
        <f t="shared" si="0"/>
        <v>1997</v>
      </c>
      <c r="J4" s="27">
        <f t="shared" si="0"/>
        <v>1998</v>
      </c>
      <c r="K4" s="27">
        <f t="shared" si="0"/>
        <v>1999</v>
      </c>
      <c r="L4" s="27">
        <f t="shared" si="0"/>
        <v>2000</v>
      </c>
      <c r="M4" s="27">
        <f t="shared" si="0"/>
        <v>2001</v>
      </c>
      <c r="N4" s="27">
        <f t="shared" si="0"/>
        <v>2002</v>
      </c>
      <c r="O4" s="27">
        <f t="shared" si="0"/>
        <v>2003</v>
      </c>
      <c r="P4" s="27">
        <f t="shared" si="0"/>
        <v>2004</v>
      </c>
      <c r="Q4" s="27">
        <f t="shared" si="0"/>
        <v>2005</v>
      </c>
      <c r="R4" s="27">
        <f t="shared" si="0"/>
        <v>2006</v>
      </c>
      <c r="S4" s="27">
        <f t="shared" si="0"/>
        <v>2007</v>
      </c>
      <c r="T4" s="27">
        <f t="shared" si="0"/>
        <v>2008</v>
      </c>
      <c r="U4" s="27">
        <f t="shared" si="0"/>
        <v>2009</v>
      </c>
      <c r="V4" s="27">
        <v>2010</v>
      </c>
      <c r="W4" s="27">
        <v>2011</v>
      </c>
      <c r="X4" s="27">
        <v>2012</v>
      </c>
      <c r="Y4" s="27">
        <v>2013</v>
      </c>
      <c r="Z4" s="27">
        <v>2014</v>
      </c>
      <c r="AA4" s="27">
        <v>2015</v>
      </c>
      <c r="AB4" s="27">
        <v>2016</v>
      </c>
      <c r="AC4" s="27">
        <v>2017</v>
      </c>
      <c r="AD4" s="31">
        <v>2018</v>
      </c>
      <c r="AE4" s="27">
        <v>2019</v>
      </c>
      <c r="AF4" s="27">
        <v>2020</v>
      </c>
      <c r="AG4" s="27">
        <v>2021</v>
      </c>
      <c r="AH4" s="110">
        <v>2022</v>
      </c>
      <c r="AI4" s="3" t="s">
        <v>317</v>
      </c>
    </row>
    <row r="5" spans="1:42" s="5" customFormat="1" x14ac:dyDescent="0.25">
      <c r="A5" s="30" t="s">
        <v>13</v>
      </c>
      <c r="B5" s="107">
        <f>(Donnees_Eurostat_MFA!C18+Donnees_Eurostat_MFA!C94-Donnees_Eurostat_MFA!C170)/1000</f>
        <v>204.14547000000002</v>
      </c>
      <c r="C5" s="107">
        <f>(Donnees_Eurostat_MFA!D18+Donnees_Eurostat_MFA!D94-Donnees_Eurostat_MFA!D170)/1000</f>
        <v>214.02075800000003</v>
      </c>
      <c r="D5" s="107">
        <f>(Donnees_Eurostat_MFA!E18+Donnees_Eurostat_MFA!E94-Donnees_Eurostat_MFA!E170)/1000</f>
        <v>234.09079500000001</v>
      </c>
      <c r="E5" s="107">
        <f>(Donnees_Eurostat_MFA!F18+Donnees_Eurostat_MFA!F94-Donnees_Eurostat_MFA!F170)/1000</f>
        <v>220.81991499999998</v>
      </c>
      <c r="F5" s="107">
        <f>(Donnees_Eurostat_MFA!G18+Donnees_Eurostat_MFA!G94-Donnees_Eurostat_MFA!G170)/1000</f>
        <v>226.26891199999994</v>
      </c>
      <c r="G5" s="107">
        <f>(Donnees_Eurostat_MFA!H18+Donnees_Eurostat_MFA!H94-Donnees_Eurostat_MFA!H170)/1000</f>
        <v>216.84326199999998</v>
      </c>
      <c r="H5" s="107">
        <f>(Donnees_Eurostat_MFA!I18+Donnees_Eurostat_MFA!I94-Donnees_Eurostat_MFA!I170)/1000</f>
        <v>220.47428299999999</v>
      </c>
      <c r="I5" s="107">
        <f>(Donnees_Eurostat_MFA!J18+Donnees_Eurostat_MFA!J94-Donnees_Eurostat_MFA!J170)/1000</f>
        <v>230.49949800000002</v>
      </c>
      <c r="J5" s="107">
        <f>(Donnees_Eurostat_MFA!K18+Donnees_Eurostat_MFA!K94-Donnees_Eurostat_MFA!K170)/1000</f>
        <v>235.57050699999999</v>
      </c>
      <c r="K5" s="107">
        <f>(Donnees_Eurostat_MFA!L18+Donnees_Eurostat_MFA!L94-Donnees_Eurostat_MFA!L170)/1000</f>
        <v>238.416042</v>
      </c>
      <c r="L5" s="107">
        <f>(Donnees_Eurostat_MFA!M18+Donnees_Eurostat_MFA!M94-Donnees_Eurostat_MFA!M170)/1000</f>
        <v>249.23560500000005</v>
      </c>
      <c r="M5" s="107">
        <f>(Donnees_Eurostat_MFA!N18+Donnees_Eurostat_MFA!N94-Donnees_Eurostat_MFA!N170)/1000</f>
        <v>229.46283400000002</v>
      </c>
      <c r="N5" s="107">
        <f>(Donnees_Eurostat_MFA!O18+Donnees_Eurostat_MFA!O94-Donnees_Eurostat_MFA!O170)/1000</f>
        <v>246.90563299999997</v>
      </c>
      <c r="O5" s="107">
        <f>(Donnees_Eurostat_MFA!P18+Donnees_Eurostat_MFA!P94-Donnees_Eurostat_MFA!P170)/1000</f>
        <v>193.98350900000003</v>
      </c>
      <c r="P5" s="107">
        <f>(Donnees_Eurostat_MFA!Q18+Donnees_Eurostat_MFA!Q94-Donnees_Eurostat_MFA!Q170)/1000</f>
        <v>254.25381199999998</v>
      </c>
      <c r="Q5" s="107">
        <f>(Donnees_Eurostat_MFA!R18+Donnees_Eurostat_MFA!R94-Donnees_Eurostat_MFA!R170)/1000</f>
        <v>228.12624200000002</v>
      </c>
      <c r="R5" s="107">
        <f>(Donnees_Eurostat_MFA!S18+Donnees_Eurostat_MFA!S94-Donnees_Eurostat_MFA!S170)/1000</f>
        <v>229.39763099999999</v>
      </c>
      <c r="S5" s="107">
        <f>(Donnees_Eurostat_MFA!T18+Donnees_Eurostat_MFA!T94-Donnees_Eurostat_MFA!T170)/1000</f>
        <v>251.64418100000003</v>
      </c>
      <c r="T5" s="107">
        <f>(Donnees_Eurostat_MFA!U18+Donnees_Eurostat_MFA!U94-Donnees_Eurostat_MFA!U170)/1000</f>
        <v>258.21470599999998</v>
      </c>
      <c r="U5" s="107">
        <f>(Donnees_Eurostat_MFA!V18+Donnees_Eurostat_MFA!V94-Donnees_Eurostat_MFA!V170)/1000</f>
        <v>252.35249500000006</v>
      </c>
      <c r="V5" s="107">
        <f>(Donnees_Eurostat_MFA!W18+Donnees_Eurostat_MFA!W94-Donnees_Eurostat_MFA!W170)/1000</f>
        <v>226.71033399999996</v>
      </c>
      <c r="W5" s="107">
        <f>(Donnees_Eurostat_MFA!X18+Donnees_Eurostat_MFA!X94-Donnees_Eurostat_MFA!X170)/1000</f>
        <v>225.23006799999996</v>
      </c>
      <c r="X5" s="107">
        <f>(Donnees_Eurostat_MFA!Y18+Donnees_Eurostat_MFA!Y94-Donnees_Eurostat_MFA!Y170)/1000</f>
        <v>238.69281400000003</v>
      </c>
      <c r="Y5" s="107">
        <f>(Donnees_Eurostat_MFA!Z18+Donnees_Eurostat_MFA!Z94-Donnees_Eurostat_MFA!Z170)/1000</f>
        <v>234.68427500000001</v>
      </c>
      <c r="Z5" s="107">
        <f>(Donnees_Eurostat_MFA!AA18+Donnees_Eurostat_MFA!AA94-Donnees_Eurostat_MFA!AA170)/1000</f>
        <v>258.77768499999996</v>
      </c>
      <c r="AA5" s="107">
        <f>(Donnees_Eurostat_MFA!AB18+Donnees_Eurostat_MFA!AB94-Donnees_Eurostat_MFA!AB170)/1000</f>
        <v>227.017628</v>
      </c>
      <c r="AB5" s="107">
        <f>(Donnees_Eurostat_MFA!AC18+Donnees_Eurostat_MFA!AC94-Donnees_Eurostat_MFA!AC170)/1000</f>
        <v>212.59144000000001</v>
      </c>
      <c r="AC5" s="107">
        <f>(Donnees_Eurostat_MFA!AD18+Donnees_Eurostat_MFA!AD94-Donnees_Eurostat_MFA!AD170)/1000</f>
        <v>249.17372399999996</v>
      </c>
      <c r="AD5" s="107">
        <f>(Donnees_Eurostat_MFA!AE18+Donnees_Eurostat_MFA!AE94-Donnees_Eurostat_MFA!AE170)/1000</f>
        <v>219.45525300000003</v>
      </c>
      <c r="AE5" s="107">
        <f>(Donnees_Eurostat_MFA!AF18+Donnees_Eurostat_MFA!AF94-Donnees_Eurostat_MFA!AF170)/1000</f>
        <v>226.49899299999998</v>
      </c>
      <c r="AF5" s="107">
        <f>(Donnees_Eurostat_MFA!AG18+Donnees_Eurostat_MFA!AG94-Donnees_Eurostat_MFA!AG170)/1000</f>
        <v>199.971361</v>
      </c>
      <c r="AG5" s="107">
        <f>(Donnees_Eurostat_MFA!AH18+Donnees_Eurostat_MFA!AH94-Donnees_Eurostat_MFA!AH170)/1000</f>
        <v>231.55862300000001</v>
      </c>
      <c r="AH5" s="111">
        <f>(Donnees_Eurostat_MFA!AI18+Donnees_Eurostat_MFA!AI94-Donnees_Eurostat_MFA!AI170)/1000</f>
        <v>198.58420100000004</v>
      </c>
      <c r="AI5" s="6"/>
    </row>
    <row r="6" spans="1:42" s="5" customFormat="1" ht="26.4" x14ac:dyDescent="0.25">
      <c r="A6" s="30" t="s">
        <v>14</v>
      </c>
      <c r="B6" s="107">
        <f>(Donnees_Eurostat_MFA!C50+Donnees_Eurostat_MFA!C126-Donnees_Eurostat_MFA!C202)/1000</f>
        <v>29.647839000000005</v>
      </c>
      <c r="C6" s="107">
        <f>(Donnees_Eurostat_MFA!D50+Donnees_Eurostat_MFA!D126-Donnees_Eurostat_MFA!D202)/1000</f>
        <v>25.609867999999995</v>
      </c>
      <c r="D6" s="107">
        <f>(Donnees_Eurostat_MFA!E50+Donnees_Eurostat_MFA!E126-Donnees_Eurostat_MFA!E202)/1000</f>
        <v>22.593807000000002</v>
      </c>
      <c r="E6" s="107">
        <f>(Donnees_Eurostat_MFA!F50+Donnees_Eurostat_MFA!F126-Donnees_Eurostat_MFA!F202)/1000</f>
        <v>15.465530999999999</v>
      </c>
      <c r="F6" s="107">
        <f>(Donnees_Eurostat_MFA!G50+Donnees_Eurostat_MFA!G126-Donnees_Eurostat_MFA!G202)/1000</f>
        <v>20.372264999999999</v>
      </c>
      <c r="G6" s="107">
        <f>(Donnees_Eurostat_MFA!H50+Donnees_Eurostat_MFA!H126-Donnees_Eurostat_MFA!H202)/1000</f>
        <v>22.787320999999999</v>
      </c>
      <c r="H6" s="107">
        <f>(Donnees_Eurostat_MFA!I50+Donnees_Eurostat_MFA!I126-Donnees_Eurostat_MFA!I202)/1000</f>
        <v>18.036549999999998</v>
      </c>
      <c r="I6" s="107">
        <f>(Donnees_Eurostat_MFA!J50+Donnees_Eurostat_MFA!J126-Donnees_Eurostat_MFA!J202)/1000</f>
        <v>18.824103999999998</v>
      </c>
      <c r="J6" s="107">
        <f>(Donnees_Eurostat_MFA!K50+Donnees_Eurostat_MFA!K126-Donnees_Eurostat_MFA!K202)/1000</f>
        <v>20.999129</v>
      </c>
      <c r="K6" s="107">
        <f>(Donnees_Eurostat_MFA!L50+Donnees_Eurostat_MFA!L126-Donnees_Eurostat_MFA!L202)/1000</f>
        <v>20.754845999999997</v>
      </c>
      <c r="L6" s="107">
        <f>(Donnees_Eurostat_MFA!M50+Donnees_Eurostat_MFA!M126-Donnees_Eurostat_MFA!M202)/1000</f>
        <v>23.307332000000002</v>
      </c>
      <c r="M6" s="107">
        <f>(Donnees_Eurostat_MFA!N50+Donnees_Eurostat_MFA!N126-Donnees_Eurostat_MFA!N202)/1000</f>
        <v>18.51418</v>
      </c>
      <c r="N6" s="107">
        <f>(Donnees_Eurostat_MFA!O50+Donnees_Eurostat_MFA!O126-Donnees_Eurostat_MFA!O202)/1000</f>
        <v>18.309686999999997</v>
      </c>
      <c r="O6" s="107">
        <f>(Donnees_Eurostat_MFA!P50+Donnees_Eurostat_MFA!P126-Donnees_Eurostat_MFA!P202)/1000</f>
        <v>17.697718999999996</v>
      </c>
      <c r="P6" s="107">
        <f>(Donnees_Eurostat_MFA!Q50+Donnees_Eurostat_MFA!Q126-Donnees_Eurostat_MFA!Q202)/1000</f>
        <v>20.010703999999997</v>
      </c>
      <c r="Q6" s="107">
        <f>(Donnees_Eurostat_MFA!R50+Donnees_Eurostat_MFA!R126-Donnees_Eurostat_MFA!R202)/1000</f>
        <v>18.682478000000003</v>
      </c>
      <c r="R6" s="107">
        <f>(Donnees_Eurostat_MFA!S50+Donnees_Eurostat_MFA!S126-Donnees_Eurostat_MFA!S202)/1000</f>
        <v>20.492175000000003</v>
      </c>
      <c r="S6" s="107">
        <f>(Donnees_Eurostat_MFA!T50+Donnees_Eurostat_MFA!T126-Donnees_Eurostat_MFA!T202)/1000</f>
        <v>21.503146000000001</v>
      </c>
      <c r="T6" s="107">
        <f>(Donnees_Eurostat_MFA!U50+Donnees_Eurostat_MFA!U126-Donnees_Eurostat_MFA!U202)/1000</f>
        <v>17.870486000000003</v>
      </c>
      <c r="U6" s="107">
        <f>(Donnees_Eurostat_MFA!V50+Donnees_Eurostat_MFA!V126-Donnees_Eurostat_MFA!V202)/1000</f>
        <v>6.5252689999999962</v>
      </c>
      <c r="V6" s="107">
        <f>(Donnees_Eurostat_MFA!W50+Donnees_Eurostat_MFA!W126-Donnees_Eurostat_MFA!W202)/1000</f>
        <v>15.023221000000005</v>
      </c>
      <c r="W6" s="107">
        <f>(Donnees_Eurostat_MFA!X50+Donnees_Eurostat_MFA!X126-Donnees_Eurostat_MFA!X202)/1000</f>
        <v>16.809408000000005</v>
      </c>
      <c r="X6" s="107">
        <f>(Donnees_Eurostat_MFA!Y50+Donnees_Eurostat_MFA!Y126-Donnees_Eurostat_MFA!Y202)/1000</f>
        <v>14.064029999999999</v>
      </c>
      <c r="Y6" s="107">
        <f>(Donnees_Eurostat_MFA!Z50+Donnees_Eurostat_MFA!Z126-Donnees_Eurostat_MFA!Z202)/1000</f>
        <v>16.856303</v>
      </c>
      <c r="Z6" s="107">
        <f>(Donnees_Eurostat_MFA!AA50+Donnees_Eurostat_MFA!AA126-Donnees_Eurostat_MFA!AA202)/1000</f>
        <v>17.705881999999999</v>
      </c>
      <c r="AA6" s="107">
        <f>(Donnees_Eurostat_MFA!AB50+Donnees_Eurostat_MFA!AB126-Donnees_Eurostat_MFA!AB202)/1000</f>
        <v>19.98854</v>
      </c>
      <c r="AB6" s="107">
        <f>(Donnees_Eurostat_MFA!AC50+Donnees_Eurostat_MFA!AC126-Donnees_Eurostat_MFA!AC202)/1000</f>
        <v>18.945027000000003</v>
      </c>
      <c r="AC6" s="107">
        <f>(Donnees_Eurostat_MFA!AD50+Donnees_Eurostat_MFA!AD126-Donnees_Eurostat_MFA!AD202)/1000</f>
        <v>19.520691000000006</v>
      </c>
      <c r="AD6" s="107">
        <f>(Donnees_Eurostat_MFA!AE50+Donnees_Eurostat_MFA!AE126-Donnees_Eurostat_MFA!AE202)/1000</f>
        <v>20.338296999999997</v>
      </c>
      <c r="AE6" s="107">
        <f>(Donnees_Eurostat_MFA!AF50+Donnees_Eurostat_MFA!AF126-Donnees_Eurostat_MFA!AF202)/1000</f>
        <v>18.550862000000002</v>
      </c>
      <c r="AF6" s="107">
        <f>(Donnees_Eurostat_MFA!AG50+Donnees_Eurostat_MFA!AG126-Donnees_Eurostat_MFA!AG202)/1000</f>
        <v>16.654979000000001</v>
      </c>
      <c r="AG6" s="107">
        <f>(Donnees_Eurostat_MFA!AH50+Donnees_Eurostat_MFA!AH126-Donnees_Eurostat_MFA!AH202)/1000</f>
        <v>17.667725000000004</v>
      </c>
      <c r="AH6" s="111">
        <f>(Donnees_Eurostat_MFA!AI50+Donnees_Eurostat_MFA!AI126-Donnees_Eurostat_MFA!AI202)/1000</f>
        <v>16.183667</v>
      </c>
      <c r="AI6" s="6"/>
      <c r="AJ6" s="6"/>
      <c r="AK6" s="6"/>
      <c r="AL6" s="6"/>
      <c r="AM6" s="6"/>
      <c r="AN6" s="6"/>
      <c r="AO6" s="6"/>
      <c r="AP6" s="6"/>
    </row>
    <row r="7" spans="1:42" s="8" customFormat="1" x14ac:dyDescent="0.25">
      <c r="A7" s="30" t="s">
        <v>15</v>
      </c>
      <c r="B7" s="107">
        <f>(Donnees_Eurostat_MFA!C63+Donnees_Eurostat_MFA!C139-Donnees_Eurostat_MFA!C215)/1000</f>
        <v>446.31248000000005</v>
      </c>
      <c r="C7" s="107">
        <f>(Donnees_Eurostat_MFA!D63+Donnees_Eurostat_MFA!D139-Donnees_Eurostat_MFA!D215)/1000</f>
        <v>452.32088400000004</v>
      </c>
      <c r="D7" s="107">
        <f>(Donnees_Eurostat_MFA!E63+Donnees_Eurostat_MFA!E139-Donnees_Eurostat_MFA!E215)/1000</f>
        <v>419.74143500000002</v>
      </c>
      <c r="E7" s="107">
        <f>(Donnees_Eurostat_MFA!F63+Donnees_Eurostat_MFA!F139-Donnees_Eurostat_MFA!F215)/1000</f>
        <v>390.50295499999999</v>
      </c>
      <c r="F7" s="107">
        <f>(Donnees_Eurostat_MFA!G63+Donnees_Eurostat_MFA!G139-Donnees_Eurostat_MFA!G215)/1000</f>
        <v>417.19828899999999</v>
      </c>
      <c r="G7" s="107">
        <f>(Donnees_Eurostat_MFA!H63+Donnees_Eurostat_MFA!H139-Donnees_Eurostat_MFA!H215)/1000</f>
        <v>416.75826799999999</v>
      </c>
      <c r="H7" s="107">
        <f>(Donnees_Eurostat_MFA!I63+Donnees_Eurostat_MFA!I139-Donnees_Eurostat_MFA!I215)/1000</f>
        <v>388.02387499999998</v>
      </c>
      <c r="I7" s="107">
        <f>(Donnees_Eurostat_MFA!J63+Donnees_Eurostat_MFA!J139-Donnees_Eurostat_MFA!J215)/1000</f>
        <v>398.25218800000005</v>
      </c>
      <c r="J7" s="107">
        <f>(Donnees_Eurostat_MFA!K63+Donnees_Eurostat_MFA!K139-Donnees_Eurostat_MFA!K215)/1000</f>
        <v>412.35364399999997</v>
      </c>
      <c r="K7" s="107">
        <f>(Donnees_Eurostat_MFA!L63+Donnees_Eurostat_MFA!L139-Donnees_Eurostat_MFA!L215)/1000</f>
        <v>432.689705</v>
      </c>
      <c r="L7" s="107">
        <f>(Donnees_Eurostat_MFA!M63+Donnees_Eurostat_MFA!M139-Donnees_Eurostat_MFA!M215)/1000</f>
        <v>459.45451499999996</v>
      </c>
      <c r="M7" s="107">
        <f>(Donnees_Eurostat_MFA!N63+Donnees_Eurostat_MFA!N139-Donnees_Eurostat_MFA!N215)/1000</f>
        <v>453.95500699999997</v>
      </c>
      <c r="N7" s="107">
        <f>(Donnees_Eurostat_MFA!O63+Donnees_Eurostat_MFA!O139-Donnees_Eurostat_MFA!O215)/1000</f>
        <v>440.67759400000006</v>
      </c>
      <c r="O7" s="107">
        <f>(Donnees_Eurostat_MFA!P63+Donnees_Eurostat_MFA!P139-Donnees_Eurostat_MFA!P215)/1000</f>
        <v>441.58101499999998</v>
      </c>
      <c r="P7" s="107">
        <f>(Donnees_Eurostat_MFA!Q63+Donnees_Eurostat_MFA!Q139-Donnees_Eurostat_MFA!Q215)/1000</f>
        <v>452.09459800000002</v>
      </c>
      <c r="Q7" s="107">
        <f>(Donnees_Eurostat_MFA!R63+Donnees_Eurostat_MFA!R139-Donnees_Eurostat_MFA!R215)/1000</f>
        <v>451.67726600000003</v>
      </c>
      <c r="R7" s="107">
        <f>(Donnees_Eurostat_MFA!S63+Donnees_Eurostat_MFA!S139-Donnees_Eurostat_MFA!S215)/1000</f>
        <v>467.92666200000002</v>
      </c>
      <c r="S7" s="107">
        <f>(Donnees_Eurostat_MFA!T63+Donnees_Eurostat_MFA!T139-Donnees_Eurostat_MFA!T215)/1000</f>
        <v>486.284492</v>
      </c>
      <c r="T7" s="107">
        <f>(Donnees_Eurostat_MFA!U63+Donnees_Eurostat_MFA!U139-Donnees_Eurostat_MFA!U215)/1000</f>
        <v>464.03451100000001</v>
      </c>
      <c r="U7" s="107">
        <f>(Donnees_Eurostat_MFA!V63+Donnees_Eurostat_MFA!V139-Donnees_Eurostat_MFA!V215)/1000</f>
        <v>401.35586900000004</v>
      </c>
      <c r="V7" s="107">
        <f>(Donnees_Eurostat_MFA!W63+Donnees_Eurostat_MFA!W139-Donnees_Eurostat_MFA!W215)/1000</f>
        <v>394.572227</v>
      </c>
      <c r="W7" s="107">
        <f>(Donnees_Eurostat_MFA!X63+Donnees_Eurostat_MFA!X139-Donnees_Eurostat_MFA!X215)/1000</f>
        <v>416.83396500000003</v>
      </c>
      <c r="X7" s="107">
        <f>(Donnees_Eurostat_MFA!Y63+Donnees_Eurostat_MFA!Y139-Donnees_Eurostat_MFA!Y215)/1000</f>
        <v>391.44010400000008</v>
      </c>
      <c r="Y7" s="107">
        <f>(Donnees_Eurostat_MFA!Z63+Donnees_Eurostat_MFA!Z139-Donnees_Eurostat_MFA!Z215)/1000</f>
        <v>393.42036899999994</v>
      </c>
      <c r="Z7" s="107">
        <f>(Donnees_Eurostat_MFA!AA63+Donnees_Eurostat_MFA!AA139-Donnees_Eurostat_MFA!AA215)/1000</f>
        <v>373.32073600000001</v>
      </c>
      <c r="AA7" s="107">
        <f>(Donnees_Eurostat_MFA!AB63+Donnees_Eurostat_MFA!AB139-Donnees_Eurostat_MFA!AB215)/1000</f>
        <v>357.88509400000004</v>
      </c>
      <c r="AB7" s="107">
        <f>(Donnees_Eurostat_MFA!AC63+Donnees_Eurostat_MFA!AC139-Donnees_Eurostat_MFA!AC215)/1000</f>
        <v>360.59647999999999</v>
      </c>
      <c r="AC7" s="107">
        <f>(Donnees_Eurostat_MFA!AD63+Donnees_Eurostat_MFA!AD139-Donnees_Eurostat_MFA!AD215)/1000</f>
        <v>378.77548999999999</v>
      </c>
      <c r="AD7" s="107">
        <f>(Donnees_Eurostat_MFA!AE63+Donnees_Eurostat_MFA!AE139-Donnees_Eurostat_MFA!AE215)/1000</f>
        <v>397.242794</v>
      </c>
      <c r="AE7" s="107">
        <f>(Donnees_Eurostat_MFA!AF63+Donnees_Eurostat_MFA!AF139-Donnees_Eurostat_MFA!AF215)/1000</f>
        <v>417.55278599999997</v>
      </c>
      <c r="AF7" s="107">
        <f>(Donnees_Eurostat_MFA!AG63+Donnees_Eurostat_MFA!AG139-Donnees_Eurostat_MFA!AG215)/1000</f>
        <v>387.64314200000001</v>
      </c>
      <c r="AG7" s="107">
        <f>(Donnees_Eurostat_MFA!AH63+Donnees_Eurostat_MFA!AH139-Donnees_Eurostat_MFA!AH215)/1000</f>
        <v>420.31639999999999</v>
      </c>
      <c r="AH7" s="111">
        <f>(Donnees_Eurostat_MFA!AI63+Donnees_Eurostat_MFA!AI139-Donnees_Eurostat_MFA!AI215)/1000</f>
        <v>422.52351799999991</v>
      </c>
      <c r="AI7" s="6"/>
      <c r="AJ7" s="6"/>
      <c r="AK7" s="6"/>
      <c r="AL7" s="6"/>
      <c r="AM7" s="6"/>
      <c r="AN7" s="6"/>
      <c r="AO7" s="6"/>
      <c r="AP7" s="6"/>
    </row>
    <row r="8" spans="1:42" s="8" customFormat="1" ht="26.4" x14ac:dyDescent="0.25">
      <c r="A8" s="30" t="s">
        <v>16</v>
      </c>
      <c r="B8" s="107">
        <f>(Donnees_Eurostat_MFA!C74+Donnees_Eurostat_MFA!C150-Donnees_Eurostat_MFA!C226)/1000</f>
        <v>146.24089900000001</v>
      </c>
      <c r="C8" s="107">
        <f>(Donnees_Eurostat_MFA!D74+Donnees_Eurostat_MFA!D150-Donnees_Eurostat_MFA!D226)/1000</f>
        <v>153.26175699999999</v>
      </c>
      <c r="D8" s="107">
        <f>(Donnees_Eurostat_MFA!E74+Donnees_Eurostat_MFA!E150-Donnees_Eurostat_MFA!E226)/1000</f>
        <v>153.14851400000001</v>
      </c>
      <c r="E8" s="107">
        <f>(Donnees_Eurostat_MFA!F74+Donnees_Eurostat_MFA!F150-Donnees_Eurostat_MFA!F226)/1000</f>
        <v>138.83905999999999</v>
      </c>
      <c r="F8" s="107">
        <f>(Donnees_Eurostat_MFA!G74+Donnees_Eurostat_MFA!G150-Donnees_Eurostat_MFA!G226)/1000</f>
        <v>139.55417499999999</v>
      </c>
      <c r="G8" s="107">
        <f>(Donnees_Eurostat_MFA!H74+Donnees_Eurostat_MFA!H150-Donnees_Eurostat_MFA!H226)/1000</f>
        <v>139.6293</v>
      </c>
      <c r="H8" s="107">
        <f>(Donnees_Eurostat_MFA!I74+Donnees_Eurostat_MFA!I150-Donnees_Eurostat_MFA!I226)/1000</f>
        <v>148.49384199999997</v>
      </c>
      <c r="I8" s="107">
        <f>(Donnees_Eurostat_MFA!J74+Donnees_Eurostat_MFA!J150-Donnees_Eurostat_MFA!J226)/1000</f>
        <v>143.60159499999997</v>
      </c>
      <c r="J8" s="107">
        <f>(Donnees_Eurostat_MFA!K74+Donnees_Eurostat_MFA!K150-Donnees_Eurostat_MFA!K226)/1000</f>
        <v>146.00911500000001</v>
      </c>
      <c r="K8" s="107">
        <f>(Donnees_Eurostat_MFA!L74+Donnees_Eurostat_MFA!L150-Donnees_Eurostat_MFA!L226)/1000</f>
        <v>148.64769899999999</v>
      </c>
      <c r="L8" s="107">
        <f>(Donnees_Eurostat_MFA!M74+Donnees_Eurostat_MFA!M150-Donnees_Eurostat_MFA!M226)/1000</f>
        <v>149.38833199999999</v>
      </c>
      <c r="M8" s="107">
        <f>(Donnees_Eurostat_MFA!N74+Donnees_Eurostat_MFA!N150-Donnees_Eurostat_MFA!N226)/1000</f>
        <v>145.524821</v>
      </c>
      <c r="N8" s="107">
        <f>(Donnees_Eurostat_MFA!O74+Donnees_Eurostat_MFA!O150-Donnees_Eurostat_MFA!O226)/1000</f>
        <v>146.590665</v>
      </c>
      <c r="O8" s="107">
        <f>(Donnees_Eurostat_MFA!P74+Donnees_Eurostat_MFA!P150-Donnees_Eurostat_MFA!P226)/1000</f>
        <v>146.69962399999997</v>
      </c>
      <c r="P8" s="107">
        <f>(Donnees_Eurostat_MFA!Q74+Donnees_Eurostat_MFA!Q150-Donnees_Eurostat_MFA!Q226)/1000</f>
        <v>153.695008</v>
      </c>
      <c r="Q8" s="107">
        <f>(Donnees_Eurostat_MFA!R74+Donnees_Eurostat_MFA!R150-Donnees_Eurostat_MFA!R226)/1000</f>
        <v>153.74768700000001</v>
      </c>
      <c r="R8" s="107">
        <f>(Donnees_Eurostat_MFA!S74+Donnees_Eurostat_MFA!S150-Donnees_Eurostat_MFA!S226)/1000</f>
        <v>153.16270699999998</v>
      </c>
      <c r="S8" s="107">
        <f>(Donnees_Eurostat_MFA!T74+Donnees_Eurostat_MFA!T150-Donnees_Eurostat_MFA!T226)/1000</f>
        <v>145.47815199999999</v>
      </c>
      <c r="T8" s="107">
        <f>(Donnees_Eurostat_MFA!U74+Donnees_Eurostat_MFA!U150-Donnees_Eurostat_MFA!U226)/1000</f>
        <v>147.68287700000002</v>
      </c>
      <c r="U8" s="107">
        <f>(Donnees_Eurostat_MFA!V74+Donnees_Eurostat_MFA!V150-Donnees_Eurostat_MFA!V226)/1000</f>
        <v>134.81685300000001</v>
      </c>
      <c r="V8" s="107">
        <f>(Donnees_Eurostat_MFA!W74+Donnees_Eurostat_MFA!W150-Donnees_Eurostat_MFA!W226)/1000</f>
        <v>142.250044</v>
      </c>
      <c r="W8" s="107">
        <f>(Donnees_Eurostat_MFA!X74+Donnees_Eurostat_MFA!X150-Donnees_Eurostat_MFA!X226)/1000</f>
        <v>140.11575200000001</v>
      </c>
      <c r="X8" s="107">
        <f>(Donnees_Eurostat_MFA!Y74+Donnees_Eurostat_MFA!Y150-Donnees_Eurostat_MFA!Y226)/1000</f>
        <v>136.921167</v>
      </c>
      <c r="Y8" s="107">
        <f>(Donnees_Eurostat_MFA!Z74+Donnees_Eurostat_MFA!Z150-Donnees_Eurostat_MFA!Z226)/1000</f>
        <v>138.94207700000001</v>
      </c>
      <c r="Z8" s="107">
        <f>(Donnees_Eurostat_MFA!AA74+Donnees_Eurostat_MFA!AA150-Donnees_Eurostat_MFA!AA226)/1000</f>
        <v>125.63237600000002</v>
      </c>
      <c r="AA8" s="107">
        <f>(Donnees_Eurostat_MFA!AB74+Donnees_Eurostat_MFA!AB150-Donnees_Eurostat_MFA!AB226)/1000</f>
        <v>129.33914799999999</v>
      </c>
      <c r="AB8" s="107">
        <f>(Donnees_Eurostat_MFA!AC74+Donnees_Eurostat_MFA!AC150-Donnees_Eurostat_MFA!AC226)/1000</f>
        <v>130.56403799999998</v>
      </c>
      <c r="AC8" s="107">
        <f>(Donnees_Eurostat_MFA!AD74+Donnees_Eurostat_MFA!AD150-Donnees_Eurostat_MFA!AD226)/1000</f>
        <v>133.12330399999999</v>
      </c>
      <c r="AD8" s="107">
        <f>(Donnees_Eurostat_MFA!AE74+Donnees_Eurostat_MFA!AE150-Donnees_Eurostat_MFA!AE226)/1000</f>
        <v>131.81071700000001</v>
      </c>
      <c r="AE8" s="107">
        <f>(Donnees_Eurostat_MFA!AF74+Donnees_Eurostat_MFA!AF150-Donnees_Eurostat_MFA!AF226)/1000</f>
        <v>130.23873699999999</v>
      </c>
      <c r="AF8" s="107">
        <f>(Donnees_Eurostat_MFA!AG74+Donnees_Eurostat_MFA!AG150-Donnees_Eurostat_MFA!AG226)/1000</f>
        <v>107.27372999999999</v>
      </c>
      <c r="AG8" s="107">
        <f>(Donnees_Eurostat_MFA!AH74+Donnees_Eurostat_MFA!AH150-Donnees_Eurostat_MFA!AH226)/1000</f>
        <v>114.979253</v>
      </c>
      <c r="AH8" s="111">
        <f>(Donnees_Eurostat_MFA!AI74+Donnees_Eurostat_MFA!AI150-Donnees_Eurostat_MFA!AI226)/1000</f>
        <v>115.683166</v>
      </c>
      <c r="AI8" s="6"/>
      <c r="AJ8" s="6"/>
      <c r="AK8" s="6"/>
      <c r="AL8" s="6"/>
      <c r="AM8" s="6"/>
      <c r="AN8" s="6"/>
      <c r="AO8" s="6"/>
      <c r="AP8" s="6"/>
    </row>
    <row r="9" spans="1:42" s="8" customFormat="1" x14ac:dyDescent="0.25">
      <c r="A9" s="30" t="s">
        <v>17</v>
      </c>
      <c r="B9" s="108">
        <f>Donnees_INSEE!B31/1000</f>
        <v>1480.2860000000001</v>
      </c>
      <c r="C9" s="108">
        <f>Donnees_INSEE!C31/1000</f>
        <v>1495.8019999999999</v>
      </c>
      <c r="D9" s="108">
        <f>Donnees_INSEE!D31/1000</f>
        <v>1519.7249999999999</v>
      </c>
      <c r="E9" s="108">
        <f>Donnees_INSEE!E31/1000</f>
        <v>1510.171</v>
      </c>
      <c r="F9" s="108">
        <f>Donnees_INSEE!F31/1000</f>
        <v>1545.787</v>
      </c>
      <c r="G9" s="108">
        <f>Donnees_INSEE!G31/1000</f>
        <v>1578.3510000000001</v>
      </c>
      <c r="H9" s="108">
        <f>Donnees_INSEE!H31/1000</f>
        <v>1600.653</v>
      </c>
      <c r="I9" s="108">
        <f>Donnees_INSEE!I31/1000</f>
        <v>1638.049</v>
      </c>
      <c r="J9" s="108">
        <f>Donnees_INSEE!J31/1000</f>
        <v>1696.8330000000001</v>
      </c>
      <c r="K9" s="108">
        <f>Donnees_INSEE!K31/1000</f>
        <v>1754.8879999999999</v>
      </c>
      <c r="L9" s="108">
        <f>Donnees_INSEE!L31/1000</f>
        <v>1823.7439999999999</v>
      </c>
      <c r="M9" s="108">
        <f>Donnees_INSEE!M31/1000</f>
        <v>1859.922</v>
      </c>
      <c r="N9" s="108">
        <f>Donnees_INSEE!N31/1000</f>
        <v>1881.0419999999999</v>
      </c>
      <c r="O9" s="108">
        <f>Donnees_INSEE!O31/1000</f>
        <v>1896.5260000000001</v>
      </c>
      <c r="P9" s="108">
        <f>Donnees_INSEE!P31/1000</f>
        <v>1950.193</v>
      </c>
      <c r="Q9" s="108">
        <f>Donnees_INSEE!Q31/1000</f>
        <v>1982.6289999999999</v>
      </c>
      <c r="R9" s="108">
        <f>Donnees_INSEE!R31/1000</f>
        <v>2031.19</v>
      </c>
      <c r="S9" s="108">
        <f>Donnees_INSEE!S31/1000</f>
        <v>2080.4409999999998</v>
      </c>
      <c r="T9" s="108">
        <f>Donnees_INSEE!T31/1000</f>
        <v>2085.7449999999999</v>
      </c>
      <c r="U9" s="108">
        <f>Donnees_INSEE!U31/1000</f>
        <v>2025.8150000000001</v>
      </c>
      <c r="V9" s="108">
        <f>Donnees_INSEE!V31/1000</f>
        <v>2065.3069999999998</v>
      </c>
      <c r="W9" s="108">
        <f>Donnees_INSEE!W31/1000</f>
        <v>2110.5929999999998</v>
      </c>
      <c r="X9" s="108">
        <f>Donnees_INSEE!X31/1000</f>
        <v>2117.2020000000002</v>
      </c>
      <c r="Y9" s="108">
        <f>Donnees_INSEE!Y31/1000</f>
        <v>2129.404</v>
      </c>
      <c r="Z9" s="108">
        <f>Donnees_INSEE!Z31/1000</f>
        <v>2149.7649999999999</v>
      </c>
      <c r="AA9" s="108">
        <f>Donnees_INSEE!AA31/1000</f>
        <v>2173.69</v>
      </c>
      <c r="AB9" s="108">
        <f>Donnees_INSEE!AB31/1000</f>
        <v>2197.502</v>
      </c>
      <c r="AC9" s="108">
        <f>Donnees_INSEE!AC31/1000</f>
        <v>2247.8560000000002</v>
      </c>
      <c r="AD9" s="108">
        <f>Donnees_INSEE!AD31/1000</f>
        <v>2289.7800000000002</v>
      </c>
      <c r="AE9" s="108">
        <f>Donnees_INSEE!AE31/1000</f>
        <v>2331.98</v>
      </c>
      <c r="AF9" s="108">
        <f>Donnees_INSEE!AF31/1000</f>
        <v>2156.1379999999999</v>
      </c>
      <c r="AG9" s="108">
        <f>Donnees_INSEE!AG31/1000</f>
        <v>2294.89</v>
      </c>
      <c r="AH9" s="112">
        <f>Donnees_INSEE!AH31/1000</f>
        <v>2351.2240000000002</v>
      </c>
      <c r="AI9" s="6"/>
      <c r="AJ9" s="6"/>
      <c r="AK9" s="6"/>
      <c r="AL9" s="6"/>
      <c r="AM9" s="6"/>
      <c r="AN9" s="6"/>
      <c r="AO9" s="6"/>
      <c r="AP9" s="6"/>
    </row>
    <row r="10" spans="1:42" s="8" customFormat="1" ht="26.4" x14ac:dyDescent="0.25">
      <c r="A10" s="30" t="s">
        <v>18</v>
      </c>
      <c r="B10" s="107">
        <f>Donnees_Eurostat_MFA!C245/1000</f>
        <v>831.51720300000011</v>
      </c>
      <c r="C10" s="107">
        <f>Donnees_Eurostat_MFA!D245/1000</f>
        <v>849.96848399999999</v>
      </c>
      <c r="D10" s="107">
        <f>Donnees_Eurostat_MFA!E245/1000</f>
        <v>833.57592099999999</v>
      </c>
      <c r="E10" s="107">
        <f>Donnees_Eurostat_MFA!F245/1000</f>
        <v>768.04408399999988</v>
      </c>
      <c r="F10" s="107">
        <f>Donnees_Eurostat_MFA!G245/1000</f>
        <v>806.71337100000005</v>
      </c>
      <c r="G10" s="107">
        <f>Donnees_Eurostat_MFA!H245/1000</f>
        <v>799.48136799999997</v>
      </c>
      <c r="H10" s="107">
        <f>Donnees_Eurostat_MFA!I245/1000</f>
        <v>777.11494099999993</v>
      </c>
      <c r="I10" s="107">
        <f>Donnees_Eurostat_MFA!J245/1000</f>
        <v>793.47314599999993</v>
      </c>
      <c r="J10" s="107">
        <f>Donnees_Eurostat_MFA!K245/1000</f>
        <v>817.90452100000005</v>
      </c>
      <c r="K10" s="107">
        <f>Donnees_Eurostat_MFA!L245/1000</f>
        <v>843.42045099999996</v>
      </c>
      <c r="L10" s="107">
        <f>Donnees_Eurostat_MFA!M245/1000</f>
        <v>884.51747399999988</v>
      </c>
      <c r="M10" s="107">
        <f>Donnees_Eurostat_MFA!N245/1000</f>
        <v>850.65498799999989</v>
      </c>
      <c r="N10" s="107">
        <f>Donnees_Eurostat_MFA!O245/1000</f>
        <v>855.72793100000001</v>
      </c>
      <c r="O10" s="107">
        <f>Donnees_Eurostat_MFA!P245/1000</f>
        <v>804.36604699999998</v>
      </c>
      <c r="P10" s="107">
        <f>Donnees_Eurostat_MFA!Q245/1000</f>
        <v>884.9620819999999</v>
      </c>
      <c r="Q10" s="107">
        <f>Donnees_Eurostat_MFA!R245/1000</f>
        <v>857.30292800000007</v>
      </c>
      <c r="R10" s="107">
        <f>Donnees_Eurostat_MFA!S245/1000</f>
        <v>876.28699200000005</v>
      </c>
      <c r="S10" s="107">
        <f>Donnees_Eurostat_MFA!T245/1000</f>
        <v>911.8223270000002</v>
      </c>
      <c r="T10" s="107">
        <f>Donnees_Eurostat_MFA!U245/1000</f>
        <v>894.16744600000004</v>
      </c>
      <c r="U10" s="107">
        <f>Donnees_Eurostat_MFA!V245/1000</f>
        <v>800.05545400000017</v>
      </c>
      <c r="V10" s="107">
        <f>Donnees_Eurostat_MFA!W245/1000</f>
        <v>784.6680429999999</v>
      </c>
      <c r="W10" s="107">
        <f>Donnees_Eurostat_MFA!X245/1000</f>
        <v>806.41566699999998</v>
      </c>
      <c r="X10" s="107">
        <f>Donnees_Eurostat_MFA!Y245/1000</f>
        <v>787.77724500000011</v>
      </c>
      <c r="Y10" s="107">
        <f>Donnees_Eurostat_MFA!Z245/1000</f>
        <v>789.82324699999992</v>
      </c>
      <c r="Z10" s="107">
        <f>Donnees_Eurostat_MFA!AA245/1000</f>
        <v>781.33017399999994</v>
      </c>
      <c r="AA10" s="107">
        <f>Donnees_Eurostat_MFA!AB245/1000</f>
        <v>739.78941900000007</v>
      </c>
      <c r="AB10" s="107">
        <f>Donnees_Eurostat_MFA!AC245/1000</f>
        <v>729.02963399999987</v>
      </c>
      <c r="AC10" s="107">
        <f>Donnees_Eurostat_MFA!AD245/1000</f>
        <v>787.23608300000001</v>
      </c>
      <c r="AD10" s="107">
        <f>Donnees_Eurostat_MFA!AE245/1000</f>
        <v>776.31538099999989</v>
      </c>
      <c r="AE10" s="107">
        <f>Donnees_Eurostat_MFA!AF245/1000</f>
        <v>799.07230599999991</v>
      </c>
      <c r="AF10" s="107">
        <f>Donnees_Eurostat_MFA!AG245/1000</f>
        <v>717.75686399999995</v>
      </c>
      <c r="AG10" s="107">
        <f>Donnees_Eurostat_MFA!AH245/1000</f>
        <v>792.33641100000011</v>
      </c>
      <c r="AH10" s="111"/>
      <c r="AI10" s="6"/>
      <c r="AJ10" s="6"/>
      <c r="AK10" s="6"/>
      <c r="AL10" s="6"/>
      <c r="AM10" s="6"/>
      <c r="AN10" s="6"/>
      <c r="AO10" s="6"/>
      <c r="AP10" s="6"/>
    </row>
    <row r="11" spans="1:42" ht="15.6" x14ac:dyDescent="0.3">
      <c r="B11" s="7"/>
      <c r="C11" s="7"/>
      <c r="D11" s="7"/>
      <c r="E11" s="7"/>
      <c r="F11" s="7"/>
      <c r="G11" s="7"/>
      <c r="H11" s="7"/>
      <c r="I11" s="7"/>
      <c r="J11" s="7"/>
      <c r="K11" s="7"/>
      <c r="L11" s="7"/>
      <c r="M11" s="7"/>
      <c r="N11" s="7"/>
      <c r="O11" s="7"/>
      <c r="P11" s="7"/>
      <c r="Q11" s="7"/>
      <c r="R11" s="7"/>
      <c r="S11" s="7"/>
    </row>
    <row r="12" spans="1:42" ht="15.6" x14ac:dyDescent="0.3">
      <c r="A12" s="109" t="s">
        <v>316</v>
      </c>
      <c r="B12" s="27">
        <v>1990</v>
      </c>
      <c r="C12" s="27">
        <f t="shared" ref="C12:U12" si="1">B12+1</f>
        <v>1991</v>
      </c>
      <c r="D12" s="27">
        <f t="shared" si="1"/>
        <v>1992</v>
      </c>
      <c r="E12" s="27">
        <f t="shared" si="1"/>
        <v>1993</v>
      </c>
      <c r="F12" s="27">
        <f t="shared" si="1"/>
        <v>1994</v>
      </c>
      <c r="G12" s="27">
        <f t="shared" si="1"/>
        <v>1995</v>
      </c>
      <c r="H12" s="27">
        <f t="shared" si="1"/>
        <v>1996</v>
      </c>
      <c r="I12" s="27">
        <f t="shared" si="1"/>
        <v>1997</v>
      </c>
      <c r="J12" s="27">
        <f t="shared" si="1"/>
        <v>1998</v>
      </c>
      <c r="K12" s="27">
        <f t="shared" si="1"/>
        <v>1999</v>
      </c>
      <c r="L12" s="27">
        <f t="shared" si="1"/>
        <v>2000</v>
      </c>
      <c r="M12" s="27">
        <f t="shared" si="1"/>
        <v>2001</v>
      </c>
      <c r="N12" s="27">
        <f t="shared" si="1"/>
        <v>2002</v>
      </c>
      <c r="O12" s="27">
        <f t="shared" si="1"/>
        <v>2003</v>
      </c>
      <c r="P12" s="27">
        <f t="shared" si="1"/>
        <v>2004</v>
      </c>
      <c r="Q12" s="27">
        <f t="shared" si="1"/>
        <v>2005</v>
      </c>
      <c r="R12" s="27">
        <f t="shared" si="1"/>
        <v>2006</v>
      </c>
      <c r="S12" s="27">
        <f t="shared" si="1"/>
        <v>2007</v>
      </c>
      <c r="T12" s="27">
        <f t="shared" si="1"/>
        <v>2008</v>
      </c>
      <c r="U12" s="27">
        <f t="shared" si="1"/>
        <v>2009</v>
      </c>
      <c r="V12" s="27">
        <v>2010</v>
      </c>
      <c r="W12" s="27">
        <v>2011</v>
      </c>
      <c r="X12" s="27">
        <v>2012</v>
      </c>
      <c r="Y12" s="27">
        <v>2013</v>
      </c>
      <c r="Z12" s="27">
        <v>2014</v>
      </c>
      <c r="AA12" s="27">
        <v>2015</v>
      </c>
      <c r="AB12" s="27">
        <v>2016</v>
      </c>
      <c r="AC12" s="27">
        <v>2017</v>
      </c>
      <c r="AD12" s="27">
        <v>2018</v>
      </c>
      <c r="AE12" s="27">
        <v>2019</v>
      </c>
      <c r="AF12" s="27">
        <v>2020</v>
      </c>
      <c r="AG12" s="27">
        <v>2021</v>
      </c>
      <c r="AH12" s="110">
        <v>2022</v>
      </c>
      <c r="AI12" s="3" t="s">
        <v>317</v>
      </c>
    </row>
    <row r="13" spans="1:42" s="8" customFormat="1" x14ac:dyDescent="0.25">
      <c r="A13" s="26" t="s">
        <v>13</v>
      </c>
      <c r="B13" s="33">
        <v>100</v>
      </c>
      <c r="C13" s="33">
        <f t="shared" ref="C13:AH13" si="2">C5/$B5*100</f>
        <v>104.83737797365771</v>
      </c>
      <c r="D13" s="33">
        <f t="shared" si="2"/>
        <v>114.66862086138869</v>
      </c>
      <c r="E13" s="33">
        <f t="shared" si="2"/>
        <v>108.1679230991508</v>
      </c>
      <c r="F13" s="33">
        <f t="shared" si="2"/>
        <v>110.83709670363977</v>
      </c>
      <c r="G13" s="33">
        <f t="shared" si="2"/>
        <v>106.21997245395647</v>
      </c>
      <c r="H13" s="33">
        <f t="shared" si="2"/>
        <v>107.99861637880083</v>
      </c>
      <c r="I13" s="33">
        <f t="shared" si="2"/>
        <v>112.90943560981295</v>
      </c>
      <c r="J13" s="33">
        <f t="shared" si="2"/>
        <v>115.39345301171757</v>
      </c>
      <c r="K13" s="33">
        <f t="shared" si="2"/>
        <v>116.78732915307893</v>
      </c>
      <c r="L13" s="33">
        <f t="shared" si="2"/>
        <v>122.08725718968931</v>
      </c>
      <c r="M13" s="33">
        <f t="shared" si="2"/>
        <v>112.40162909321477</v>
      </c>
      <c r="N13" s="33">
        <f t="shared" si="2"/>
        <v>120.94592792090853</v>
      </c>
      <c r="O13" s="33">
        <f t="shared" si="2"/>
        <v>95.022196181967701</v>
      </c>
      <c r="P13" s="33">
        <f t="shared" si="2"/>
        <v>124.54540970220891</v>
      </c>
      <c r="Q13" s="33">
        <f t="shared" si="2"/>
        <v>111.7469038132465</v>
      </c>
      <c r="R13" s="33">
        <f t="shared" si="2"/>
        <v>112.36968961397966</v>
      </c>
      <c r="S13" s="33">
        <f t="shared" si="2"/>
        <v>123.26709037432964</v>
      </c>
      <c r="T13" s="33">
        <f t="shared" si="2"/>
        <v>126.48564085208452</v>
      </c>
      <c r="U13" s="33">
        <f t="shared" si="2"/>
        <v>123.6140557025341</v>
      </c>
      <c r="V13" s="33">
        <f t="shared" si="2"/>
        <v>111.05332584651519</v>
      </c>
      <c r="W13" s="33">
        <f t="shared" si="2"/>
        <v>110.32822232107327</v>
      </c>
      <c r="X13" s="33">
        <f t="shared" si="2"/>
        <v>116.92290502453962</v>
      </c>
      <c r="Y13" s="33">
        <f t="shared" si="2"/>
        <v>114.95933512509487</v>
      </c>
      <c r="Z13" s="33">
        <f t="shared" si="2"/>
        <v>126.76141429932291</v>
      </c>
      <c r="AA13" s="33">
        <f t="shared" si="2"/>
        <v>111.20385282122595</v>
      </c>
      <c r="AB13" s="33">
        <f t="shared" si="2"/>
        <v>104.13723116168092</v>
      </c>
      <c r="AC13" s="33">
        <f t="shared" si="2"/>
        <v>122.05694498143896</v>
      </c>
      <c r="AD13" s="33">
        <f t="shared" si="2"/>
        <v>107.49944782022349</v>
      </c>
      <c r="AE13" s="33">
        <f t="shared" si="2"/>
        <v>110.94980113935419</v>
      </c>
      <c r="AF13" s="33">
        <f t="shared" si="2"/>
        <v>97.955326170108009</v>
      </c>
      <c r="AG13" s="33">
        <f t="shared" si="2"/>
        <v>113.42824457481227</v>
      </c>
      <c r="AH13" s="113">
        <f t="shared" si="2"/>
        <v>97.275830318448911</v>
      </c>
      <c r="AI13" s="6"/>
      <c r="AJ13" s="6"/>
      <c r="AK13" s="6"/>
      <c r="AL13" s="6"/>
      <c r="AM13" s="6"/>
      <c r="AN13" s="6"/>
      <c r="AO13" s="6"/>
      <c r="AP13" s="6"/>
    </row>
    <row r="14" spans="1:42" s="8" customFormat="1" x14ac:dyDescent="0.25">
      <c r="A14" s="26" t="s">
        <v>14</v>
      </c>
      <c r="B14" s="33">
        <v>100</v>
      </c>
      <c r="C14" s="33">
        <f>C6/$B6*100</f>
        <v>86.380218133267633</v>
      </c>
      <c r="D14" s="33">
        <f t="shared" ref="D14:AD18" si="3">D6/$B6*100</f>
        <v>76.207264212410209</v>
      </c>
      <c r="E14" s="33">
        <f t="shared" si="3"/>
        <v>52.164108824255273</v>
      </c>
      <c r="F14" s="33">
        <f t="shared" si="3"/>
        <v>68.714164968313526</v>
      </c>
      <c r="G14" s="33">
        <f t="shared" si="3"/>
        <v>76.859972829722921</v>
      </c>
      <c r="H14" s="33">
        <f t="shared" si="3"/>
        <v>60.835968516963405</v>
      </c>
      <c r="I14" s="33">
        <f t="shared" si="3"/>
        <v>63.492330756383275</v>
      </c>
      <c r="J14" s="33">
        <f t="shared" si="3"/>
        <v>70.828531549972311</v>
      </c>
      <c r="K14" s="33">
        <f t="shared" si="3"/>
        <v>70.004582796068178</v>
      </c>
      <c r="L14" s="33">
        <f t="shared" si="3"/>
        <v>78.613932030594199</v>
      </c>
      <c r="M14" s="33">
        <f t="shared" si="3"/>
        <v>62.4469796938657</v>
      </c>
      <c r="N14" s="33">
        <f t="shared" si="3"/>
        <v>61.757239709781189</v>
      </c>
      <c r="O14" s="33">
        <f t="shared" si="3"/>
        <v>59.693116250395164</v>
      </c>
      <c r="P14" s="33">
        <f t="shared" si="3"/>
        <v>67.494646068470601</v>
      </c>
      <c r="Q14" s="33">
        <f t="shared" si="3"/>
        <v>63.014636581101236</v>
      </c>
      <c r="R14" s="33">
        <f t="shared" si="3"/>
        <v>69.118612658413312</v>
      </c>
      <c r="S14" s="33">
        <f t="shared" si="3"/>
        <v>72.528544154600937</v>
      </c>
      <c r="T14" s="33">
        <f t="shared" si="3"/>
        <v>60.275846748897955</v>
      </c>
      <c r="U14" s="33">
        <f t="shared" si="3"/>
        <v>22.009256728626983</v>
      </c>
      <c r="V14" s="33">
        <f t="shared" si="3"/>
        <v>50.672229432978241</v>
      </c>
      <c r="W14" s="33">
        <f t="shared" si="3"/>
        <v>56.696907993867619</v>
      </c>
      <c r="X14" s="33">
        <f t="shared" si="3"/>
        <v>47.436948102693073</v>
      </c>
      <c r="Y14" s="33">
        <f t="shared" si="3"/>
        <v>56.855081410823892</v>
      </c>
      <c r="Z14" s="33">
        <f t="shared" si="3"/>
        <v>59.72064945441722</v>
      </c>
      <c r="AA14" s="33">
        <f t="shared" si="3"/>
        <v>67.419888511941778</v>
      </c>
      <c r="AB14" s="33">
        <f t="shared" si="3"/>
        <v>63.90019522164836</v>
      </c>
      <c r="AC14" s="33">
        <f t="shared" si="3"/>
        <v>65.841867935130125</v>
      </c>
      <c r="AD14" s="33">
        <f t="shared" si="3"/>
        <v>68.599593380144825</v>
      </c>
      <c r="AE14" s="33">
        <f t="shared" ref="AE14:AH18" si="4">AE6/$B6*100</f>
        <v>62.570705406218643</v>
      </c>
      <c r="AF14" s="33">
        <f t="shared" si="4"/>
        <v>56.176030232759956</v>
      </c>
      <c r="AG14" s="33">
        <f t="shared" si="4"/>
        <v>59.591948674572883</v>
      </c>
      <c r="AH14" s="113">
        <f t="shared" si="4"/>
        <v>54.586329209356535</v>
      </c>
      <c r="AI14" s="6"/>
      <c r="AJ14" s="6"/>
      <c r="AK14" s="6"/>
      <c r="AL14" s="6"/>
      <c r="AM14" s="6"/>
      <c r="AN14" s="6"/>
      <c r="AO14" s="6"/>
      <c r="AP14" s="6"/>
    </row>
    <row r="15" spans="1:42" s="8" customFormat="1" x14ac:dyDescent="0.25">
      <c r="A15" s="26" t="s">
        <v>15</v>
      </c>
      <c r="B15" s="33">
        <v>100</v>
      </c>
      <c r="C15" s="33">
        <f t="shared" ref="C15:R18" si="5">C7/$B7*100</f>
        <v>101.34623257678118</v>
      </c>
      <c r="D15" s="33">
        <f t="shared" si="5"/>
        <v>94.046537753100694</v>
      </c>
      <c r="E15" s="33">
        <f t="shared" si="5"/>
        <v>87.495414647602942</v>
      </c>
      <c r="F15" s="33">
        <f t="shared" si="5"/>
        <v>93.47672487222404</v>
      </c>
      <c r="G15" s="33">
        <f t="shared" si="5"/>
        <v>93.378134530318292</v>
      </c>
      <c r="H15" s="33">
        <f t="shared" si="5"/>
        <v>86.939956283543751</v>
      </c>
      <c r="I15" s="33">
        <f t="shared" si="5"/>
        <v>89.231694350110928</v>
      </c>
      <c r="J15" s="33">
        <f t="shared" si="5"/>
        <v>92.391242118078338</v>
      </c>
      <c r="K15" s="33">
        <f t="shared" si="5"/>
        <v>96.947704666470443</v>
      </c>
      <c r="L15" s="33">
        <f t="shared" si="5"/>
        <v>102.94458156312365</v>
      </c>
      <c r="M15" s="33">
        <f t="shared" si="5"/>
        <v>101.71237134126294</v>
      </c>
      <c r="N15" s="33">
        <f t="shared" si="5"/>
        <v>98.737457218314844</v>
      </c>
      <c r="O15" s="33">
        <f t="shared" si="5"/>
        <v>98.939876160308117</v>
      </c>
      <c r="P15" s="33">
        <f t="shared" si="5"/>
        <v>101.29553132818512</v>
      </c>
      <c r="Q15" s="33">
        <f t="shared" si="5"/>
        <v>101.2020246442582</v>
      </c>
      <c r="R15" s="33">
        <f t="shared" si="5"/>
        <v>104.84283612235086</v>
      </c>
      <c r="S15" s="33">
        <f t="shared" si="3"/>
        <v>108.95605966474429</v>
      </c>
      <c r="T15" s="33">
        <f t="shared" si="3"/>
        <v>103.97076752144596</v>
      </c>
      <c r="U15" s="33">
        <f t="shared" si="3"/>
        <v>89.92709973066404</v>
      </c>
      <c r="V15" s="33">
        <f t="shared" si="3"/>
        <v>88.407168672495999</v>
      </c>
      <c r="W15" s="33">
        <f t="shared" si="3"/>
        <v>93.395095068818151</v>
      </c>
      <c r="X15" s="33">
        <f t="shared" si="3"/>
        <v>87.705390626764469</v>
      </c>
      <c r="Y15" s="33">
        <f t="shared" si="3"/>
        <v>88.149085367274495</v>
      </c>
      <c r="Z15" s="33">
        <f t="shared" si="3"/>
        <v>83.645596466403987</v>
      </c>
      <c r="AA15" s="33">
        <f t="shared" si="3"/>
        <v>80.187113297840114</v>
      </c>
      <c r="AB15" s="33">
        <f t="shared" si="3"/>
        <v>80.794621741251774</v>
      </c>
      <c r="AC15" s="33">
        <f t="shared" si="3"/>
        <v>84.867779184664499</v>
      </c>
      <c r="AD15" s="33">
        <f t="shared" si="3"/>
        <v>89.005531281581014</v>
      </c>
      <c r="AE15" s="33">
        <f t="shared" si="4"/>
        <v>93.556152855057945</v>
      </c>
      <c r="AF15" s="33">
        <f t="shared" si="4"/>
        <v>86.854649908064403</v>
      </c>
      <c r="AG15" s="33">
        <f t="shared" si="4"/>
        <v>94.175363413543792</v>
      </c>
      <c r="AH15" s="113">
        <f t="shared" si="4"/>
        <v>94.669886443686238</v>
      </c>
      <c r="AI15" s="6"/>
      <c r="AJ15" s="6"/>
      <c r="AK15" s="6"/>
      <c r="AL15" s="6"/>
      <c r="AM15" s="6"/>
      <c r="AN15" s="6"/>
      <c r="AO15" s="6"/>
      <c r="AP15" s="6"/>
    </row>
    <row r="16" spans="1:42" s="8" customFormat="1" x14ac:dyDescent="0.25">
      <c r="A16" s="26" t="s">
        <v>16</v>
      </c>
      <c r="B16" s="33">
        <v>100</v>
      </c>
      <c r="C16" s="33">
        <f t="shared" si="5"/>
        <v>104.80088542125276</v>
      </c>
      <c r="D16" s="33">
        <f t="shared" si="5"/>
        <v>104.72344949137656</v>
      </c>
      <c r="E16" s="33">
        <f t="shared" si="5"/>
        <v>94.938598538019093</v>
      </c>
      <c r="F16" s="33">
        <f t="shared" si="5"/>
        <v>95.427596489269376</v>
      </c>
      <c r="G16" s="33">
        <f t="shared" si="5"/>
        <v>95.478967207388393</v>
      </c>
      <c r="H16" s="33">
        <f t="shared" si="5"/>
        <v>101.54056971435874</v>
      </c>
      <c r="I16" s="33">
        <f t="shared" si="5"/>
        <v>98.195235383502364</v>
      </c>
      <c r="J16" s="33">
        <f t="shared" si="5"/>
        <v>99.841505350702192</v>
      </c>
      <c r="K16" s="33">
        <f t="shared" si="5"/>
        <v>101.64577762886972</v>
      </c>
      <c r="L16" s="33">
        <f t="shared" si="5"/>
        <v>102.15222487110121</v>
      </c>
      <c r="M16" s="33">
        <f t="shared" si="5"/>
        <v>99.510343546233244</v>
      </c>
      <c r="N16" s="33">
        <f t="shared" si="5"/>
        <v>100.23917112271035</v>
      </c>
      <c r="O16" s="33">
        <f t="shared" si="5"/>
        <v>100.31367763952268</v>
      </c>
      <c r="P16" s="33">
        <f t="shared" si="5"/>
        <v>105.09714385713671</v>
      </c>
      <c r="Q16" s="33">
        <f t="shared" si="5"/>
        <v>105.13316592781612</v>
      </c>
      <c r="R16" s="33">
        <f t="shared" si="5"/>
        <v>104.73315471070784</v>
      </c>
      <c r="S16" s="33">
        <f t="shared" si="3"/>
        <v>99.47843113300334</v>
      </c>
      <c r="T16" s="33">
        <f t="shared" si="3"/>
        <v>100.98602922291937</v>
      </c>
      <c r="U16" s="33">
        <f t="shared" si="3"/>
        <v>92.188200374780237</v>
      </c>
      <c r="V16" s="33">
        <f t="shared" si="3"/>
        <v>97.271040435822272</v>
      </c>
      <c r="W16" s="33">
        <f t="shared" si="3"/>
        <v>95.811604659241056</v>
      </c>
      <c r="X16" s="33">
        <f t="shared" si="3"/>
        <v>93.627137097946857</v>
      </c>
      <c r="Y16" s="33">
        <f t="shared" si="3"/>
        <v>95.009041896002017</v>
      </c>
      <c r="Z16" s="33">
        <f t="shared" si="3"/>
        <v>85.907825279438427</v>
      </c>
      <c r="AA16" s="33">
        <f t="shared" si="3"/>
        <v>88.44252796886866</v>
      </c>
      <c r="AB16" s="33">
        <f t="shared" si="3"/>
        <v>89.280111714849326</v>
      </c>
      <c r="AC16" s="33">
        <f t="shared" si="3"/>
        <v>91.030146087928514</v>
      </c>
      <c r="AD16" s="33">
        <f t="shared" si="3"/>
        <v>90.132594849543423</v>
      </c>
      <c r="AE16" s="33">
        <f t="shared" si="4"/>
        <v>89.057669838312449</v>
      </c>
      <c r="AF16" s="33">
        <f t="shared" si="4"/>
        <v>73.354123732513415</v>
      </c>
      <c r="AG16" s="33">
        <f t="shared" si="4"/>
        <v>78.623185296474404</v>
      </c>
      <c r="AH16" s="113">
        <f t="shared" si="4"/>
        <v>79.104523283872865</v>
      </c>
      <c r="AI16" s="6"/>
      <c r="AJ16" s="6"/>
      <c r="AK16" s="6"/>
      <c r="AL16" s="6"/>
      <c r="AM16" s="6"/>
      <c r="AN16" s="6"/>
      <c r="AO16" s="6"/>
      <c r="AP16" s="6"/>
    </row>
    <row r="17" spans="1:42" s="8" customFormat="1" x14ac:dyDescent="0.25">
      <c r="A17" s="26" t="s">
        <v>17</v>
      </c>
      <c r="B17" s="33">
        <v>100</v>
      </c>
      <c r="C17" s="33">
        <f t="shared" si="5"/>
        <v>101.04817582548236</v>
      </c>
      <c r="D17" s="33">
        <f t="shared" si="5"/>
        <v>102.66428244271715</v>
      </c>
      <c r="E17" s="33">
        <f t="shared" si="5"/>
        <v>102.01886662442257</v>
      </c>
      <c r="F17" s="33">
        <f t="shared" si="5"/>
        <v>104.42488816350352</v>
      </c>
      <c r="G17" s="33">
        <f t="shared" si="5"/>
        <v>106.62473332855949</v>
      </c>
      <c r="H17" s="33">
        <f t="shared" si="5"/>
        <v>108.13133408003588</v>
      </c>
      <c r="I17" s="33">
        <f t="shared" si="5"/>
        <v>110.65760265246041</v>
      </c>
      <c r="J17" s="33">
        <f t="shared" si="5"/>
        <v>114.6287271513748</v>
      </c>
      <c r="K17" s="33">
        <f t="shared" si="5"/>
        <v>118.55060441022883</v>
      </c>
      <c r="L17" s="33">
        <f t="shared" si="5"/>
        <v>123.20213796523103</v>
      </c>
      <c r="M17" s="33">
        <f t="shared" si="5"/>
        <v>125.64612514068227</v>
      </c>
      <c r="N17" s="33">
        <f t="shared" si="5"/>
        <v>127.0728764576575</v>
      </c>
      <c r="O17" s="33">
        <f t="shared" si="5"/>
        <v>128.11889053872022</v>
      </c>
      <c r="P17" s="33">
        <f t="shared" si="5"/>
        <v>131.74433859402845</v>
      </c>
      <c r="Q17" s="33">
        <f t="shared" si="5"/>
        <v>133.93553678140574</v>
      </c>
      <c r="R17" s="33">
        <f t="shared" si="5"/>
        <v>137.21605149275206</v>
      </c>
      <c r="S17" s="33">
        <f t="shared" si="3"/>
        <v>140.54317881814728</v>
      </c>
      <c r="T17" s="33">
        <f t="shared" si="3"/>
        <v>140.90148795570585</v>
      </c>
      <c r="U17" s="33">
        <f t="shared" si="3"/>
        <v>136.85294598476241</v>
      </c>
      <c r="V17" s="33">
        <f t="shared" si="3"/>
        <v>139.52080881667459</v>
      </c>
      <c r="W17" s="33">
        <f t="shared" si="3"/>
        <v>142.5800824975714</v>
      </c>
      <c r="X17" s="33">
        <f t="shared" si="3"/>
        <v>143.02655027474424</v>
      </c>
      <c r="Y17" s="33">
        <f t="shared" si="3"/>
        <v>143.85085044376561</v>
      </c>
      <c r="Z17" s="33">
        <f t="shared" si="3"/>
        <v>145.22632788528702</v>
      </c>
      <c r="AA17" s="33">
        <f t="shared" si="3"/>
        <v>146.84256961154804</v>
      </c>
      <c r="AB17" s="33">
        <f t="shared" si="3"/>
        <v>148.4511776778271</v>
      </c>
      <c r="AC17" s="33">
        <f t="shared" si="3"/>
        <v>151.85281763118749</v>
      </c>
      <c r="AD17" s="33">
        <f t="shared" si="3"/>
        <v>154.68497303899383</v>
      </c>
      <c r="AE17" s="33">
        <f t="shared" si="4"/>
        <v>157.53577349241971</v>
      </c>
      <c r="AF17" s="34">
        <f t="shared" si="4"/>
        <v>145.65685279736482</v>
      </c>
      <c r="AG17" s="34">
        <f t="shared" si="4"/>
        <v>155.03017660100818</v>
      </c>
      <c r="AH17" s="113">
        <f t="shared" si="4"/>
        <v>158.8357925427924</v>
      </c>
      <c r="AI17" s="6"/>
      <c r="AJ17" s="6"/>
      <c r="AK17" s="6"/>
      <c r="AL17" s="6"/>
      <c r="AM17" s="6"/>
      <c r="AN17" s="6"/>
      <c r="AO17" s="6"/>
      <c r="AP17" s="6"/>
    </row>
    <row r="18" spans="1:42" s="9" customFormat="1" x14ac:dyDescent="0.25">
      <c r="A18" s="26" t="s">
        <v>20</v>
      </c>
      <c r="B18" s="33">
        <v>100</v>
      </c>
      <c r="C18" s="33">
        <f t="shared" si="5"/>
        <v>102.21898968938108</v>
      </c>
      <c r="D18" s="33">
        <f t="shared" si="5"/>
        <v>100.24758573756169</v>
      </c>
      <c r="E18" s="33">
        <f t="shared" si="5"/>
        <v>92.366589798623778</v>
      </c>
      <c r="F18" s="33">
        <f t="shared" si="5"/>
        <v>97.017039225344803</v>
      </c>
      <c r="G18" s="33">
        <f t="shared" si="5"/>
        <v>96.147303401009722</v>
      </c>
      <c r="H18" s="33">
        <f t="shared" si="5"/>
        <v>93.457470055493232</v>
      </c>
      <c r="I18" s="33">
        <f t="shared" si="5"/>
        <v>95.424742042288187</v>
      </c>
      <c r="J18" s="33">
        <f t="shared" si="5"/>
        <v>98.362910358211792</v>
      </c>
      <c r="K18" s="33">
        <f t="shared" si="5"/>
        <v>101.43150952945466</v>
      </c>
      <c r="L18" s="33">
        <f t="shared" si="5"/>
        <v>106.37392357112783</v>
      </c>
      <c r="M18" s="33">
        <f t="shared" si="5"/>
        <v>102.30155009793582</v>
      </c>
      <c r="N18" s="33">
        <f t="shared" si="5"/>
        <v>102.91163284567666</v>
      </c>
      <c r="O18" s="33">
        <f t="shared" si="5"/>
        <v>96.734745125892459</v>
      </c>
      <c r="P18" s="33">
        <f t="shared" si="5"/>
        <v>106.42739306020104</v>
      </c>
      <c r="Q18" s="33">
        <f t="shared" si="5"/>
        <v>103.10104528288393</v>
      </c>
      <c r="R18" s="33">
        <f t="shared" si="5"/>
        <v>105.38410857147353</v>
      </c>
      <c r="S18" s="33">
        <f t="shared" si="3"/>
        <v>109.65766236829137</v>
      </c>
      <c r="T18" s="33">
        <f t="shared" si="3"/>
        <v>107.53444941054333</v>
      </c>
      <c r="U18" s="33">
        <f t="shared" si="3"/>
        <v>96.216344185485241</v>
      </c>
      <c r="V18" s="33">
        <f t="shared" si="3"/>
        <v>94.365821917938092</v>
      </c>
      <c r="W18" s="33">
        <f t="shared" si="3"/>
        <v>96.981236718923284</v>
      </c>
      <c r="X18" s="33">
        <f t="shared" si="3"/>
        <v>94.739741061015664</v>
      </c>
      <c r="Y18" s="33">
        <f t="shared" si="3"/>
        <v>94.985797545790504</v>
      </c>
      <c r="Z18" s="33">
        <f t="shared" si="3"/>
        <v>93.964402802620057</v>
      </c>
      <c r="AA18" s="33">
        <f t="shared" si="3"/>
        <v>88.968624621467995</v>
      </c>
      <c r="AB18" s="33">
        <f t="shared" si="3"/>
        <v>87.67463034676382</v>
      </c>
      <c r="AC18" s="33">
        <f t="shared" si="3"/>
        <v>94.674659785721829</v>
      </c>
      <c r="AD18" s="33">
        <f t="shared" si="3"/>
        <v>93.361313295643242</v>
      </c>
      <c r="AE18" s="33">
        <f t="shared" si="4"/>
        <v>96.098108748328542</v>
      </c>
      <c r="AF18" s="34">
        <f t="shared" si="4"/>
        <v>86.318943421787495</v>
      </c>
      <c r="AG18" s="34">
        <f t="shared" si="4"/>
        <v>95.288035910905862</v>
      </c>
      <c r="AH18" s="113">
        <f t="shared" si="4"/>
        <v>0</v>
      </c>
      <c r="AI18" s="6"/>
      <c r="AJ18" s="6"/>
      <c r="AK18" s="6"/>
      <c r="AL18" s="6"/>
      <c r="AM18" s="6"/>
      <c r="AN18" s="6"/>
      <c r="AO18" s="6"/>
      <c r="AP18" s="6"/>
    </row>
    <row r="19" spans="1:42" s="28" customFormat="1" ht="22.8" x14ac:dyDescent="0.2">
      <c r="A19" s="28" t="s">
        <v>60</v>
      </c>
    </row>
    <row r="20" spans="1:42" s="28" customFormat="1" ht="40.5" customHeight="1" x14ac:dyDescent="0.2">
      <c r="A20" s="240" t="s">
        <v>62</v>
      </c>
      <c r="B20" s="240"/>
      <c r="C20" s="240"/>
      <c r="D20" s="240"/>
      <c r="E20" s="240"/>
      <c r="F20" s="240"/>
      <c r="G20" s="240"/>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row>
    <row r="21" spans="1:42" s="28" customFormat="1" ht="13.5" customHeight="1" x14ac:dyDescent="0.2">
      <c r="A21" s="240" t="s">
        <v>21</v>
      </c>
      <c r="B21" s="240"/>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row>
    <row r="22" spans="1:42" s="28" customFormat="1" ht="22.5" customHeight="1" x14ac:dyDescent="0.2">
      <c r="A22" s="240" t="s">
        <v>22</v>
      </c>
      <c r="B22" s="240"/>
      <c r="C22" s="240"/>
      <c r="D22" s="240"/>
      <c r="E22" s="240"/>
      <c r="F22" s="240"/>
      <c r="G22" s="240"/>
      <c r="H22" s="240"/>
      <c r="I22" s="240"/>
      <c r="J22" s="240"/>
      <c r="K22" s="240"/>
      <c r="L22" s="240"/>
      <c r="M22" s="240"/>
      <c r="N22" s="240"/>
      <c r="O22" s="240"/>
      <c r="P22" s="240"/>
      <c r="Q22" s="240"/>
      <c r="R22" s="240"/>
      <c r="S22" s="240"/>
      <c r="T22" s="240"/>
      <c r="U22" s="240"/>
      <c r="V22" s="240"/>
      <c r="W22" s="240"/>
      <c r="X22" s="240"/>
      <c r="Y22" s="240"/>
      <c r="Z22" s="240"/>
      <c r="AA22" s="240"/>
      <c r="AB22" s="240"/>
      <c r="AC22" s="240"/>
      <c r="AD22" s="240"/>
      <c r="AE22" s="240"/>
      <c r="AF22" s="240"/>
      <c r="AG22" s="240"/>
    </row>
    <row r="23" spans="1:42" s="28" customFormat="1" ht="11.4" x14ac:dyDescent="0.2">
      <c r="A23" s="28" t="s">
        <v>61</v>
      </c>
    </row>
    <row r="25" spans="1:42" ht="17.55" customHeight="1" x14ac:dyDescent="0.25">
      <c r="A25" s="240" t="s">
        <v>35</v>
      </c>
      <c r="B25" s="240"/>
      <c r="C25" s="240"/>
    </row>
    <row r="26" spans="1:42" ht="24.6" customHeight="1" x14ac:dyDescent="0.25">
      <c r="A26" s="240" t="s">
        <v>63</v>
      </c>
      <c r="B26" s="240"/>
      <c r="C26" s="240"/>
    </row>
    <row r="28" spans="1:42" ht="18" x14ac:dyDescent="0.25">
      <c r="A28" s="242" t="s">
        <v>64</v>
      </c>
      <c r="B28" s="242"/>
      <c r="C28" s="242"/>
      <c r="D28" s="242"/>
      <c r="E28" s="242"/>
      <c r="F28" s="242"/>
      <c r="G28" s="242"/>
      <c r="H28" s="242"/>
      <c r="I28" s="242"/>
      <c r="J28" s="242"/>
    </row>
    <row r="29" spans="1:42" x14ac:dyDescent="0.25">
      <c r="A29" s="29" t="s">
        <v>23</v>
      </c>
    </row>
    <row r="31" spans="1:42" x14ac:dyDescent="0.25">
      <c r="A31" s="19"/>
      <c r="B31" s="19"/>
      <c r="C31" s="19"/>
      <c r="D31" s="19"/>
      <c r="E31" s="19"/>
      <c r="F31" s="19"/>
      <c r="G31" s="19"/>
      <c r="H31" s="19"/>
      <c r="I31" s="19"/>
      <c r="J31" s="19"/>
      <c r="K31" s="19"/>
      <c r="L31" s="19"/>
      <c r="M31" s="19"/>
      <c r="N31" s="19"/>
      <c r="O31" s="19"/>
      <c r="P31" s="19"/>
    </row>
    <row r="32" spans="1:42" x14ac:dyDescent="0.25">
      <c r="P32" s="19"/>
    </row>
    <row r="33" spans="16:16" x14ac:dyDescent="0.25">
      <c r="P33" s="19"/>
    </row>
    <row r="34" spans="16:16" x14ac:dyDescent="0.25">
      <c r="P34" s="19"/>
    </row>
    <row r="35" spans="16:16" x14ac:dyDescent="0.25">
      <c r="P35" s="19"/>
    </row>
    <row r="36" spans="16:16" x14ac:dyDescent="0.25">
      <c r="P36" s="19"/>
    </row>
    <row r="37" spans="16:16" x14ac:dyDescent="0.25">
      <c r="P37" s="19"/>
    </row>
    <row r="38" spans="16:16" x14ac:dyDescent="0.25">
      <c r="P38" s="19"/>
    </row>
    <row r="39" spans="16:16" x14ac:dyDescent="0.25">
      <c r="P39" s="19"/>
    </row>
    <row r="40" spans="16:16" x14ac:dyDescent="0.25">
      <c r="P40" s="19"/>
    </row>
    <row r="41" spans="16:16" x14ac:dyDescent="0.25">
      <c r="P41" s="19"/>
    </row>
    <row r="42" spans="16:16" x14ac:dyDescent="0.25">
      <c r="P42" s="19"/>
    </row>
    <row r="43" spans="16:16" x14ac:dyDescent="0.25">
      <c r="P43" s="19"/>
    </row>
    <row r="44" spans="16:16" x14ac:dyDescent="0.25">
      <c r="P44" s="19"/>
    </row>
    <row r="45" spans="16:16" x14ac:dyDescent="0.25">
      <c r="P45" s="19"/>
    </row>
    <row r="46" spans="16:16" x14ac:dyDescent="0.25">
      <c r="P46" s="19"/>
    </row>
    <row r="47" spans="16:16" x14ac:dyDescent="0.25">
      <c r="P47" s="19"/>
    </row>
    <row r="48" spans="16:16" x14ac:dyDescent="0.25">
      <c r="P48" s="19"/>
    </row>
    <row r="49" spans="1:16" x14ac:dyDescent="0.25">
      <c r="P49" s="19"/>
    </row>
    <row r="50" spans="1:16" x14ac:dyDescent="0.25">
      <c r="P50" s="19"/>
    </row>
    <row r="51" spans="1:16" x14ac:dyDescent="0.25">
      <c r="P51" s="19"/>
    </row>
    <row r="52" spans="1:16" x14ac:dyDescent="0.25">
      <c r="P52" s="19"/>
    </row>
    <row r="53" spans="1:16" x14ac:dyDescent="0.25">
      <c r="A53" s="35" t="s">
        <v>35</v>
      </c>
      <c r="P53" s="19"/>
    </row>
    <row r="54" spans="1:16" x14ac:dyDescent="0.25">
      <c r="A54" s="35" t="s">
        <v>65</v>
      </c>
      <c r="P54" s="19"/>
    </row>
    <row r="55" spans="1:16" x14ac:dyDescent="0.25">
      <c r="P55" s="19"/>
    </row>
    <row r="56" spans="1:16" x14ac:dyDescent="0.25">
      <c r="C56" s="3"/>
      <c r="D56" s="3"/>
      <c r="E56" s="3"/>
      <c r="F56" s="3"/>
      <c r="G56" s="3"/>
      <c r="H56" s="3"/>
      <c r="I56" s="15"/>
      <c r="J56" s="15"/>
      <c r="K56" s="15"/>
      <c r="P56" s="19"/>
    </row>
    <row r="57" spans="1:16" x14ac:dyDescent="0.25">
      <c r="C57" s="3"/>
      <c r="D57" s="3"/>
      <c r="E57" s="3"/>
      <c r="F57" s="3"/>
      <c r="G57" s="3"/>
      <c r="H57" s="3"/>
      <c r="I57" s="15"/>
      <c r="J57" s="15"/>
      <c r="K57" s="15"/>
      <c r="P57" s="19"/>
    </row>
    <row r="58" spans="1:16" x14ac:dyDescent="0.25">
      <c r="P58" s="19"/>
    </row>
    <row r="59" spans="1:16" x14ac:dyDescent="0.25">
      <c r="A59" s="19"/>
      <c r="B59" s="19"/>
      <c r="C59" s="19"/>
      <c r="D59" s="19"/>
      <c r="E59" s="19"/>
      <c r="F59" s="19"/>
      <c r="G59" s="19"/>
      <c r="H59" s="19"/>
      <c r="I59" s="19"/>
      <c r="J59" s="19"/>
      <c r="K59" s="19"/>
      <c r="L59" s="19"/>
      <c r="M59" s="19"/>
      <c r="N59" s="19"/>
      <c r="O59" s="19"/>
      <c r="P59" s="19"/>
    </row>
  </sheetData>
  <mergeCells count="7">
    <mergeCell ref="A26:C26"/>
    <mergeCell ref="A1:AG2"/>
    <mergeCell ref="A28:J28"/>
    <mergeCell ref="A20:AG20"/>
    <mergeCell ref="A21:AG21"/>
    <mergeCell ref="A22:AG22"/>
    <mergeCell ref="A25:C2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49"/>
  <sheetViews>
    <sheetView showGridLines="0" topLeftCell="A10" zoomScaleNormal="100" workbookViewId="0">
      <selection activeCell="W40" sqref="W40"/>
    </sheetView>
  </sheetViews>
  <sheetFormatPr baseColWidth="10" defaultColWidth="36.5546875" defaultRowHeight="13.2" outlineLevelCol="1" x14ac:dyDescent="0.25"/>
  <cols>
    <col min="1" max="1" width="42.44140625" style="121" customWidth="1"/>
    <col min="2" max="2" width="8.77734375" style="5" customWidth="1"/>
    <col min="3" max="6" width="8.77734375" style="5" customWidth="1" outlineLevel="1"/>
    <col min="7" max="7" width="8.77734375" style="5" customWidth="1"/>
    <col min="8" max="11" width="8.77734375" style="5" customWidth="1" outlineLevel="1"/>
    <col min="12" max="13" width="7.77734375" style="5" customWidth="1"/>
    <col min="14" max="14" width="7.5546875" style="5" customWidth="1"/>
    <col min="15" max="15" width="7.77734375" style="5" customWidth="1"/>
    <col min="16" max="17" width="8" style="5" customWidth="1"/>
    <col min="18" max="18" width="7.77734375" style="5" customWidth="1"/>
    <col min="19" max="19" width="7.5546875" style="5" customWidth="1"/>
    <col min="20" max="21" width="8" style="5" customWidth="1"/>
    <col min="22" max="22" width="8.21875" style="5" customWidth="1"/>
    <col min="23" max="23" width="8.5546875" style="5" customWidth="1"/>
    <col min="24" max="24" width="7.77734375" style="5" customWidth="1"/>
    <col min="25" max="26" width="8" style="5" customWidth="1"/>
    <col min="27" max="27" width="8.77734375" style="5" customWidth="1"/>
    <col min="28" max="28" width="7.77734375" style="5" customWidth="1"/>
    <col min="29" max="29" width="8.77734375" style="5" customWidth="1"/>
    <col min="30" max="30" width="8.21875" style="5" customWidth="1"/>
    <col min="31" max="32" width="8.77734375" style="5" customWidth="1"/>
    <col min="33" max="255" width="11.44140625" style="5" customWidth="1"/>
    <col min="256" max="16384" width="36.5546875" style="5"/>
  </cols>
  <sheetData>
    <row r="1" spans="1:34" ht="12.6" customHeight="1" x14ac:dyDescent="0.25">
      <c r="A1" s="241" t="s">
        <v>323</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row>
    <row r="2" spans="1:34" ht="13.05" customHeight="1" x14ac:dyDescent="0.2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row>
    <row r="3" spans="1:34" s="114" customFormat="1" ht="13.05" customHeight="1" x14ac:dyDescent="0.25">
      <c r="A3" s="120"/>
      <c r="B3" s="115"/>
      <c r="C3" s="115"/>
      <c r="D3" s="115"/>
      <c r="E3" s="115"/>
      <c r="F3" s="115"/>
      <c r="G3" s="115"/>
      <c r="H3" s="115"/>
      <c r="I3" s="115"/>
      <c r="J3" s="115"/>
      <c r="K3" s="115"/>
      <c r="L3" s="115"/>
      <c r="M3" s="115"/>
      <c r="N3" s="115"/>
      <c r="O3" s="115"/>
      <c r="P3" s="115"/>
    </row>
    <row r="4" spans="1:34" ht="18" customHeight="1" x14ac:dyDescent="0.25">
      <c r="A4" s="109" t="s">
        <v>316</v>
      </c>
      <c r="B4" s="118">
        <v>1990</v>
      </c>
      <c r="C4" s="118">
        <v>1991</v>
      </c>
      <c r="D4" s="118">
        <v>1992</v>
      </c>
      <c r="E4" s="118">
        <v>1993</v>
      </c>
      <c r="F4" s="118">
        <v>1994</v>
      </c>
      <c r="G4" s="118">
        <v>1995</v>
      </c>
      <c r="H4" s="118">
        <v>1996</v>
      </c>
      <c r="I4" s="118">
        <v>1997</v>
      </c>
      <c r="J4" s="118">
        <v>1998</v>
      </c>
      <c r="K4" s="118">
        <v>1999</v>
      </c>
      <c r="L4" s="118">
        <v>2000</v>
      </c>
      <c r="M4" s="118">
        <v>2001</v>
      </c>
      <c r="N4" s="118">
        <v>2002</v>
      </c>
      <c r="O4" s="118">
        <v>2003</v>
      </c>
      <c r="P4" s="118">
        <v>2004</v>
      </c>
      <c r="Q4" s="118">
        <v>2005</v>
      </c>
      <c r="R4" s="118">
        <v>2006</v>
      </c>
      <c r="S4" s="118">
        <v>2007</v>
      </c>
      <c r="T4" s="118">
        <v>2008</v>
      </c>
      <c r="U4" s="118">
        <v>2009</v>
      </c>
      <c r="V4" s="118">
        <v>2010</v>
      </c>
      <c r="W4" s="118">
        <v>2011</v>
      </c>
      <c r="X4" s="118">
        <v>2012</v>
      </c>
      <c r="Y4" s="118">
        <v>2013</v>
      </c>
      <c r="Z4" s="118">
        <v>2014</v>
      </c>
      <c r="AA4" s="118">
        <v>2015</v>
      </c>
      <c r="AB4" s="118">
        <v>2016</v>
      </c>
      <c r="AC4" s="118">
        <v>2017</v>
      </c>
      <c r="AD4" s="118">
        <v>2018</v>
      </c>
      <c r="AE4" s="118">
        <v>2019</v>
      </c>
      <c r="AF4" s="118">
        <v>2020</v>
      </c>
      <c r="AG4" s="118">
        <v>2021</v>
      </c>
      <c r="AH4" s="131">
        <v>2022</v>
      </c>
    </row>
    <row r="5" spans="1:34" ht="18" customHeight="1" x14ac:dyDescent="0.25">
      <c r="A5" s="119" t="s">
        <v>31</v>
      </c>
      <c r="B5" s="108">
        <f>Donnees_INSEE!B31/1000</f>
        <v>1480.2860000000001</v>
      </c>
      <c r="C5" s="108">
        <f>Donnees_INSEE!C31/1000</f>
        <v>1495.8019999999999</v>
      </c>
      <c r="D5" s="108">
        <f>Donnees_INSEE!D31/1000</f>
        <v>1519.7249999999999</v>
      </c>
      <c r="E5" s="108">
        <f>Donnees_INSEE!E31/1000</f>
        <v>1510.171</v>
      </c>
      <c r="F5" s="108">
        <f>Donnees_INSEE!F31/1000</f>
        <v>1545.787</v>
      </c>
      <c r="G5" s="108">
        <f>Donnees_INSEE!G31/1000</f>
        <v>1578.3510000000001</v>
      </c>
      <c r="H5" s="108">
        <f>Donnees_INSEE!H31/1000</f>
        <v>1600.653</v>
      </c>
      <c r="I5" s="108">
        <f>Donnees_INSEE!I31/1000</f>
        <v>1638.049</v>
      </c>
      <c r="J5" s="108">
        <f>Donnees_INSEE!J31/1000</f>
        <v>1696.8330000000001</v>
      </c>
      <c r="K5" s="108">
        <f>Donnees_INSEE!K31/1000</f>
        <v>1754.8879999999999</v>
      </c>
      <c r="L5" s="108">
        <f>Donnees_INSEE!L31/1000</f>
        <v>1823.7439999999999</v>
      </c>
      <c r="M5" s="108">
        <f>Donnees_INSEE!M31/1000</f>
        <v>1859.922</v>
      </c>
      <c r="N5" s="108">
        <f>Donnees_INSEE!N31/1000</f>
        <v>1881.0419999999999</v>
      </c>
      <c r="O5" s="108">
        <f>Donnees_INSEE!O31/1000</f>
        <v>1896.5260000000001</v>
      </c>
      <c r="P5" s="108">
        <f>Donnees_INSEE!P31/1000</f>
        <v>1950.193</v>
      </c>
      <c r="Q5" s="108">
        <f>Donnees_INSEE!Q31/1000</f>
        <v>1982.6289999999999</v>
      </c>
      <c r="R5" s="108">
        <f>Donnees_INSEE!R31/1000</f>
        <v>2031.19</v>
      </c>
      <c r="S5" s="108">
        <f>Donnees_INSEE!S31/1000</f>
        <v>2080.4409999999998</v>
      </c>
      <c r="T5" s="108">
        <f>Donnees_INSEE!T31/1000</f>
        <v>2085.7449999999999</v>
      </c>
      <c r="U5" s="108">
        <f>Donnees_INSEE!U31/1000</f>
        <v>2025.8150000000001</v>
      </c>
      <c r="V5" s="108">
        <f>Donnees_INSEE!V31/1000</f>
        <v>2065.3069999999998</v>
      </c>
      <c r="W5" s="108">
        <f>Donnees_INSEE!W31/1000</f>
        <v>2110.5929999999998</v>
      </c>
      <c r="X5" s="108">
        <f>Donnees_INSEE!X31/1000</f>
        <v>2117.2020000000002</v>
      </c>
      <c r="Y5" s="108">
        <f>Donnees_INSEE!Y31/1000</f>
        <v>2129.404</v>
      </c>
      <c r="Z5" s="108">
        <f>Donnees_INSEE!Z31/1000</f>
        <v>2149.7649999999999</v>
      </c>
      <c r="AA5" s="108">
        <f>Donnees_INSEE!AA31/1000</f>
        <v>2173.69</v>
      </c>
      <c r="AB5" s="108">
        <f>Donnees_INSEE!AB31/1000</f>
        <v>2197.502</v>
      </c>
      <c r="AC5" s="108">
        <f>Donnees_INSEE!AC31/1000</f>
        <v>2247.8560000000002</v>
      </c>
      <c r="AD5" s="108">
        <f>Donnees_INSEE!AD31/1000</f>
        <v>2289.7800000000002</v>
      </c>
      <c r="AE5" s="108">
        <f>Donnees_INSEE!AE31/1000</f>
        <v>2331.98</v>
      </c>
      <c r="AF5" s="108">
        <f>Donnees_INSEE!AF31/1000</f>
        <v>2156.1379999999999</v>
      </c>
      <c r="AG5" s="108">
        <f>Donnees_INSEE!AG31/1000</f>
        <v>2294.89</v>
      </c>
      <c r="AH5" s="108">
        <f>Donnees_INSEE!AH31/1000</f>
        <v>2351.2240000000002</v>
      </c>
    </row>
    <row r="6" spans="1:34" ht="24.6" customHeight="1" x14ac:dyDescent="0.25">
      <c r="A6" s="122" t="s">
        <v>46</v>
      </c>
      <c r="B6" s="134">
        <f>'Graph 2'!B10</f>
        <v>831.51720300000011</v>
      </c>
      <c r="C6" s="134">
        <f>'Graph 2'!C10</f>
        <v>849.96848399999999</v>
      </c>
      <c r="D6" s="134">
        <f>'Graph 2'!D10</f>
        <v>833.57592099999999</v>
      </c>
      <c r="E6" s="134">
        <f>'Graph 2'!E10</f>
        <v>768.04408399999988</v>
      </c>
      <c r="F6" s="134">
        <f>'Graph 2'!F10</f>
        <v>806.71337100000005</v>
      </c>
      <c r="G6" s="134">
        <f>'Graph 2'!G10</f>
        <v>799.48136799999997</v>
      </c>
      <c r="H6" s="134">
        <f>'Graph 2'!H10</f>
        <v>777.11494099999993</v>
      </c>
      <c r="I6" s="134">
        <f>'Graph 2'!I10</f>
        <v>793.47314599999993</v>
      </c>
      <c r="J6" s="134">
        <f>'Graph 2'!J10</f>
        <v>817.90452100000005</v>
      </c>
      <c r="K6" s="134">
        <f>'Graph 2'!K10</f>
        <v>843.42045099999996</v>
      </c>
      <c r="L6" s="134">
        <f>'Graph 2'!L10</f>
        <v>884.51747399999988</v>
      </c>
      <c r="M6" s="134">
        <f>'Graph 2'!M10</f>
        <v>850.65498799999989</v>
      </c>
      <c r="N6" s="134">
        <f>'Graph 2'!N10</f>
        <v>855.72793100000001</v>
      </c>
      <c r="O6" s="134">
        <f>'Graph 2'!O10</f>
        <v>804.36604699999998</v>
      </c>
      <c r="P6" s="134">
        <f>'Graph 2'!P10</f>
        <v>884.9620819999999</v>
      </c>
      <c r="Q6" s="134">
        <f>'Graph 2'!Q10</f>
        <v>857.30292800000007</v>
      </c>
      <c r="R6" s="134">
        <f>'Graph 2'!R10</f>
        <v>876.28699200000005</v>
      </c>
      <c r="S6" s="134">
        <f>'Graph 2'!S10</f>
        <v>911.8223270000002</v>
      </c>
      <c r="T6" s="134">
        <f>'Graph 2'!T10</f>
        <v>894.16744600000004</v>
      </c>
      <c r="U6" s="134">
        <f>'Graph 2'!U10</f>
        <v>800.05545400000017</v>
      </c>
      <c r="V6" s="134">
        <f>'Graph 2'!V10</f>
        <v>784.6680429999999</v>
      </c>
      <c r="W6" s="134">
        <f>'Graph 2'!W10</f>
        <v>806.41566699999998</v>
      </c>
      <c r="X6" s="134">
        <f>'Graph 2'!X10</f>
        <v>787.77724500000011</v>
      </c>
      <c r="Y6" s="134">
        <f>'Graph 2'!Y10</f>
        <v>789.82324699999992</v>
      </c>
      <c r="Z6" s="134">
        <f>'Graph 2'!Z10</f>
        <v>781.33017399999994</v>
      </c>
      <c r="AA6" s="134">
        <f>'Graph 2'!AA10</f>
        <v>739.78941900000007</v>
      </c>
      <c r="AB6" s="134">
        <f>'Graph 2'!AB10</f>
        <v>729.02963399999987</v>
      </c>
      <c r="AC6" s="134">
        <f>'Graph 2'!AC10</f>
        <v>787.23608300000001</v>
      </c>
      <c r="AD6" s="134">
        <f>'Graph 2'!AD10</f>
        <v>776.31538099999989</v>
      </c>
      <c r="AE6" s="134">
        <f>'Graph 2'!AE10</f>
        <v>799.07230599999991</v>
      </c>
      <c r="AF6" s="134">
        <f>'Graph 2'!AF10</f>
        <v>717.75686399999995</v>
      </c>
      <c r="AG6" s="134">
        <f>'Graph 2'!AG10</f>
        <v>792.33641100000011</v>
      </c>
      <c r="AH6" s="134">
        <f>'Graph 2'!AH10</f>
        <v>0</v>
      </c>
    </row>
    <row r="7" spans="1:34" ht="28.05" customHeight="1" x14ac:dyDescent="0.25">
      <c r="A7" s="122" t="s">
        <v>48</v>
      </c>
      <c r="B7" s="138">
        <f>B6/B9*1000</f>
        <v>14.337393159965222</v>
      </c>
      <c r="C7" s="138">
        <f t="shared" ref="C7:AH7" si="0">C6/C9*1000</f>
        <v>14.584188660510138</v>
      </c>
      <c r="D7" s="138">
        <f t="shared" si="0"/>
        <v>14.231830565572654</v>
      </c>
      <c r="E7" s="138">
        <f t="shared" si="0"/>
        <v>13.05043257491903</v>
      </c>
      <c r="F7" s="138">
        <f t="shared" si="0"/>
        <v>13.656887073297707</v>
      </c>
      <c r="G7" s="138">
        <f t="shared" si="0"/>
        <v>13.486396530856979</v>
      </c>
      <c r="H7" s="138">
        <f t="shared" si="0"/>
        <v>13.063518848937001</v>
      </c>
      <c r="I7" s="138">
        <f t="shared" si="0"/>
        <v>13.29297202499458</v>
      </c>
      <c r="J7" s="138">
        <f t="shared" si="0"/>
        <v>13.654648372043187</v>
      </c>
      <c r="K7" s="138">
        <f t="shared" si="0"/>
        <v>14.028327769569096</v>
      </c>
      <c r="L7" s="138">
        <f t="shared" si="0"/>
        <v>14.618154314749333</v>
      </c>
      <c r="M7" s="138">
        <f t="shared" si="0"/>
        <v>13.958570830573166</v>
      </c>
      <c r="N7" s="138">
        <f t="shared" si="0"/>
        <v>13.940326711364833</v>
      </c>
      <c r="O7" s="138">
        <f t="shared" si="0"/>
        <v>13.010572863011356</v>
      </c>
      <c r="P7" s="138">
        <f t="shared" si="0"/>
        <v>14.216015816726145</v>
      </c>
      <c r="Q7" s="138">
        <f t="shared" si="0"/>
        <v>13.666436938041835</v>
      </c>
      <c r="R7" s="138">
        <f t="shared" si="0"/>
        <v>13.868346934501453</v>
      </c>
      <c r="S7" s="138">
        <f t="shared" si="0"/>
        <v>14.336673501498177</v>
      </c>
      <c r="T7" s="138">
        <f t="shared" si="0"/>
        <v>13.979697588214252</v>
      </c>
      <c r="U7" s="138">
        <f t="shared" si="0"/>
        <v>12.441671329378197</v>
      </c>
      <c r="V7" s="138">
        <f t="shared" si="0"/>
        <v>12.144131734976487</v>
      </c>
      <c r="W7" s="138">
        <f t="shared" si="0"/>
        <v>12.419119698029057</v>
      </c>
      <c r="X7" s="138">
        <f t="shared" si="0"/>
        <v>12.074835379051114</v>
      </c>
      <c r="Y7" s="138">
        <f t="shared" si="0"/>
        <v>12.046460555729057</v>
      </c>
      <c r="Z7" s="138">
        <f t="shared" si="0"/>
        <v>11.814907902395298</v>
      </c>
      <c r="AA7" s="138">
        <f t="shared" si="0"/>
        <v>11.137638063408936</v>
      </c>
      <c r="AB7" s="138">
        <f t="shared" si="0"/>
        <v>10.945956185373715</v>
      </c>
      <c r="AC7" s="138">
        <f t="shared" si="0"/>
        <v>11.789474952422692</v>
      </c>
      <c r="AD7" s="138">
        <f t="shared" si="0"/>
        <v>11.588152891146558</v>
      </c>
      <c r="AE7" s="138">
        <f t="shared" si="0"/>
        <v>11.880705936137065</v>
      </c>
      <c r="AF7" s="138">
        <f t="shared" si="0"/>
        <v>10.642603427990185</v>
      </c>
      <c r="AG7" s="138">
        <f t="shared" si="0"/>
        <v>11.714865947462448</v>
      </c>
      <c r="AH7" s="138">
        <f t="shared" si="0"/>
        <v>0</v>
      </c>
    </row>
    <row r="8" spans="1:34" s="14" customFormat="1" ht="18" customHeight="1" x14ac:dyDescent="0.25">
      <c r="A8" s="123" t="s">
        <v>47</v>
      </c>
      <c r="B8" s="135">
        <f>B5/B6</f>
        <v>1.7802229402582785</v>
      </c>
      <c r="C8" s="135">
        <f t="shared" ref="C8:AG8" si="1">C5/C6</f>
        <v>1.759832309264775</v>
      </c>
      <c r="D8" s="135">
        <f t="shared" si="1"/>
        <v>1.8231392746768174</v>
      </c>
      <c r="E8" s="135">
        <f t="shared" si="1"/>
        <v>1.9662556244623066</v>
      </c>
      <c r="F8" s="135">
        <f t="shared" si="1"/>
        <v>1.9161539346792356</v>
      </c>
      <c r="G8" s="135">
        <f t="shared" si="1"/>
        <v>1.9742186161866879</v>
      </c>
      <c r="H8" s="135">
        <f t="shared" si="1"/>
        <v>2.0597377756503592</v>
      </c>
      <c r="I8" s="135">
        <f t="shared" si="1"/>
        <v>2.0644038279778156</v>
      </c>
      <c r="J8" s="135">
        <f t="shared" si="1"/>
        <v>2.0746101243277026</v>
      </c>
      <c r="K8" s="135">
        <f t="shared" si="1"/>
        <v>2.0806799241343032</v>
      </c>
      <c r="L8" s="135">
        <f t="shared" si="1"/>
        <v>2.0618518611651533</v>
      </c>
      <c r="M8" s="135">
        <f t="shared" si="1"/>
        <v>2.1864587009275263</v>
      </c>
      <c r="N8" s="135">
        <f t="shared" si="1"/>
        <v>2.1981776355036375</v>
      </c>
      <c r="O8" s="135">
        <f t="shared" si="1"/>
        <v>2.3577897240607921</v>
      </c>
      <c r="P8" s="135">
        <f t="shared" si="1"/>
        <v>2.2037023276665093</v>
      </c>
      <c r="Q8" s="135">
        <f t="shared" si="1"/>
        <v>2.3126352835692168</v>
      </c>
      <c r="R8" s="135">
        <f t="shared" si="1"/>
        <v>2.3179506469268687</v>
      </c>
      <c r="S8" s="135">
        <f t="shared" si="1"/>
        <v>2.2816298070314738</v>
      </c>
      <c r="T8" s="135">
        <f t="shared" si="1"/>
        <v>2.332611200877917</v>
      </c>
      <c r="U8" s="135">
        <f t="shared" si="1"/>
        <v>2.5320932316274161</v>
      </c>
      <c r="V8" s="135">
        <f t="shared" si="1"/>
        <v>2.6320773713477204</v>
      </c>
      <c r="W8" s="135">
        <f t="shared" si="1"/>
        <v>2.6172519785630604</v>
      </c>
      <c r="X8" s="135">
        <f t="shared" si="1"/>
        <v>2.6875642999817795</v>
      </c>
      <c r="Y8" s="135">
        <f t="shared" si="1"/>
        <v>2.6960513103256383</v>
      </c>
      <c r="Z8" s="135">
        <f t="shared" si="1"/>
        <v>2.751416842119808</v>
      </c>
      <c r="AA8" s="135">
        <f t="shared" si="1"/>
        <v>2.9382550549834234</v>
      </c>
      <c r="AB8" s="135">
        <f t="shared" si="1"/>
        <v>3.0142835044206175</v>
      </c>
      <c r="AC8" s="135">
        <f t="shared" si="1"/>
        <v>2.8553772477423398</v>
      </c>
      <c r="AD8" s="135">
        <f t="shared" si="1"/>
        <v>2.9495486706065925</v>
      </c>
      <c r="AE8" s="135">
        <f t="shared" si="1"/>
        <v>2.9183591803768509</v>
      </c>
      <c r="AF8" s="135">
        <f t="shared" si="1"/>
        <v>3.0039949572673121</v>
      </c>
      <c r="AG8" s="135">
        <f t="shared" si="1"/>
        <v>2.8963581228125581</v>
      </c>
      <c r="AH8" s="195" t="s">
        <v>565</v>
      </c>
    </row>
    <row r="9" spans="1:34" ht="18" customHeight="1" x14ac:dyDescent="0.25">
      <c r="A9" s="124" t="s">
        <v>19</v>
      </c>
      <c r="B9" s="42">
        <f>Donnees_INSEE!B16/1000</f>
        <v>57996.400999999998</v>
      </c>
      <c r="C9" s="42">
        <f>Donnees_INSEE!C16/1000</f>
        <v>58280.135000000002</v>
      </c>
      <c r="D9" s="42">
        <f>Donnees_INSEE!D16/1000</f>
        <v>58571.237000000001</v>
      </c>
      <c r="E9" s="42">
        <f>Donnees_INSEE!E16/1000</f>
        <v>58852.002</v>
      </c>
      <c r="F9" s="42">
        <f>Donnees_INSEE!F16/1000</f>
        <v>59070.076999999997</v>
      </c>
      <c r="G9" s="42">
        <f>Donnees_INSEE!G16/1000</f>
        <v>59280.576999999997</v>
      </c>
      <c r="H9" s="42">
        <f>Donnees_INSEE!H16/1000</f>
        <v>59487.413</v>
      </c>
      <c r="I9" s="42">
        <f>Donnees_INSEE!I16/1000</f>
        <v>59691.177000000003</v>
      </c>
      <c r="J9" s="42">
        <f>Donnees_INSEE!J16/1000</f>
        <v>59899.347000000002</v>
      </c>
      <c r="K9" s="42">
        <f>Donnees_INSEE!K16/1000</f>
        <v>60122.665000000001</v>
      </c>
      <c r="L9" s="42">
        <f>Donnees_INSEE!L16/1000</f>
        <v>60508.15</v>
      </c>
      <c r="M9" s="42">
        <f>Donnees_INSEE!M16/1000</f>
        <v>60941.41</v>
      </c>
      <c r="N9" s="42">
        <f>Donnees_INSEE!N16/1000</f>
        <v>61385.07</v>
      </c>
      <c r="O9" s="42">
        <f>Donnees_INSEE!O16/1000</f>
        <v>61824.03</v>
      </c>
      <c r="P9" s="42">
        <f>Donnees_INSEE!P16/1000</f>
        <v>62251.061999999998</v>
      </c>
      <c r="Q9" s="42">
        <f>Donnees_INSEE!Q16/1000</f>
        <v>62730.536999999997</v>
      </c>
      <c r="R9" s="42">
        <f>Donnees_INSEE!R16/1000</f>
        <v>63186.116999999998</v>
      </c>
      <c r="S9" s="42">
        <f>Donnees_INSEE!S16/1000</f>
        <v>63600.69</v>
      </c>
      <c r="T9" s="42">
        <f>Donnees_INSEE!T16/1000</f>
        <v>63961.858999999997</v>
      </c>
      <c r="U9" s="42">
        <f>Donnees_INSEE!U16/1000</f>
        <v>64304.5</v>
      </c>
      <c r="V9" s="42">
        <f>Donnees_INSEE!V16/1000</f>
        <v>64612.938999999998</v>
      </c>
      <c r="W9" s="42">
        <f>Donnees_INSEE!W16/1000</f>
        <v>64933.4</v>
      </c>
      <c r="X9" s="42">
        <f>Donnees_INSEE!X16/1000</f>
        <v>65241.241000000002</v>
      </c>
      <c r="Y9" s="42">
        <f>Donnees_INSEE!Y16/1000</f>
        <v>65564.755999999994</v>
      </c>
      <c r="Z9" s="42">
        <f>Donnees_INSEE!Z16/1000</f>
        <v>66130.873000000007</v>
      </c>
      <c r="AA9" s="42">
        <f>Donnees_INSEE!AA16/1000</f>
        <v>66422.468999999997</v>
      </c>
      <c r="AB9" s="42">
        <f>Donnees_INSEE!AB16/1000</f>
        <v>66602.645000000004</v>
      </c>
      <c r="AC9" s="42">
        <f>Donnees_INSEE!AC16/1000</f>
        <v>66774.482000000004</v>
      </c>
      <c r="AD9" s="42">
        <f>Donnees_INSEE!AD16/1000</f>
        <v>66992.159</v>
      </c>
      <c r="AE9" s="42">
        <f>Donnees_INSEE!AE16/1000</f>
        <v>67257.982000000004</v>
      </c>
      <c r="AF9" s="42">
        <f>Donnees_INSEE!AF16/1000</f>
        <v>67441.850000000006</v>
      </c>
      <c r="AG9" s="42">
        <f>Donnees_INSEE!AG16/1000</f>
        <v>67635.123999999996</v>
      </c>
      <c r="AH9" s="42">
        <f>Donnees_INSEE!AH16/1000</f>
        <v>67842.591</v>
      </c>
    </row>
    <row r="10" spans="1:34" ht="18" customHeight="1" x14ac:dyDescent="0.25">
      <c r="A10" s="246" t="s">
        <v>318</v>
      </c>
      <c r="B10" s="247"/>
      <c r="C10" s="247"/>
      <c r="D10" s="247"/>
      <c r="E10" s="247"/>
      <c r="F10" s="247"/>
      <c r="G10" s="247"/>
      <c r="H10" s="247"/>
      <c r="I10" s="247"/>
      <c r="J10" s="247"/>
      <c r="K10" s="247"/>
      <c r="L10" s="247"/>
      <c r="M10" s="247"/>
      <c r="N10" s="247"/>
      <c r="O10" s="247"/>
      <c r="P10" s="247"/>
      <c r="Q10" s="247"/>
      <c r="R10" s="247"/>
      <c r="S10" s="247"/>
      <c r="T10" s="247"/>
      <c r="U10" s="247"/>
    </row>
    <row r="11" spans="1:34" ht="18" customHeight="1" x14ac:dyDescent="0.25">
      <c r="A11" s="13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row>
    <row r="12" spans="1:34" ht="18" customHeight="1" x14ac:dyDescent="0.25">
      <c r="A12" s="109" t="s">
        <v>316</v>
      </c>
      <c r="B12" s="129">
        <v>1990</v>
      </c>
      <c r="C12" s="129">
        <f>B12+1</f>
        <v>1991</v>
      </c>
      <c r="D12" s="129">
        <f>C12+1</f>
        <v>1992</v>
      </c>
      <c r="E12" s="129">
        <f t="shared" ref="E12:AC12" si="2">D12+1</f>
        <v>1993</v>
      </c>
      <c r="F12" s="129">
        <f t="shared" si="2"/>
        <v>1994</v>
      </c>
      <c r="G12" s="129">
        <f t="shared" si="2"/>
        <v>1995</v>
      </c>
      <c r="H12" s="129">
        <f t="shared" si="2"/>
        <v>1996</v>
      </c>
      <c r="I12" s="129">
        <f t="shared" si="2"/>
        <v>1997</v>
      </c>
      <c r="J12" s="129">
        <f t="shared" si="2"/>
        <v>1998</v>
      </c>
      <c r="K12" s="129">
        <f t="shared" si="2"/>
        <v>1999</v>
      </c>
      <c r="L12" s="129">
        <f t="shared" si="2"/>
        <v>2000</v>
      </c>
      <c r="M12" s="129">
        <f t="shared" si="2"/>
        <v>2001</v>
      </c>
      <c r="N12" s="129">
        <f t="shared" si="2"/>
        <v>2002</v>
      </c>
      <c r="O12" s="129">
        <f t="shared" si="2"/>
        <v>2003</v>
      </c>
      <c r="P12" s="129">
        <f t="shared" si="2"/>
        <v>2004</v>
      </c>
      <c r="Q12" s="129">
        <f t="shared" si="2"/>
        <v>2005</v>
      </c>
      <c r="R12" s="129">
        <f t="shared" si="2"/>
        <v>2006</v>
      </c>
      <c r="S12" s="129">
        <f t="shared" si="2"/>
        <v>2007</v>
      </c>
      <c r="T12" s="129">
        <f t="shared" si="2"/>
        <v>2008</v>
      </c>
      <c r="U12" s="129">
        <f t="shared" si="2"/>
        <v>2009</v>
      </c>
      <c r="V12" s="129">
        <f t="shared" si="2"/>
        <v>2010</v>
      </c>
      <c r="W12" s="129">
        <f t="shared" si="2"/>
        <v>2011</v>
      </c>
      <c r="X12" s="129">
        <f t="shared" si="2"/>
        <v>2012</v>
      </c>
      <c r="Y12" s="129">
        <f t="shared" si="2"/>
        <v>2013</v>
      </c>
      <c r="Z12" s="129">
        <f t="shared" si="2"/>
        <v>2014</v>
      </c>
      <c r="AA12" s="129">
        <f t="shared" si="2"/>
        <v>2015</v>
      </c>
      <c r="AB12" s="129">
        <f t="shared" si="2"/>
        <v>2016</v>
      </c>
      <c r="AC12" s="129">
        <f t="shared" si="2"/>
        <v>2017</v>
      </c>
      <c r="AD12" s="129">
        <v>2018</v>
      </c>
      <c r="AE12" s="129">
        <v>2019</v>
      </c>
      <c r="AF12" s="129">
        <v>2020</v>
      </c>
      <c r="AG12" s="129">
        <v>2021</v>
      </c>
      <c r="AH12" s="130">
        <v>2022</v>
      </c>
    </row>
    <row r="13" spans="1:34" ht="30.6" customHeight="1" x14ac:dyDescent="0.25">
      <c r="A13" s="30" t="str">
        <f>A6</f>
        <v>Consommation intérieure de matières (DMC, Mt)*</v>
      </c>
      <c r="B13" s="136">
        <v>100</v>
      </c>
      <c r="C13" s="136">
        <f>C6/$B6*100</f>
        <v>102.21898968938108</v>
      </c>
      <c r="D13" s="136">
        <f t="shared" ref="D13:AD13" si="3">D6/$B6*100</f>
        <v>100.24758573756169</v>
      </c>
      <c r="E13" s="136">
        <f t="shared" si="3"/>
        <v>92.366589798623778</v>
      </c>
      <c r="F13" s="136">
        <f t="shared" si="3"/>
        <v>97.017039225344803</v>
      </c>
      <c r="G13" s="136">
        <f t="shared" si="3"/>
        <v>96.147303401009722</v>
      </c>
      <c r="H13" s="136">
        <f t="shared" si="3"/>
        <v>93.457470055493232</v>
      </c>
      <c r="I13" s="136">
        <f t="shared" si="3"/>
        <v>95.424742042288187</v>
      </c>
      <c r="J13" s="136">
        <f t="shared" si="3"/>
        <v>98.362910358211792</v>
      </c>
      <c r="K13" s="136">
        <f t="shared" si="3"/>
        <v>101.43150952945466</v>
      </c>
      <c r="L13" s="136">
        <f t="shared" si="3"/>
        <v>106.37392357112783</v>
      </c>
      <c r="M13" s="136">
        <f t="shared" si="3"/>
        <v>102.30155009793582</v>
      </c>
      <c r="N13" s="136">
        <f t="shared" si="3"/>
        <v>102.91163284567666</v>
      </c>
      <c r="O13" s="136">
        <f t="shared" si="3"/>
        <v>96.734745125892459</v>
      </c>
      <c r="P13" s="136">
        <f t="shared" si="3"/>
        <v>106.42739306020104</v>
      </c>
      <c r="Q13" s="136">
        <f t="shared" si="3"/>
        <v>103.10104528288393</v>
      </c>
      <c r="R13" s="136">
        <f t="shared" si="3"/>
        <v>105.38410857147353</v>
      </c>
      <c r="S13" s="136">
        <f t="shared" si="3"/>
        <v>109.65766236829137</v>
      </c>
      <c r="T13" s="136">
        <f t="shared" si="3"/>
        <v>107.53444941054333</v>
      </c>
      <c r="U13" s="136">
        <f t="shared" si="3"/>
        <v>96.216344185485241</v>
      </c>
      <c r="V13" s="136">
        <f t="shared" si="3"/>
        <v>94.365821917938092</v>
      </c>
      <c r="W13" s="136">
        <f t="shared" si="3"/>
        <v>96.981236718923284</v>
      </c>
      <c r="X13" s="136">
        <f t="shared" si="3"/>
        <v>94.739741061015664</v>
      </c>
      <c r="Y13" s="136">
        <f t="shared" si="3"/>
        <v>94.985797545790504</v>
      </c>
      <c r="Z13" s="136">
        <f t="shared" si="3"/>
        <v>93.964402802620057</v>
      </c>
      <c r="AA13" s="136">
        <f t="shared" si="3"/>
        <v>88.968624621467995</v>
      </c>
      <c r="AB13" s="136">
        <f t="shared" si="3"/>
        <v>87.67463034676382</v>
      </c>
      <c r="AC13" s="136">
        <f t="shared" si="3"/>
        <v>94.674659785721829</v>
      </c>
      <c r="AD13" s="136">
        <f t="shared" si="3"/>
        <v>93.361313295643242</v>
      </c>
      <c r="AE13" s="136">
        <f t="shared" ref="AE13:AG15" si="4">AE6/$B6*100</f>
        <v>96.098108748328542</v>
      </c>
      <c r="AF13" s="136">
        <f t="shared" si="4"/>
        <v>86.318943421787495</v>
      </c>
      <c r="AG13" s="136">
        <f t="shared" si="4"/>
        <v>95.288035910905862</v>
      </c>
      <c r="AH13" s="136">
        <f>AH6/$B6*100</f>
        <v>0</v>
      </c>
    </row>
    <row r="14" spans="1:34" ht="25.5" customHeight="1" x14ac:dyDescent="0.25">
      <c r="A14" s="30" t="str">
        <f>A7</f>
        <v>Consommation intérieure de matières par personne (DMC/population, t/habitant)*</v>
      </c>
      <c r="B14" s="136">
        <v>100</v>
      </c>
      <c r="C14" s="136">
        <f>C7/$B7*100</f>
        <v>101.72134151439782</v>
      </c>
      <c r="D14" s="136">
        <f t="shared" ref="D14:AC14" si="5">D7/$B7*100</f>
        <v>99.26372532848346</v>
      </c>
      <c r="E14" s="136">
        <f t="shared" si="5"/>
        <v>91.023747687691142</v>
      </c>
      <c r="F14" s="136">
        <f t="shared" si="5"/>
        <v>95.253627496470443</v>
      </c>
      <c r="G14" s="136">
        <f t="shared" si="5"/>
        <v>94.064495409915168</v>
      </c>
      <c r="H14" s="136">
        <f t="shared" si="5"/>
        <v>91.115021421151354</v>
      </c>
      <c r="I14" s="136">
        <f t="shared" si="5"/>
        <v>92.715404234801795</v>
      </c>
      <c r="J14" s="136">
        <f t="shared" si="5"/>
        <v>95.238013073196001</v>
      </c>
      <c r="K14" s="136">
        <f t="shared" si="5"/>
        <v>97.844340411483316</v>
      </c>
      <c r="L14" s="136">
        <f t="shared" si="5"/>
        <v>101.95824409396883</v>
      </c>
      <c r="M14" s="136">
        <f t="shared" si="5"/>
        <v>97.357801901883718</v>
      </c>
      <c r="N14" s="136">
        <f t="shared" si="5"/>
        <v>97.230553391608652</v>
      </c>
      <c r="O14" s="136">
        <f t="shared" si="5"/>
        <v>90.745735419610384</v>
      </c>
      <c r="P14" s="136">
        <f t="shared" si="5"/>
        <v>99.153421114390568</v>
      </c>
      <c r="Q14" s="136">
        <f>Q7/$B7*100</f>
        <v>95.320235593476511</v>
      </c>
      <c r="R14" s="136">
        <f t="shared" si="5"/>
        <v>96.728511102189046</v>
      </c>
      <c r="S14" s="136">
        <f t="shared" si="5"/>
        <v>99.994980548702159</v>
      </c>
      <c r="T14" s="136">
        <f t="shared" si="5"/>
        <v>97.505156148261491</v>
      </c>
      <c r="U14" s="136">
        <f t="shared" si="5"/>
        <v>86.777778851175597</v>
      </c>
      <c r="V14" s="136">
        <f t="shared" si="5"/>
        <v>84.702509022957869</v>
      </c>
      <c r="W14" s="136">
        <f t="shared" si="5"/>
        <v>86.620486440361958</v>
      </c>
      <c r="X14" s="136">
        <f t="shared" si="5"/>
        <v>84.219182973708769</v>
      </c>
      <c r="Y14" s="136">
        <f t="shared" si="5"/>
        <v>84.021275146215473</v>
      </c>
      <c r="Z14" s="136">
        <f t="shared" si="5"/>
        <v>82.406248964326764</v>
      </c>
      <c r="AA14" s="136">
        <f t="shared" si="5"/>
        <v>77.682448539591789</v>
      </c>
      <c r="AB14" s="136">
        <f t="shared" si="5"/>
        <v>76.345511790375326</v>
      </c>
      <c r="AC14" s="136">
        <f t="shared" si="5"/>
        <v>82.228860022774811</v>
      </c>
      <c r="AD14" s="136">
        <f>AD7/$B7*100</f>
        <v>80.824685225934516</v>
      </c>
      <c r="AE14" s="136">
        <f t="shared" si="4"/>
        <v>82.865175025763776</v>
      </c>
      <c r="AF14" s="136">
        <f t="shared" si="4"/>
        <v>74.229696495370433</v>
      </c>
      <c r="AG14" s="136">
        <f t="shared" si="4"/>
        <v>81.708479475712892</v>
      </c>
      <c r="AH14" s="136">
        <f>AH7/$B7*100</f>
        <v>0</v>
      </c>
    </row>
    <row r="15" spans="1:34" ht="18" customHeight="1" x14ac:dyDescent="0.25">
      <c r="A15" s="30" t="str">
        <f>A8</f>
        <v>Productivité matières (PIB/DMC, en €/kg)**</v>
      </c>
      <c r="B15" s="136">
        <v>100</v>
      </c>
      <c r="C15" s="136">
        <f>C8/$B8*100</f>
        <v>98.854602390948571</v>
      </c>
      <c r="D15" s="136">
        <f t="shared" ref="D15:AB15" si="6">D8/$B8*100</f>
        <v>102.41072808624251</v>
      </c>
      <c r="E15" s="136">
        <f t="shared" si="6"/>
        <v>110.44996556313549</v>
      </c>
      <c r="F15" s="136">
        <f t="shared" si="6"/>
        <v>107.63561637966737</v>
      </c>
      <c r="G15" s="136">
        <f t="shared" si="6"/>
        <v>110.89726862525792</v>
      </c>
      <c r="H15" s="136">
        <f t="shared" si="6"/>
        <v>115.70111411728736</v>
      </c>
      <c r="I15" s="136">
        <f t="shared" si="6"/>
        <v>115.96321906054685</v>
      </c>
      <c r="J15" s="136">
        <f t="shared" si="6"/>
        <v>116.53653468967846</v>
      </c>
      <c r="K15" s="136">
        <f t="shared" si="6"/>
        <v>116.87749197482165</v>
      </c>
      <c r="L15" s="136">
        <f t="shared" si="6"/>
        <v>115.81986809281402</v>
      </c>
      <c r="M15" s="136">
        <f t="shared" si="6"/>
        <v>122.81937567944779</v>
      </c>
      <c r="N15" s="136">
        <f t="shared" si="6"/>
        <v>123.47766034206487</v>
      </c>
      <c r="O15" s="136">
        <f t="shared" si="6"/>
        <v>132.44350866070283</v>
      </c>
      <c r="P15" s="136">
        <f t="shared" si="6"/>
        <v>123.78799743737665</v>
      </c>
      <c r="Q15" s="136">
        <f t="shared" si="6"/>
        <v>129.90706002438631</v>
      </c>
      <c r="R15" s="136">
        <f t="shared" si="6"/>
        <v>130.20563854719092</v>
      </c>
      <c r="S15" s="136">
        <f t="shared" si="6"/>
        <v>128.1653974586155</v>
      </c>
      <c r="T15" s="136">
        <f t="shared" si="6"/>
        <v>131.02916202953193</v>
      </c>
      <c r="U15" s="136">
        <f t="shared" si="6"/>
        <v>142.23461423657727</v>
      </c>
      <c r="V15" s="136">
        <f t="shared" si="6"/>
        <v>147.85099730070061</v>
      </c>
      <c r="W15" s="136">
        <f t="shared" si="6"/>
        <v>147.01821436945104</v>
      </c>
      <c r="X15" s="136">
        <f t="shared" si="6"/>
        <v>150.96785010487855</v>
      </c>
      <c r="Y15" s="136">
        <f t="shared" si="6"/>
        <v>151.44458872856057</v>
      </c>
      <c r="Z15" s="136">
        <f t="shared" si="6"/>
        <v>154.55462233963948</v>
      </c>
      <c r="AA15" s="136">
        <f t="shared" si="6"/>
        <v>165.04983665456729</v>
      </c>
      <c r="AB15" s="136">
        <f t="shared" si="6"/>
        <v>169.32056296181077</v>
      </c>
      <c r="AC15" s="136">
        <f>AC8/$B8*100</f>
        <v>160.39436315364387</v>
      </c>
      <c r="AD15" s="136">
        <f>AD8/$B8*100</f>
        <v>165.68422998631092</v>
      </c>
      <c r="AE15" s="136">
        <f t="shared" si="4"/>
        <v>163.93223086730075</v>
      </c>
      <c r="AF15" s="136">
        <f t="shared" si="4"/>
        <v>168.74262707970081</v>
      </c>
      <c r="AG15" s="136">
        <f t="shared" si="4"/>
        <v>162.69637118552961</v>
      </c>
      <c r="AH15" s="136"/>
    </row>
    <row r="16" spans="1:34" ht="18" customHeight="1" x14ac:dyDescent="0.25">
      <c r="A16" s="127" t="s">
        <v>38</v>
      </c>
      <c r="B16" s="128"/>
      <c r="C16" s="128"/>
      <c r="D16" s="128"/>
      <c r="E16" s="128"/>
      <c r="F16" s="128"/>
      <c r="G16" s="128"/>
      <c r="H16" s="128"/>
      <c r="I16" s="128"/>
      <c r="J16" s="128"/>
      <c r="K16" s="128"/>
      <c r="L16" s="128"/>
      <c r="M16" s="128"/>
      <c r="N16" s="128"/>
      <c r="O16" s="128"/>
      <c r="P16" s="128"/>
      <c r="Q16" s="128"/>
      <c r="R16" s="128"/>
      <c r="S16" s="128"/>
      <c r="T16" s="128"/>
      <c r="U16" s="128"/>
    </row>
    <row r="17" spans="1:24" ht="41.55" customHeight="1" x14ac:dyDescent="0.25">
      <c r="A17" s="248" t="s">
        <v>319</v>
      </c>
      <c r="B17" s="249"/>
      <c r="C17" s="249"/>
      <c r="D17" s="249"/>
      <c r="E17" s="249"/>
      <c r="F17" s="249"/>
      <c r="G17" s="249"/>
      <c r="H17" s="249"/>
      <c r="I17" s="249"/>
      <c r="J17" s="249"/>
      <c r="K17" s="249"/>
      <c r="L17" s="249"/>
      <c r="M17" s="249"/>
      <c r="N17" s="249"/>
      <c r="O17" s="249"/>
      <c r="P17" s="249"/>
      <c r="Q17" s="249"/>
      <c r="R17" s="249"/>
      <c r="S17" s="249"/>
      <c r="T17" s="249"/>
      <c r="U17" s="249"/>
      <c r="V17" s="25"/>
      <c r="W17" s="25"/>
    </row>
    <row r="18" spans="1:24" ht="18" customHeight="1" x14ac:dyDescent="0.25">
      <c r="A18" s="246" t="s">
        <v>320</v>
      </c>
      <c r="B18" s="247"/>
      <c r="C18" s="247"/>
      <c r="D18" s="247"/>
      <c r="E18" s="247"/>
      <c r="F18" s="247"/>
      <c r="G18" s="247"/>
      <c r="H18" s="247"/>
      <c r="I18" s="247"/>
      <c r="J18" s="247"/>
      <c r="K18" s="247"/>
      <c r="L18" s="247"/>
      <c r="M18" s="247"/>
      <c r="N18" s="247"/>
      <c r="O18" s="247"/>
      <c r="P18" s="247"/>
      <c r="Q18" s="247"/>
      <c r="R18" s="247"/>
      <c r="S18" s="247"/>
      <c r="T18" s="247"/>
      <c r="U18" s="247"/>
      <c r="V18" s="24"/>
      <c r="W18" s="24"/>
    </row>
    <row r="19" spans="1:24" ht="13.5" customHeight="1" x14ac:dyDescent="0.25">
      <c r="A19" s="245" t="s">
        <v>321</v>
      </c>
      <c r="B19" s="245"/>
      <c r="C19" s="245"/>
      <c r="D19" s="245"/>
      <c r="E19" s="245"/>
      <c r="F19" s="245"/>
      <c r="G19" s="245"/>
      <c r="H19" s="245"/>
      <c r="I19" s="245"/>
      <c r="J19" s="245"/>
      <c r="K19" s="245"/>
      <c r="L19" s="245"/>
      <c r="M19" s="245"/>
      <c r="N19" s="245"/>
      <c r="O19" s="245"/>
      <c r="P19" s="245"/>
      <c r="Q19" s="245"/>
      <c r="R19" s="245"/>
      <c r="S19" s="245"/>
      <c r="T19" s="245"/>
      <c r="U19" s="245"/>
    </row>
    <row r="20" spans="1:24" x14ac:dyDescent="0.25">
      <c r="A20" s="246" t="s">
        <v>320</v>
      </c>
      <c r="B20" s="247"/>
      <c r="C20" s="247"/>
      <c r="D20" s="247"/>
      <c r="E20" s="247"/>
      <c r="F20" s="247"/>
      <c r="G20" s="247"/>
      <c r="H20" s="247"/>
      <c r="I20" s="247"/>
      <c r="J20" s="247"/>
      <c r="K20" s="247"/>
      <c r="L20" s="247"/>
      <c r="M20" s="247"/>
      <c r="N20" s="247"/>
      <c r="O20" s="247"/>
      <c r="P20" s="247"/>
      <c r="Q20" s="247"/>
      <c r="R20" s="247"/>
      <c r="S20" s="247"/>
      <c r="T20" s="247"/>
      <c r="U20" s="247"/>
    </row>
    <row r="21" spans="1:24" x14ac:dyDescent="0.25">
      <c r="A21" s="125" t="s">
        <v>23</v>
      </c>
      <c r="B21" s="116"/>
      <c r="C21" s="116"/>
      <c r="D21" s="116"/>
      <c r="E21" s="116"/>
      <c r="F21" s="116"/>
      <c r="G21" s="116"/>
      <c r="H21" s="116"/>
      <c r="I21" s="116"/>
      <c r="J21" s="116"/>
      <c r="K21" s="116"/>
      <c r="L21" s="116"/>
      <c r="M21" s="116"/>
      <c r="N21" s="116"/>
      <c r="O21" s="116"/>
      <c r="P21" s="116"/>
      <c r="Q21" s="116"/>
      <c r="R21" s="116"/>
      <c r="S21" s="116"/>
      <c r="T21" s="116"/>
      <c r="U21" s="116"/>
      <c r="V21" s="116"/>
      <c r="W21" s="116"/>
      <c r="X21" s="116"/>
    </row>
    <row r="22" spans="1:24" x14ac:dyDescent="0.25">
      <c r="A22" s="125"/>
      <c r="B22" s="116"/>
      <c r="C22" s="116"/>
      <c r="D22" s="116"/>
      <c r="E22" s="116"/>
      <c r="F22" s="116"/>
      <c r="G22" s="116"/>
      <c r="H22" s="116"/>
      <c r="I22" s="116"/>
      <c r="J22" s="116"/>
      <c r="K22" s="116"/>
      <c r="L22" s="116"/>
      <c r="M22" s="116"/>
      <c r="N22" s="116"/>
      <c r="O22" s="116"/>
      <c r="P22" s="116"/>
      <c r="Q22" s="116"/>
      <c r="R22" s="116"/>
      <c r="S22" s="116"/>
      <c r="T22" s="116"/>
      <c r="U22" s="116"/>
      <c r="V22" s="116"/>
      <c r="W22" s="116"/>
      <c r="X22" s="116"/>
    </row>
    <row r="23" spans="1:24" x14ac:dyDescent="0.25">
      <c r="A23" s="125"/>
      <c r="B23" s="117"/>
      <c r="C23" s="117"/>
      <c r="D23" s="117"/>
      <c r="E23" s="117"/>
      <c r="F23" s="117"/>
      <c r="G23" s="117"/>
      <c r="H23" s="117"/>
      <c r="I23" s="117"/>
      <c r="J23" s="117"/>
      <c r="K23" s="117"/>
      <c r="L23" s="117"/>
      <c r="M23" s="116"/>
      <c r="N23" s="116"/>
      <c r="O23" s="116"/>
      <c r="P23" s="116"/>
      <c r="Q23" s="116"/>
      <c r="R23" s="116"/>
      <c r="S23" s="116"/>
      <c r="T23" s="116"/>
      <c r="U23" s="116"/>
      <c r="V23" s="116"/>
      <c r="W23" s="116"/>
      <c r="X23" s="116"/>
    </row>
    <row r="24" spans="1:24" x14ac:dyDescent="0.25">
      <c r="A24" s="126"/>
      <c r="B24" s="114"/>
      <c r="C24" s="114"/>
      <c r="D24" s="114"/>
      <c r="E24" s="114"/>
      <c r="F24" s="114"/>
      <c r="G24" s="114"/>
      <c r="H24" s="114"/>
      <c r="I24" s="114"/>
      <c r="J24" s="114"/>
      <c r="K24" s="114"/>
      <c r="L24" s="114"/>
      <c r="M24" s="114"/>
      <c r="N24" s="114"/>
      <c r="O24" s="116"/>
    </row>
    <row r="25" spans="1:24" x14ac:dyDescent="0.25">
      <c r="N25" s="114"/>
    </row>
    <row r="26" spans="1:24" x14ac:dyDescent="0.25">
      <c r="N26" s="114"/>
    </row>
    <row r="27" spans="1:24" x14ac:dyDescent="0.25">
      <c r="N27" s="114"/>
    </row>
    <row r="28" spans="1:24" x14ac:dyDescent="0.25">
      <c r="N28" s="114"/>
    </row>
    <row r="29" spans="1:24" x14ac:dyDescent="0.25">
      <c r="N29" s="114"/>
    </row>
    <row r="30" spans="1:24" x14ac:dyDescent="0.25">
      <c r="N30" s="114"/>
    </row>
    <row r="31" spans="1:24" x14ac:dyDescent="0.25">
      <c r="N31" s="114"/>
    </row>
    <row r="32" spans="1:24" x14ac:dyDescent="0.25">
      <c r="N32" s="114"/>
    </row>
    <row r="33" spans="1:21" x14ac:dyDescent="0.25">
      <c r="N33" s="114"/>
    </row>
    <row r="34" spans="1:21" x14ac:dyDescent="0.25">
      <c r="N34" s="114"/>
    </row>
    <row r="35" spans="1:21" x14ac:dyDescent="0.25">
      <c r="N35" s="114"/>
    </row>
    <row r="36" spans="1:21" x14ac:dyDescent="0.25">
      <c r="N36" s="114"/>
    </row>
    <row r="37" spans="1:21" x14ac:dyDescent="0.25">
      <c r="N37" s="114"/>
    </row>
    <row r="38" spans="1:21" x14ac:dyDescent="0.25">
      <c r="N38" s="114"/>
    </row>
    <row r="39" spans="1:21" x14ac:dyDescent="0.25">
      <c r="N39" s="114"/>
    </row>
    <row r="40" spans="1:21" x14ac:dyDescent="0.25">
      <c r="N40" s="114"/>
    </row>
    <row r="41" spans="1:21" x14ac:dyDescent="0.25">
      <c r="N41" s="114"/>
    </row>
    <row r="42" spans="1:21" x14ac:dyDescent="0.25">
      <c r="N42" s="114"/>
    </row>
    <row r="43" spans="1:21" x14ac:dyDescent="0.25">
      <c r="N43" s="114"/>
    </row>
    <row r="44" spans="1:21" x14ac:dyDescent="0.25">
      <c r="N44" s="114"/>
    </row>
    <row r="45" spans="1:21" x14ac:dyDescent="0.25">
      <c r="N45" s="114"/>
    </row>
    <row r="46" spans="1:21" x14ac:dyDescent="0.25">
      <c r="N46" s="114"/>
    </row>
    <row r="48" spans="1:21" x14ac:dyDescent="0.25">
      <c r="A48" s="245" t="s">
        <v>321</v>
      </c>
      <c r="B48" s="245"/>
      <c r="C48" s="245"/>
      <c r="D48" s="245"/>
      <c r="E48" s="245"/>
      <c r="F48" s="245"/>
      <c r="G48" s="245"/>
      <c r="H48" s="245"/>
      <c r="I48" s="245"/>
      <c r="J48" s="245"/>
      <c r="K48" s="245"/>
      <c r="L48" s="245"/>
      <c r="M48" s="245"/>
      <c r="N48" s="245"/>
      <c r="O48" s="245"/>
      <c r="P48" s="245"/>
      <c r="Q48" s="245"/>
      <c r="R48" s="245"/>
      <c r="S48" s="245"/>
      <c r="T48" s="245"/>
      <c r="U48" s="245"/>
    </row>
    <row r="49" spans="1:21" x14ac:dyDescent="0.25">
      <c r="A49" s="243" t="s">
        <v>322</v>
      </c>
      <c r="B49" s="244"/>
      <c r="C49" s="244"/>
      <c r="D49" s="244"/>
      <c r="E49" s="244"/>
      <c r="F49" s="244"/>
      <c r="G49" s="244"/>
      <c r="H49" s="244"/>
      <c r="I49" s="244"/>
      <c r="J49" s="244"/>
      <c r="K49" s="244"/>
      <c r="L49" s="244"/>
      <c r="M49" s="244"/>
      <c r="N49" s="244"/>
      <c r="O49" s="244"/>
      <c r="P49" s="244"/>
      <c r="Q49" s="244"/>
      <c r="R49" s="244"/>
      <c r="S49" s="244"/>
      <c r="T49" s="244"/>
      <c r="U49" s="244"/>
    </row>
  </sheetData>
  <mergeCells count="8">
    <mergeCell ref="A49:U49"/>
    <mergeCell ref="A1:AH2"/>
    <mergeCell ref="A19:U19"/>
    <mergeCell ref="A48:U48"/>
    <mergeCell ref="A10:U10"/>
    <mergeCell ref="A17:U17"/>
    <mergeCell ref="A18:U18"/>
    <mergeCell ref="A20:U20"/>
  </mergeCells>
  <pageMargins left="0.78740157499999996" right="0.78740157499999996" top="0.984251969" bottom="0.984251969" header="0.4921259845" footer="0.4921259845"/>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4"/>
  <sheetViews>
    <sheetView showGridLines="0" workbookViewId="0">
      <selection activeCell="D37" sqref="D37"/>
    </sheetView>
  </sheetViews>
  <sheetFormatPr baseColWidth="10" defaultColWidth="10.77734375" defaultRowHeight="13.2" x14ac:dyDescent="0.25"/>
  <cols>
    <col min="1" max="1" width="16.77734375" style="12" customWidth="1"/>
    <col min="2" max="2" width="10.77734375" style="12"/>
    <col min="3" max="3" width="4.44140625" style="12" customWidth="1"/>
    <col min="4" max="4" width="14.21875" style="12" customWidth="1"/>
    <col min="5" max="16384" width="10.77734375" style="12"/>
  </cols>
  <sheetData>
    <row r="1" spans="1:15" s="17" customFormat="1" x14ac:dyDescent="0.25">
      <c r="A1" s="250" t="s">
        <v>325</v>
      </c>
      <c r="B1" s="250"/>
      <c r="C1" s="250"/>
      <c r="D1" s="250"/>
      <c r="E1" s="250"/>
      <c r="F1" s="250"/>
      <c r="G1" s="250"/>
      <c r="H1" s="250"/>
      <c r="I1" s="250"/>
      <c r="J1" s="250"/>
      <c r="K1" s="250"/>
      <c r="L1" s="250"/>
      <c r="M1" s="250"/>
      <c r="N1" s="250"/>
      <c r="O1" s="250"/>
    </row>
    <row r="2" spans="1:15" s="17" customFormat="1" x14ac:dyDescent="0.25">
      <c r="A2" s="250"/>
      <c r="B2" s="250"/>
      <c r="C2" s="250"/>
      <c r="D2" s="250"/>
      <c r="E2" s="250"/>
      <c r="F2" s="250"/>
      <c r="G2" s="250"/>
      <c r="H2" s="250"/>
      <c r="I2" s="250"/>
      <c r="J2" s="250"/>
      <c r="K2" s="250"/>
      <c r="L2" s="250"/>
      <c r="M2" s="250"/>
      <c r="N2" s="250"/>
      <c r="O2" s="250"/>
    </row>
    <row r="3" spans="1:15" s="148" customFormat="1" ht="15.6" x14ac:dyDescent="0.25">
      <c r="A3" s="147"/>
      <c r="B3" s="147"/>
      <c r="C3" s="147"/>
      <c r="D3" s="147"/>
      <c r="E3" s="147"/>
      <c r="F3" s="147"/>
      <c r="G3" s="147"/>
      <c r="H3" s="147"/>
      <c r="I3" s="147"/>
      <c r="J3" s="147"/>
      <c r="K3" s="147"/>
      <c r="L3" s="147"/>
      <c r="M3" s="147"/>
      <c r="N3" s="147"/>
      <c r="O3" s="147"/>
    </row>
    <row r="4" spans="1:15" x14ac:dyDescent="0.25">
      <c r="A4" s="142" t="s">
        <v>24</v>
      </c>
      <c r="B4" s="145" t="s">
        <v>25</v>
      </c>
      <c r="C4" s="16"/>
      <c r="D4" s="17"/>
      <c r="E4" s="17"/>
      <c r="F4" s="17"/>
      <c r="G4" s="17"/>
      <c r="H4" s="17"/>
      <c r="I4" s="17"/>
      <c r="J4" s="17"/>
      <c r="K4" s="17"/>
      <c r="L4" s="17"/>
    </row>
    <row r="5" spans="1:15" x14ac:dyDescent="0.25">
      <c r="A5" s="143" t="s">
        <v>54</v>
      </c>
      <c r="B5" s="197">
        <v>5.4690000000000003</v>
      </c>
      <c r="C5" s="11"/>
      <c r="D5" s="139"/>
      <c r="E5" s="139"/>
      <c r="F5" s="139"/>
      <c r="G5" s="139"/>
      <c r="H5" s="139"/>
      <c r="I5" s="139"/>
      <c r="J5" s="139"/>
      <c r="K5" s="139"/>
      <c r="L5" s="139"/>
      <c r="M5" s="139"/>
      <c r="N5" s="139"/>
      <c r="O5" s="139"/>
    </row>
    <row r="6" spans="1:15" x14ac:dyDescent="0.25">
      <c r="A6" s="143" t="s">
        <v>50</v>
      </c>
      <c r="B6" s="198">
        <v>8.1999999999999993</v>
      </c>
      <c r="C6" s="13"/>
      <c r="D6" s="139"/>
      <c r="O6" s="139"/>
    </row>
    <row r="7" spans="1:15" x14ac:dyDescent="0.25">
      <c r="A7" s="143" t="s">
        <v>53</v>
      </c>
      <c r="B7" s="198">
        <v>10.948</v>
      </c>
      <c r="C7" s="13"/>
      <c r="D7" s="139"/>
      <c r="O7" s="139"/>
    </row>
    <row r="8" spans="1:15" x14ac:dyDescent="0.25">
      <c r="A8" s="144" t="s">
        <v>27</v>
      </c>
      <c r="B8" s="199">
        <v>9.5</v>
      </c>
      <c r="C8" s="13"/>
      <c r="D8" s="139"/>
      <c r="O8" s="139"/>
    </row>
    <row r="9" spans="1:15" x14ac:dyDescent="0.25">
      <c r="A9" s="145" t="s">
        <v>28</v>
      </c>
      <c r="B9" s="199">
        <v>11.8</v>
      </c>
      <c r="C9" s="13"/>
      <c r="D9" s="139"/>
      <c r="O9" s="139"/>
    </row>
    <row r="10" spans="1:15" x14ac:dyDescent="0.25">
      <c r="A10" s="143" t="s">
        <v>57</v>
      </c>
      <c r="B10" s="198">
        <v>12.4</v>
      </c>
      <c r="C10" s="13"/>
      <c r="D10" s="139"/>
      <c r="O10" s="139"/>
    </row>
    <row r="11" spans="1:15" x14ac:dyDescent="0.25">
      <c r="A11" s="143" t="s">
        <v>58</v>
      </c>
      <c r="B11" s="199">
        <v>14.2</v>
      </c>
      <c r="C11" s="11"/>
      <c r="D11" s="139"/>
      <c r="O11" s="139"/>
    </row>
    <row r="12" spans="1:15" x14ac:dyDescent="0.25">
      <c r="A12" s="143" t="s">
        <v>29</v>
      </c>
      <c r="B12" s="199">
        <v>14.2</v>
      </c>
      <c r="C12" s="11"/>
      <c r="D12" s="139"/>
      <c r="O12" s="139"/>
    </row>
    <row r="13" spans="1:15" x14ac:dyDescent="0.25">
      <c r="A13" s="143" t="s">
        <v>26</v>
      </c>
      <c r="B13" s="197">
        <v>17.600000000000001</v>
      </c>
      <c r="C13" s="11"/>
      <c r="D13" s="139"/>
      <c r="O13" s="139"/>
    </row>
    <row r="14" spans="1:15" x14ac:dyDescent="0.25">
      <c r="A14" s="143" t="s">
        <v>55</v>
      </c>
      <c r="B14" s="197">
        <v>23.8</v>
      </c>
      <c r="C14" s="11"/>
      <c r="D14" s="139"/>
      <c r="O14" s="139"/>
    </row>
    <row r="15" spans="1:15" x14ac:dyDescent="0.25">
      <c r="A15" s="143" t="s">
        <v>42</v>
      </c>
      <c r="B15" s="199">
        <v>18</v>
      </c>
      <c r="C15" s="11"/>
      <c r="D15" s="139"/>
      <c r="O15" s="139"/>
    </row>
    <row r="16" spans="1:15" x14ac:dyDescent="0.25">
      <c r="A16" s="143" t="s">
        <v>52</v>
      </c>
      <c r="B16" s="197">
        <v>22.931000000000001</v>
      </c>
      <c r="C16" s="11"/>
      <c r="D16" s="139"/>
      <c r="O16" s="139"/>
    </row>
    <row r="17" spans="1:15" x14ac:dyDescent="0.25">
      <c r="A17" s="143" t="s">
        <v>30</v>
      </c>
      <c r="B17" s="199">
        <v>31.3</v>
      </c>
      <c r="C17" s="11"/>
      <c r="D17" s="139"/>
      <c r="O17" s="139"/>
    </row>
    <row r="18" spans="1:15" x14ac:dyDescent="0.25">
      <c r="A18" s="143" t="s">
        <v>56</v>
      </c>
      <c r="B18" s="197">
        <v>40.555</v>
      </c>
      <c r="C18" s="11"/>
      <c r="D18" s="139"/>
      <c r="O18" s="139"/>
    </row>
    <row r="19" spans="1:15" x14ac:dyDescent="0.25">
      <c r="A19" s="143" t="s">
        <v>51</v>
      </c>
      <c r="B19" s="197">
        <v>52.981999999999999</v>
      </c>
      <c r="C19" s="11"/>
      <c r="D19" s="139"/>
      <c r="O19" s="139"/>
    </row>
    <row r="20" spans="1:15" x14ac:dyDescent="0.25">
      <c r="A20" s="146" t="s">
        <v>324</v>
      </c>
      <c r="D20" s="139"/>
      <c r="O20" s="139"/>
    </row>
    <row r="21" spans="1:15" x14ac:dyDescent="0.25">
      <c r="A21" s="151" t="s">
        <v>49</v>
      </c>
      <c r="D21" s="139"/>
      <c r="O21" s="139"/>
    </row>
    <row r="22" spans="1:15" x14ac:dyDescent="0.25">
      <c r="B22" s="10"/>
      <c r="C22" s="10"/>
      <c r="D22" s="139"/>
      <c r="O22" s="139"/>
    </row>
    <row r="23" spans="1:15" x14ac:dyDescent="0.25">
      <c r="A23" s="10"/>
      <c r="B23" s="13"/>
      <c r="C23" s="13"/>
      <c r="D23" s="139"/>
      <c r="O23" s="139"/>
    </row>
    <row r="24" spans="1:15" x14ac:dyDescent="0.25">
      <c r="A24" s="10"/>
      <c r="B24" s="11"/>
      <c r="C24" s="11"/>
      <c r="D24" s="139"/>
      <c r="O24" s="139"/>
    </row>
    <row r="25" spans="1:15" x14ac:dyDescent="0.25">
      <c r="A25" s="10"/>
      <c r="B25" s="11"/>
      <c r="C25" s="11"/>
      <c r="D25" s="139"/>
      <c r="O25" s="139"/>
    </row>
    <row r="26" spans="1:15" x14ac:dyDescent="0.25">
      <c r="A26" s="10"/>
      <c r="B26" s="10"/>
      <c r="C26" s="10"/>
      <c r="D26" s="139"/>
      <c r="O26" s="139"/>
    </row>
    <row r="27" spans="1:15" x14ac:dyDescent="0.25">
      <c r="D27" s="139"/>
      <c r="O27" s="139"/>
    </row>
    <row r="28" spans="1:15" x14ac:dyDescent="0.25">
      <c r="C28" s="149" t="s">
        <v>59</v>
      </c>
      <c r="D28" s="139"/>
      <c r="O28" s="139"/>
    </row>
    <row r="29" spans="1:15" x14ac:dyDescent="0.25">
      <c r="C29" s="150" t="s">
        <v>326</v>
      </c>
      <c r="D29" s="139"/>
      <c r="O29" s="139"/>
    </row>
    <row r="30" spans="1:15" x14ac:dyDescent="0.25">
      <c r="D30" s="139"/>
      <c r="O30" s="139"/>
    </row>
    <row r="31" spans="1:15" x14ac:dyDescent="0.25">
      <c r="D31" s="139"/>
      <c r="E31" s="139"/>
      <c r="F31" s="139"/>
      <c r="G31" s="139"/>
      <c r="H31" s="139"/>
      <c r="I31" s="139"/>
      <c r="J31" s="139"/>
      <c r="K31" s="139"/>
      <c r="L31" s="139"/>
      <c r="M31" s="139"/>
      <c r="N31" s="139"/>
      <c r="O31" s="139"/>
    </row>
    <row r="52" spans="1:17" x14ac:dyDescent="0.25">
      <c r="A52" s="23"/>
      <c r="B52" s="23"/>
      <c r="C52" s="23"/>
      <c r="D52" s="23"/>
      <c r="E52" s="23"/>
      <c r="F52" s="23"/>
      <c r="G52" s="23"/>
      <c r="H52" s="23"/>
      <c r="I52" s="23"/>
      <c r="J52" s="23"/>
      <c r="K52" s="23"/>
      <c r="L52" s="23"/>
      <c r="M52" s="23"/>
      <c r="N52" s="23"/>
      <c r="O52" s="23"/>
    </row>
    <row r="53" spans="1:17" x14ac:dyDescent="0.25">
      <c r="A53" s="20"/>
      <c r="B53" s="23"/>
      <c r="C53" s="23"/>
      <c r="D53" s="23"/>
      <c r="E53" s="23"/>
      <c r="F53" s="23"/>
      <c r="G53" s="23"/>
      <c r="H53" s="23"/>
      <c r="I53" s="23"/>
      <c r="J53" s="23"/>
      <c r="K53" s="23"/>
      <c r="L53" s="23"/>
      <c r="M53" s="23"/>
      <c r="N53" s="23"/>
      <c r="O53" s="23"/>
      <c r="P53" s="23"/>
      <c r="Q53" s="23"/>
    </row>
    <row r="54" spans="1:17" x14ac:dyDescent="0.25">
      <c r="A54" s="23"/>
      <c r="B54" s="23"/>
      <c r="C54" s="23"/>
      <c r="D54" s="23"/>
      <c r="E54" s="23"/>
      <c r="F54" s="23"/>
      <c r="G54" s="23"/>
      <c r="H54" s="23"/>
      <c r="I54" s="23"/>
      <c r="J54" s="23"/>
      <c r="K54" s="23"/>
      <c r="L54" s="23"/>
      <c r="M54" s="23"/>
      <c r="N54" s="23"/>
      <c r="O54" s="23"/>
      <c r="P54" s="23"/>
      <c r="Q54" s="23"/>
    </row>
    <row r="55" spans="1:17" x14ac:dyDescent="0.25">
      <c r="A55" s="140"/>
      <c r="B55" s="20"/>
      <c r="C55" s="23"/>
      <c r="D55" s="140"/>
      <c r="E55" s="20"/>
      <c r="F55" s="23"/>
      <c r="G55" s="140"/>
      <c r="H55" s="20"/>
      <c r="I55" s="23"/>
      <c r="J55" s="140"/>
      <c r="K55" s="20"/>
      <c r="L55" s="23"/>
      <c r="M55" s="140"/>
      <c r="N55" s="20"/>
      <c r="O55" s="23"/>
      <c r="P55" s="140"/>
      <c r="Q55" s="20"/>
    </row>
    <row r="56" spans="1:17" x14ac:dyDescent="0.25">
      <c r="A56" s="21"/>
      <c r="B56" s="23"/>
      <c r="C56" s="23"/>
      <c r="D56" s="23"/>
      <c r="E56" s="23"/>
      <c r="F56" s="23"/>
      <c r="G56" s="23"/>
      <c r="H56" s="23"/>
      <c r="I56" s="23"/>
      <c r="J56" s="22"/>
      <c r="K56" s="23"/>
      <c r="L56" s="23"/>
      <c r="M56" s="23"/>
      <c r="N56" s="23"/>
      <c r="O56" s="23"/>
      <c r="P56" s="23"/>
      <c r="Q56" s="23"/>
    </row>
    <row r="57" spans="1:17" x14ac:dyDescent="0.25">
      <c r="A57" s="23"/>
      <c r="B57" s="23"/>
      <c r="C57" s="23"/>
      <c r="D57" s="23"/>
      <c r="E57" s="23"/>
      <c r="F57" s="23"/>
      <c r="G57" s="23"/>
      <c r="H57" s="23"/>
      <c r="I57" s="23"/>
      <c r="J57" s="23"/>
      <c r="K57" s="23"/>
      <c r="L57" s="23"/>
      <c r="M57" s="23"/>
      <c r="N57" s="23"/>
      <c r="O57" s="23"/>
      <c r="P57" s="23"/>
      <c r="Q57" s="23"/>
    </row>
    <row r="58" spans="1:17" x14ac:dyDescent="0.25">
      <c r="A58" s="23"/>
      <c r="B58" s="23"/>
      <c r="C58" s="23"/>
      <c r="D58" s="23"/>
      <c r="E58" s="23"/>
      <c r="F58" s="23"/>
      <c r="G58" s="23"/>
      <c r="H58" s="23"/>
      <c r="I58" s="23"/>
      <c r="J58" s="23"/>
      <c r="K58" s="23"/>
      <c r="L58" s="23"/>
      <c r="M58" s="23"/>
      <c r="N58" s="23"/>
      <c r="O58" s="23"/>
      <c r="P58" s="23"/>
      <c r="Q58" s="23"/>
    </row>
    <row r="59" spans="1:17" x14ac:dyDescent="0.25">
      <c r="A59" s="23"/>
      <c r="B59" s="23"/>
      <c r="C59" s="23"/>
      <c r="D59" s="23"/>
      <c r="E59" s="23"/>
      <c r="F59" s="23"/>
      <c r="G59" s="23"/>
      <c r="H59" s="23"/>
      <c r="I59" s="23"/>
      <c r="J59" s="23"/>
      <c r="K59" s="23"/>
      <c r="L59" s="23"/>
      <c r="M59" s="23"/>
      <c r="N59" s="23"/>
      <c r="O59" s="23"/>
      <c r="P59" s="23"/>
      <c r="Q59" s="23"/>
    </row>
    <row r="60" spans="1:17" x14ac:dyDescent="0.25">
      <c r="A60" s="23"/>
      <c r="B60" s="23"/>
      <c r="C60" s="23"/>
      <c r="D60" s="23"/>
      <c r="E60" s="23"/>
      <c r="F60" s="23"/>
      <c r="G60" s="23"/>
      <c r="H60" s="23"/>
      <c r="I60" s="23"/>
      <c r="J60" s="23"/>
      <c r="K60" s="23"/>
      <c r="L60" s="23"/>
      <c r="M60" s="23"/>
      <c r="N60" s="23"/>
      <c r="O60" s="23"/>
      <c r="P60" s="23"/>
      <c r="Q60" s="23"/>
    </row>
    <row r="61" spans="1:17" x14ac:dyDescent="0.25">
      <c r="A61" s="23"/>
      <c r="B61" s="23"/>
      <c r="C61" s="23"/>
      <c r="D61" s="23"/>
      <c r="E61" s="23"/>
      <c r="F61" s="23"/>
      <c r="G61" s="23"/>
      <c r="H61" s="23"/>
      <c r="I61" s="23"/>
      <c r="J61" s="23"/>
      <c r="K61" s="23"/>
      <c r="L61" s="23"/>
      <c r="M61" s="23"/>
      <c r="N61" s="23"/>
      <c r="O61" s="23"/>
      <c r="P61" s="23"/>
      <c r="Q61" s="23"/>
    </row>
    <row r="62" spans="1:17" x14ac:dyDescent="0.25">
      <c r="A62" s="23"/>
      <c r="B62" s="23"/>
      <c r="C62" s="23"/>
      <c r="D62" s="23"/>
      <c r="E62" s="23"/>
      <c r="F62" s="23"/>
      <c r="G62" s="23"/>
      <c r="H62" s="23"/>
      <c r="I62" s="23"/>
      <c r="J62" s="23"/>
      <c r="K62" s="23"/>
      <c r="L62" s="23"/>
      <c r="M62" s="23"/>
      <c r="N62" s="23"/>
      <c r="O62" s="23"/>
      <c r="P62" s="23"/>
      <c r="Q62" s="23"/>
    </row>
    <row r="63" spans="1:17" x14ac:dyDescent="0.25">
      <c r="A63" s="23"/>
      <c r="B63" s="23"/>
      <c r="C63" s="23"/>
      <c r="D63" s="23"/>
      <c r="E63" s="23"/>
      <c r="F63" s="23"/>
      <c r="G63" s="23"/>
      <c r="H63" s="23"/>
      <c r="I63" s="23"/>
      <c r="J63" s="23"/>
      <c r="K63" s="23"/>
      <c r="L63" s="23"/>
      <c r="M63" s="23"/>
      <c r="N63" s="23"/>
      <c r="O63" s="23"/>
      <c r="P63" s="23"/>
      <c r="Q63" s="23"/>
    </row>
    <row r="64" spans="1:17" x14ac:dyDescent="0.25">
      <c r="A64" s="23"/>
      <c r="B64" s="23"/>
      <c r="C64" s="23"/>
      <c r="D64" s="23"/>
      <c r="E64" s="23"/>
      <c r="F64" s="23"/>
      <c r="G64" s="23"/>
      <c r="H64" s="23"/>
      <c r="I64" s="23"/>
      <c r="J64" s="23"/>
      <c r="K64" s="23"/>
      <c r="L64" s="23"/>
      <c r="M64" s="23"/>
      <c r="N64" s="23"/>
      <c r="O64" s="23"/>
      <c r="P64" s="23"/>
      <c r="Q64" s="23"/>
    </row>
    <row r="65" spans="1:17" x14ac:dyDescent="0.25">
      <c r="A65" s="23"/>
      <c r="B65" s="23"/>
      <c r="C65" s="23"/>
      <c r="D65" s="23"/>
      <c r="E65" s="23"/>
      <c r="F65" s="23"/>
      <c r="G65" s="23"/>
      <c r="H65" s="23"/>
      <c r="I65" s="23"/>
      <c r="J65" s="23"/>
      <c r="K65" s="23"/>
      <c r="L65" s="23"/>
      <c r="M65" s="23"/>
      <c r="N65" s="23"/>
      <c r="O65" s="23"/>
      <c r="P65" s="23"/>
      <c r="Q65" s="23"/>
    </row>
    <row r="66" spans="1:17" x14ac:dyDescent="0.25">
      <c r="A66" s="23"/>
      <c r="B66" s="23"/>
      <c r="C66" s="23"/>
      <c r="D66" s="23"/>
      <c r="E66" s="23"/>
      <c r="F66" s="23"/>
      <c r="G66" s="23"/>
      <c r="H66" s="23"/>
      <c r="I66" s="23"/>
      <c r="J66" s="23"/>
      <c r="K66" s="23"/>
      <c r="L66" s="23"/>
      <c r="M66" s="23"/>
      <c r="N66" s="23"/>
      <c r="O66" s="23"/>
      <c r="P66" s="23"/>
      <c r="Q66" s="23"/>
    </row>
    <row r="67" spans="1:17" x14ac:dyDescent="0.25">
      <c r="A67" s="20"/>
      <c r="B67" s="20"/>
      <c r="C67" s="23"/>
      <c r="D67" s="23"/>
      <c r="E67" s="23"/>
      <c r="F67" s="23"/>
      <c r="G67" s="23"/>
      <c r="H67" s="23"/>
      <c r="I67" s="23"/>
      <c r="J67" s="20"/>
      <c r="K67" s="20"/>
      <c r="L67" s="23"/>
      <c r="M67" s="23"/>
      <c r="N67" s="23"/>
      <c r="O67" s="23"/>
      <c r="P67" s="23"/>
      <c r="Q67" s="23"/>
    </row>
    <row r="68" spans="1:17" x14ac:dyDescent="0.25">
      <c r="A68" s="23"/>
      <c r="B68" s="23"/>
      <c r="C68" s="23"/>
      <c r="D68" s="23"/>
      <c r="E68" s="23"/>
      <c r="F68" s="23"/>
      <c r="G68" s="23"/>
      <c r="H68" s="23"/>
      <c r="I68" s="23"/>
      <c r="J68" s="23"/>
      <c r="K68" s="23"/>
      <c r="L68" s="23"/>
      <c r="M68" s="23"/>
      <c r="N68" s="23"/>
      <c r="O68" s="23"/>
      <c r="P68" s="23"/>
      <c r="Q68" s="23"/>
    </row>
    <row r="69" spans="1:17" x14ac:dyDescent="0.25">
      <c r="A69" s="23"/>
      <c r="B69" s="23"/>
      <c r="C69" s="23"/>
      <c r="D69" s="20"/>
      <c r="E69" s="20"/>
      <c r="F69" s="23"/>
      <c r="G69" s="23"/>
      <c r="H69" s="23"/>
      <c r="I69" s="23"/>
      <c r="J69" s="23"/>
      <c r="K69" s="23"/>
      <c r="L69" s="23"/>
      <c r="M69" s="20"/>
      <c r="N69" s="20"/>
      <c r="O69" s="23"/>
      <c r="P69" s="23"/>
      <c r="Q69" s="23"/>
    </row>
    <row r="70" spans="1:17" x14ac:dyDescent="0.25">
      <c r="A70" s="23"/>
      <c r="B70" s="23"/>
      <c r="C70" s="23"/>
      <c r="D70" s="20"/>
      <c r="E70" s="20"/>
      <c r="F70" s="23"/>
      <c r="G70" s="23"/>
      <c r="H70" s="23"/>
      <c r="I70" s="23"/>
      <c r="J70" s="23"/>
      <c r="K70" s="23"/>
      <c r="L70" s="23"/>
      <c r="M70" s="20"/>
      <c r="N70" s="20"/>
      <c r="O70" s="23"/>
      <c r="P70" s="23"/>
      <c r="Q70" s="23"/>
    </row>
    <row r="71" spans="1:17" x14ac:dyDescent="0.25">
      <c r="A71" s="23"/>
      <c r="B71" s="23"/>
      <c r="C71" s="23"/>
      <c r="D71" s="23"/>
      <c r="E71" s="23"/>
      <c r="F71" s="23"/>
      <c r="G71" s="23"/>
      <c r="H71" s="20"/>
      <c r="I71" s="23"/>
      <c r="J71" s="23"/>
      <c r="K71" s="23"/>
      <c r="L71" s="23"/>
      <c r="M71" s="23"/>
      <c r="N71" s="23"/>
      <c r="O71" s="23"/>
      <c r="P71" s="23"/>
      <c r="Q71" s="20"/>
    </row>
    <row r="72" spans="1:17" x14ac:dyDescent="0.25">
      <c r="A72" s="23"/>
      <c r="B72" s="23"/>
      <c r="C72" s="23"/>
      <c r="D72" s="23"/>
      <c r="E72" s="23"/>
      <c r="F72" s="23"/>
      <c r="G72" s="23"/>
      <c r="H72" s="23"/>
      <c r="I72" s="23"/>
      <c r="J72" s="23"/>
      <c r="K72" s="23"/>
      <c r="L72" s="23"/>
      <c r="M72" s="23"/>
      <c r="N72" s="23"/>
      <c r="O72" s="23"/>
    </row>
    <row r="73" spans="1:17" x14ac:dyDescent="0.25">
      <c r="A73" s="141"/>
      <c r="B73" s="23"/>
      <c r="C73" s="23"/>
      <c r="D73" s="23"/>
      <c r="E73" s="23"/>
      <c r="F73" s="23"/>
      <c r="G73" s="23"/>
      <c r="H73" s="23"/>
      <c r="I73" s="23"/>
      <c r="J73" s="23"/>
      <c r="K73" s="23"/>
      <c r="L73" s="23"/>
      <c r="M73" s="23"/>
      <c r="N73" s="23"/>
      <c r="O73" s="23"/>
    </row>
    <row r="74" spans="1:17" x14ac:dyDescent="0.25">
      <c r="A74" s="23"/>
      <c r="B74" s="23"/>
      <c r="C74" s="23"/>
      <c r="D74" s="23"/>
      <c r="E74" s="23"/>
      <c r="F74" s="23"/>
      <c r="G74" s="23"/>
      <c r="H74" s="23"/>
      <c r="I74" s="23"/>
      <c r="J74" s="23"/>
      <c r="K74" s="23"/>
      <c r="L74" s="23"/>
      <c r="M74" s="23"/>
      <c r="N74" s="23"/>
      <c r="O74" s="23"/>
    </row>
    <row r="75" spans="1:17" x14ac:dyDescent="0.25">
      <c r="A75" s="23"/>
      <c r="B75" s="23"/>
      <c r="C75" s="23"/>
      <c r="D75" s="23"/>
      <c r="E75" s="23"/>
      <c r="F75" s="23"/>
      <c r="G75" s="23"/>
      <c r="H75" s="23"/>
      <c r="I75" s="23"/>
      <c r="J75" s="23"/>
      <c r="K75" s="23"/>
      <c r="L75" s="23"/>
      <c r="M75" s="23"/>
      <c r="N75" s="23"/>
      <c r="O75" s="23"/>
    </row>
    <row r="76" spans="1:17" x14ac:dyDescent="0.25">
      <c r="A76" s="23"/>
      <c r="B76" s="23"/>
      <c r="C76" s="23"/>
      <c r="D76" s="23"/>
      <c r="E76" s="23"/>
      <c r="F76" s="23"/>
      <c r="G76" s="23"/>
      <c r="H76" s="23"/>
      <c r="I76" s="23"/>
      <c r="J76" s="23"/>
      <c r="K76" s="23"/>
      <c r="L76" s="23"/>
      <c r="M76" s="23"/>
      <c r="N76" s="23"/>
      <c r="O76" s="23"/>
    </row>
    <row r="77" spans="1:17" x14ac:dyDescent="0.25">
      <c r="A77" s="23"/>
      <c r="B77" s="23"/>
      <c r="C77" s="23"/>
      <c r="D77" s="23"/>
      <c r="E77" s="23"/>
      <c r="F77" s="23"/>
      <c r="G77" s="23"/>
      <c r="H77" s="23"/>
      <c r="I77" s="23"/>
      <c r="J77" s="23"/>
      <c r="K77" s="23"/>
      <c r="L77" s="23"/>
      <c r="M77" s="23"/>
      <c r="N77" s="23"/>
      <c r="O77" s="23"/>
    </row>
    <row r="78" spans="1:17" x14ac:dyDescent="0.25">
      <c r="A78" s="23"/>
      <c r="B78" s="23"/>
      <c r="C78" s="23"/>
      <c r="D78" s="23"/>
      <c r="E78" s="23"/>
      <c r="F78" s="23"/>
      <c r="G78" s="23"/>
      <c r="H78" s="23"/>
      <c r="I78" s="23"/>
      <c r="J78" s="23"/>
      <c r="K78" s="23"/>
      <c r="L78" s="23"/>
      <c r="M78" s="23"/>
      <c r="N78" s="23"/>
      <c r="O78" s="23"/>
    </row>
    <row r="79" spans="1:17" x14ac:dyDescent="0.25">
      <c r="A79" s="23"/>
      <c r="B79" s="23"/>
      <c r="C79" s="23"/>
      <c r="D79" s="23"/>
      <c r="E79" s="23"/>
      <c r="F79" s="23"/>
      <c r="G79" s="23"/>
      <c r="H79" s="23"/>
      <c r="I79" s="23"/>
      <c r="J79" s="23"/>
      <c r="K79" s="23"/>
      <c r="L79" s="23"/>
      <c r="M79" s="23"/>
      <c r="N79" s="23"/>
      <c r="O79" s="23"/>
    </row>
    <row r="80" spans="1:17" x14ac:dyDescent="0.25">
      <c r="A80" s="23"/>
      <c r="B80" s="23"/>
      <c r="C80" s="23"/>
      <c r="D80" s="23"/>
      <c r="E80" s="23"/>
      <c r="F80" s="23"/>
      <c r="G80" s="23"/>
      <c r="H80" s="23"/>
      <c r="I80" s="23"/>
      <c r="J80" s="23"/>
      <c r="K80" s="23"/>
      <c r="L80" s="23"/>
      <c r="M80" s="23"/>
      <c r="N80" s="23"/>
      <c r="O80" s="23"/>
    </row>
    <row r="81" spans="1:15" x14ac:dyDescent="0.25">
      <c r="A81" s="23"/>
      <c r="B81" s="23"/>
      <c r="C81" s="23"/>
      <c r="D81" s="23"/>
      <c r="E81" s="23"/>
      <c r="F81" s="23"/>
      <c r="G81" s="23"/>
      <c r="H81" s="23"/>
      <c r="I81" s="23"/>
      <c r="J81" s="23"/>
      <c r="K81" s="23"/>
      <c r="L81" s="23"/>
      <c r="M81" s="23"/>
      <c r="N81" s="23"/>
      <c r="O81" s="23"/>
    </row>
    <row r="82" spans="1:15" x14ac:dyDescent="0.25">
      <c r="A82" s="23"/>
      <c r="B82" s="23"/>
      <c r="C82" s="23"/>
      <c r="D82" s="23"/>
      <c r="E82" s="23"/>
      <c r="F82" s="23"/>
      <c r="G82" s="23"/>
      <c r="H82" s="23"/>
      <c r="I82" s="23"/>
      <c r="J82" s="23"/>
      <c r="K82" s="23"/>
      <c r="L82" s="23"/>
      <c r="M82" s="23"/>
      <c r="N82" s="23"/>
      <c r="O82" s="23"/>
    </row>
    <row r="83" spans="1:15" x14ac:dyDescent="0.25">
      <c r="A83" s="23"/>
      <c r="B83" s="23"/>
      <c r="C83" s="23"/>
      <c r="D83" s="23"/>
      <c r="E83" s="23"/>
      <c r="F83" s="23"/>
      <c r="G83" s="23"/>
      <c r="H83" s="23"/>
      <c r="I83" s="23"/>
      <c r="J83" s="23"/>
      <c r="K83" s="23"/>
      <c r="L83" s="23"/>
      <c r="M83" s="23"/>
      <c r="N83" s="23"/>
      <c r="O83" s="23"/>
    </row>
    <row r="84" spans="1:15" x14ac:dyDescent="0.25">
      <c r="A84" s="23"/>
      <c r="B84" s="23"/>
      <c r="C84" s="23"/>
      <c r="D84" s="23"/>
      <c r="E84" s="23"/>
      <c r="F84" s="23"/>
      <c r="G84" s="23"/>
      <c r="H84" s="23"/>
      <c r="I84" s="23"/>
      <c r="J84" s="23"/>
      <c r="K84" s="23"/>
      <c r="L84" s="23"/>
      <c r="M84" s="23"/>
      <c r="N84" s="23"/>
      <c r="O84" s="23"/>
    </row>
    <row r="85" spans="1:15" x14ac:dyDescent="0.25">
      <c r="A85" s="23"/>
      <c r="B85" s="23"/>
      <c r="C85" s="23"/>
      <c r="D85" s="23"/>
      <c r="E85" s="23"/>
      <c r="F85" s="23"/>
      <c r="G85" s="23"/>
      <c r="H85" s="23"/>
      <c r="I85" s="23"/>
      <c r="J85" s="23"/>
      <c r="K85" s="23"/>
      <c r="L85" s="23"/>
      <c r="M85" s="23"/>
      <c r="N85" s="23"/>
      <c r="O85" s="23"/>
    </row>
    <row r="86" spans="1:15" x14ac:dyDescent="0.25">
      <c r="A86" s="23"/>
      <c r="B86" s="23"/>
      <c r="C86" s="23"/>
      <c r="D86" s="23"/>
      <c r="E86" s="23"/>
      <c r="F86" s="23"/>
      <c r="G86" s="23"/>
      <c r="H86" s="23"/>
      <c r="I86" s="23"/>
      <c r="J86" s="23"/>
      <c r="K86" s="23"/>
      <c r="L86" s="23"/>
      <c r="M86" s="23"/>
      <c r="N86" s="23"/>
      <c r="O86" s="23"/>
    </row>
    <row r="87" spans="1:15" x14ac:dyDescent="0.25">
      <c r="A87" s="23"/>
      <c r="B87" s="23"/>
      <c r="C87" s="23"/>
      <c r="D87" s="23"/>
      <c r="E87" s="23"/>
      <c r="F87" s="23"/>
      <c r="G87" s="23"/>
      <c r="H87" s="23"/>
      <c r="I87" s="23"/>
      <c r="J87" s="23"/>
      <c r="K87" s="23"/>
      <c r="L87" s="23"/>
      <c r="M87" s="23"/>
      <c r="N87" s="23"/>
      <c r="O87" s="23"/>
    </row>
    <row r="88" spans="1:15" x14ac:dyDescent="0.25">
      <c r="A88" s="23"/>
      <c r="B88" s="23"/>
      <c r="C88" s="23"/>
      <c r="D88" s="23"/>
      <c r="E88" s="23"/>
      <c r="F88" s="23"/>
      <c r="G88" s="23"/>
      <c r="H88" s="23"/>
      <c r="I88" s="23"/>
      <c r="J88" s="23"/>
      <c r="K88" s="23"/>
      <c r="L88" s="23"/>
      <c r="M88" s="23"/>
      <c r="N88" s="23"/>
      <c r="O88" s="23"/>
    </row>
    <row r="89" spans="1:15" x14ac:dyDescent="0.25">
      <c r="A89" s="23"/>
      <c r="B89" s="23"/>
      <c r="C89" s="23"/>
      <c r="D89" s="23"/>
      <c r="E89" s="23"/>
      <c r="F89" s="23"/>
      <c r="G89" s="23"/>
      <c r="H89" s="23"/>
      <c r="I89" s="23"/>
      <c r="J89" s="23"/>
      <c r="K89" s="23"/>
      <c r="L89" s="23"/>
      <c r="M89" s="23"/>
      <c r="N89" s="23"/>
      <c r="O89" s="23"/>
    </row>
    <row r="90" spans="1:15" x14ac:dyDescent="0.25">
      <c r="A90" s="23"/>
      <c r="B90" s="23"/>
      <c r="C90" s="23"/>
      <c r="D90" s="23"/>
      <c r="E90" s="23"/>
      <c r="F90" s="23"/>
      <c r="G90" s="23"/>
      <c r="H90" s="23"/>
      <c r="I90" s="23"/>
      <c r="J90" s="23"/>
      <c r="K90" s="23"/>
      <c r="L90" s="23"/>
      <c r="M90" s="23"/>
      <c r="N90" s="23"/>
      <c r="O90" s="23"/>
    </row>
    <row r="91" spans="1:15" x14ac:dyDescent="0.25">
      <c r="A91" s="23"/>
      <c r="B91" s="23"/>
      <c r="C91" s="23"/>
      <c r="D91" s="23"/>
      <c r="E91" s="23"/>
      <c r="F91" s="23"/>
      <c r="G91" s="23"/>
      <c r="H91" s="23"/>
      <c r="I91" s="23"/>
      <c r="J91" s="23"/>
      <c r="K91" s="23"/>
      <c r="L91" s="23"/>
      <c r="M91" s="23"/>
      <c r="N91" s="23"/>
      <c r="O91" s="23"/>
    </row>
    <row r="92" spans="1:15" x14ac:dyDescent="0.25">
      <c r="A92" s="23"/>
      <c r="B92" s="23"/>
      <c r="C92" s="23"/>
      <c r="D92" s="23"/>
      <c r="E92" s="23"/>
      <c r="F92" s="23"/>
      <c r="G92" s="23"/>
      <c r="H92" s="23"/>
      <c r="I92" s="23"/>
      <c r="J92" s="23"/>
      <c r="K92" s="23"/>
      <c r="L92" s="23"/>
      <c r="M92" s="23"/>
      <c r="N92" s="23"/>
      <c r="O92" s="23"/>
    </row>
    <row r="93" spans="1:15" x14ac:dyDescent="0.25">
      <c r="A93" s="23"/>
      <c r="B93" s="23"/>
      <c r="C93" s="23"/>
      <c r="D93" s="23"/>
      <c r="E93" s="23"/>
      <c r="F93" s="23"/>
      <c r="G93" s="23"/>
      <c r="H93" s="23"/>
      <c r="I93" s="23"/>
      <c r="J93" s="23"/>
      <c r="K93" s="23"/>
      <c r="L93" s="23"/>
      <c r="M93" s="23"/>
      <c r="N93" s="23"/>
      <c r="O93" s="23"/>
    </row>
    <row r="94" spans="1:15" x14ac:dyDescent="0.25">
      <c r="A94" s="23"/>
      <c r="B94" s="23"/>
      <c r="C94" s="23"/>
      <c r="D94" s="23"/>
      <c r="E94" s="23"/>
      <c r="F94" s="23"/>
      <c r="G94" s="23"/>
      <c r="H94" s="23"/>
      <c r="I94" s="23"/>
      <c r="J94" s="23"/>
      <c r="K94" s="23"/>
      <c r="L94" s="23"/>
      <c r="M94" s="23"/>
      <c r="N94" s="23"/>
      <c r="O94" s="23"/>
    </row>
    <row r="95" spans="1:15" x14ac:dyDescent="0.25">
      <c r="A95" s="23"/>
      <c r="B95" s="23"/>
      <c r="C95" s="23"/>
      <c r="D95" s="23"/>
      <c r="E95" s="23"/>
      <c r="F95" s="23"/>
      <c r="G95" s="23"/>
      <c r="H95" s="23"/>
      <c r="I95" s="23"/>
      <c r="J95" s="23"/>
      <c r="K95" s="23"/>
      <c r="L95" s="23"/>
      <c r="M95" s="23"/>
      <c r="N95" s="23"/>
      <c r="O95" s="23"/>
    </row>
    <row r="96" spans="1:15" x14ac:dyDescent="0.25">
      <c r="A96" s="23"/>
      <c r="B96" s="23"/>
      <c r="C96" s="23"/>
      <c r="D96" s="23"/>
      <c r="E96" s="23"/>
      <c r="F96" s="23"/>
      <c r="G96" s="23"/>
      <c r="H96" s="23"/>
      <c r="I96" s="23"/>
      <c r="J96" s="23"/>
      <c r="K96" s="23"/>
      <c r="L96" s="23"/>
      <c r="M96" s="23"/>
      <c r="N96" s="23"/>
      <c r="O96" s="23"/>
    </row>
    <row r="97" spans="1:15" x14ac:dyDescent="0.25">
      <c r="A97" s="23"/>
      <c r="B97" s="23"/>
      <c r="C97" s="23"/>
      <c r="D97" s="23"/>
      <c r="E97" s="23"/>
      <c r="F97" s="23"/>
      <c r="G97" s="23"/>
      <c r="H97" s="23"/>
      <c r="I97" s="23"/>
      <c r="J97" s="23"/>
      <c r="K97" s="23"/>
      <c r="L97" s="23"/>
      <c r="M97" s="23"/>
      <c r="N97" s="23"/>
      <c r="O97" s="23"/>
    </row>
    <row r="98" spans="1:15" x14ac:dyDescent="0.25">
      <c r="A98" s="23"/>
      <c r="B98" s="23"/>
      <c r="C98" s="23"/>
      <c r="D98" s="23"/>
      <c r="E98" s="23"/>
      <c r="F98" s="23"/>
      <c r="G98" s="23"/>
      <c r="H98" s="23"/>
      <c r="I98" s="23"/>
      <c r="J98" s="23"/>
      <c r="K98" s="23"/>
      <c r="L98" s="23"/>
      <c r="M98" s="23"/>
      <c r="N98" s="23"/>
      <c r="O98" s="23"/>
    </row>
    <row r="99" spans="1:15" x14ac:dyDescent="0.25">
      <c r="A99" s="23"/>
      <c r="B99" s="23"/>
      <c r="C99" s="23"/>
      <c r="D99" s="23"/>
      <c r="E99" s="23"/>
      <c r="F99" s="23"/>
      <c r="G99" s="23"/>
      <c r="H99" s="23"/>
      <c r="I99" s="23"/>
      <c r="J99" s="23"/>
      <c r="K99" s="23"/>
      <c r="L99" s="23"/>
      <c r="M99" s="23"/>
      <c r="N99" s="23"/>
      <c r="O99" s="23"/>
    </row>
    <row r="100" spans="1:15" x14ac:dyDescent="0.25">
      <c r="A100" s="23"/>
      <c r="B100" s="23"/>
      <c r="C100" s="23"/>
      <c r="D100" s="23"/>
      <c r="E100" s="23"/>
      <c r="F100" s="23"/>
      <c r="G100" s="23"/>
      <c r="H100" s="23"/>
      <c r="I100" s="23"/>
      <c r="J100" s="23"/>
      <c r="K100" s="23"/>
      <c r="L100" s="23"/>
      <c r="M100" s="23"/>
      <c r="N100" s="23"/>
      <c r="O100" s="23"/>
    </row>
    <row r="101" spans="1:15" x14ac:dyDescent="0.25">
      <c r="A101" s="23"/>
      <c r="B101" s="23"/>
      <c r="C101" s="23"/>
      <c r="D101" s="23"/>
      <c r="E101" s="23"/>
      <c r="F101" s="23"/>
      <c r="G101" s="23"/>
      <c r="H101" s="23"/>
      <c r="I101" s="23"/>
      <c r="J101" s="23"/>
      <c r="K101" s="23"/>
      <c r="L101" s="23"/>
      <c r="M101" s="23"/>
      <c r="N101" s="23"/>
      <c r="O101" s="23"/>
    </row>
    <row r="102" spans="1:15" x14ac:dyDescent="0.25">
      <c r="A102" s="23"/>
      <c r="B102" s="23"/>
      <c r="C102" s="23"/>
      <c r="D102" s="23"/>
      <c r="E102" s="23"/>
      <c r="F102" s="23"/>
      <c r="G102" s="23"/>
      <c r="H102" s="23"/>
      <c r="I102" s="23"/>
      <c r="J102" s="23"/>
      <c r="K102" s="23"/>
      <c r="L102" s="23"/>
      <c r="M102" s="23"/>
      <c r="N102" s="23"/>
      <c r="O102" s="23"/>
    </row>
    <row r="103" spans="1:15" x14ac:dyDescent="0.25">
      <c r="A103" s="23"/>
      <c r="B103" s="23"/>
      <c r="C103" s="23"/>
      <c r="D103" s="23"/>
      <c r="E103" s="23"/>
      <c r="F103" s="23"/>
      <c r="G103" s="23"/>
      <c r="H103" s="23"/>
      <c r="I103" s="23"/>
      <c r="J103" s="23"/>
      <c r="K103" s="23"/>
      <c r="L103" s="23"/>
      <c r="M103" s="23"/>
      <c r="N103" s="23"/>
      <c r="O103" s="23"/>
    </row>
    <row r="104" spans="1:15" x14ac:dyDescent="0.25">
      <c r="A104" s="23"/>
      <c r="B104" s="23"/>
      <c r="C104" s="23"/>
      <c r="D104" s="23"/>
      <c r="E104" s="23"/>
      <c r="F104" s="23"/>
      <c r="G104" s="23"/>
      <c r="H104" s="23"/>
      <c r="I104" s="23"/>
      <c r="J104" s="23"/>
      <c r="K104" s="23"/>
      <c r="L104" s="23"/>
      <c r="M104" s="23"/>
      <c r="N104" s="23"/>
      <c r="O104" s="23"/>
    </row>
  </sheetData>
  <mergeCells count="1">
    <mergeCell ref="A1:O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Sommaire</vt:lpstr>
      <vt:lpstr>Donnees_Eurostat_MFA</vt:lpstr>
      <vt:lpstr>Donnees_Eurostat_MF</vt:lpstr>
      <vt:lpstr>Donnees_INSEE</vt:lpstr>
      <vt:lpstr>Donnees_OECD</vt:lpstr>
      <vt:lpstr>Graph 1</vt:lpstr>
      <vt:lpstr>Graph 2</vt:lpstr>
      <vt:lpstr>Graph 3</vt:lpstr>
      <vt:lpstr>Graph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Fiche 18 : consommation de matières - Bilan environnemental</dc:title>
  <dc:subject>Consommation de matières et empreinte matières - Synthèse des connaissances en 2023</dc:subject>
  <dc:creator>SDES</dc:creator>
  <cp:keywords>économie circulaire, ressource naturelle, empreinte, consommation</cp:keywords>
  <cp:lastModifiedBy>DUMAS Morgane</cp:lastModifiedBy>
  <dcterms:created xsi:type="dcterms:W3CDTF">2020-07-16T07:40:26Z</dcterms:created>
  <dcterms:modified xsi:type="dcterms:W3CDTF">2024-02-26T14:11:15Z</dcterms:modified>
</cp:coreProperties>
</file>