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N:\WEB sdes\Articles à créer\Bilan environnemental 2023 articles\morgane_Fiche 10_Risques naturels\"/>
    </mc:Choice>
  </mc:AlternateContent>
  <xr:revisionPtr revIDLastSave="0" documentId="13_ncr:1_{4356A4F0-E6C8-4F8B-9729-A18702E028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aph 1" sheetId="2" r:id="rId1"/>
    <sheet name="Graph 2" sheetId="3" r:id="rId2"/>
    <sheet name="Graph 3" sheetId="6" r:id="rId3"/>
    <sheet name="Graph 4" sheetId="4" r:id="rId4"/>
    <sheet name="Graph 5" sheetId="7" r:id="rId5"/>
  </sheets>
  <externalReferences>
    <externalReference r:id="rId6"/>
  </externalReferences>
  <definedNames>
    <definedName name="_xlnm._FilterDatabase" localSheetId="2" hidden="1">'Graph 3'!$A$3:$D$9</definedName>
    <definedName name="catnat_total_">#REF!</definedName>
    <definedName name="Mvt_principale">#REF!</definedName>
    <definedName name="T_MVT_F">[1]Table_MVT!#REF!</definedName>
    <definedName name="T_MVT_France_Pu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4" l="1"/>
  <c r="E45" i="4"/>
  <c r="D45" i="4"/>
  <c r="C45" i="4"/>
  <c r="B31" i="7" l="1"/>
  <c r="F31" i="7"/>
  <c r="C31" i="7"/>
  <c r="E31" i="7"/>
  <c r="G31" i="7"/>
  <c r="H31" i="7"/>
  <c r="I31" i="7"/>
  <c r="D31" i="7"/>
  <c r="D46" i="4" l="1"/>
  <c r="E46" i="4" l="1"/>
  <c r="C46" i="4"/>
  <c r="C6" i="3"/>
  <c r="C7" i="3"/>
  <c r="C8" i="3"/>
  <c r="C9" i="3"/>
  <c r="C10" i="3"/>
  <c r="C11" i="3"/>
  <c r="E56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5" i="2"/>
  <c r="B77" i="2" l="1"/>
  <c r="C45" i="2" l="1"/>
  <c r="D45" i="2" l="1"/>
  <c r="E5" i="2" s="1"/>
  <c r="C77" i="2"/>
  <c r="D77" i="2" s="1"/>
</calcChain>
</file>

<file path=xl/sharedStrings.xml><?xml version="1.0" encoding="utf-8"?>
<sst xmlns="http://schemas.openxmlformats.org/spreadsheetml/2006/main" count="112" uniqueCount="102">
  <si>
    <t>Métropole</t>
  </si>
  <si>
    <t>Inondations</t>
  </si>
  <si>
    <t>En nombre d’évènements</t>
  </si>
  <si>
    <t>Année</t>
  </si>
  <si>
    <t>Total</t>
  </si>
  <si>
    <t>Note : évènements ayant fait plus de 10 morts ou plus de 30 M€ courants de dommages matériels.</t>
  </si>
  <si>
    <t>Champ : France.</t>
  </si>
  <si>
    <r>
      <rPr>
        <b/>
        <i/>
        <sz val="10"/>
        <rFont val="Marianne"/>
        <family val="3"/>
      </rPr>
      <t>Source</t>
    </r>
    <r>
      <rPr>
        <i/>
        <sz val="10"/>
        <rFont val="Marianne"/>
        <family val="3"/>
      </rPr>
      <t xml:space="preserve"> : MTECT 2022.</t>
    </r>
  </si>
  <si>
    <t>Ensemble</t>
  </si>
  <si>
    <t>Moyenne</t>
  </si>
  <si>
    <t>Coulée</t>
  </si>
  <si>
    <t>Glissement</t>
  </si>
  <si>
    <t>Effondrement</t>
  </si>
  <si>
    <t>En %</t>
  </si>
  <si>
    <t xml:space="preserve">En nombre </t>
  </si>
  <si>
    <t>Type</t>
  </si>
  <si>
    <t>Mouvements de terrain</t>
  </si>
  <si>
    <t>Nombre de mouvements de terrain recensés entre 1900 et 2022</t>
  </si>
  <si>
    <t>Champ : France métropolitaine, mouvements de terrain hors retrait-gonflement des argiles.</t>
  </si>
  <si>
    <r>
      <t>Source :</t>
    </r>
    <r>
      <rPr>
        <i/>
        <sz val="10"/>
        <color theme="1"/>
        <rFont val="Marianne"/>
        <family val="3"/>
      </rPr>
      <t xml:space="preserve"> BRGM, BDMVT, 2022</t>
    </r>
    <r>
      <rPr>
        <sz val="10"/>
        <color theme="1"/>
        <rFont val="Marianne"/>
        <family val="3"/>
      </rPr>
      <t xml:space="preserve">. </t>
    </r>
    <r>
      <rPr>
        <i/>
        <sz val="10"/>
        <color theme="1"/>
        <rFont val="Marianne"/>
        <family val="3"/>
      </rPr>
      <t>Traitements : SDES, 2022.</t>
    </r>
  </si>
  <si>
    <t>Incertitude</t>
  </si>
  <si>
    <t>Exercice</t>
  </si>
  <si>
    <t>Sécheresse</t>
  </si>
  <si>
    <t>Autres</t>
  </si>
  <si>
    <t>Total non-auto</t>
  </si>
  <si>
    <t>1982/83</t>
  </si>
  <si>
    <t>TOTAL</t>
  </si>
  <si>
    <t>Feux de forêt</t>
  </si>
  <si>
    <t>Conscience d'être exposé à un risque important</t>
  </si>
  <si>
    <t>Conscience d'être exposé à un risque peu ou pas important</t>
  </si>
  <si>
    <t>Pas conscience d'être exposé à un risque</t>
  </si>
  <si>
    <t>Risques d'inondation / submersion (Métropole)</t>
  </si>
  <si>
    <t>Risques d'inondation / submersion (DOM)</t>
  </si>
  <si>
    <t>Risques sismiques moyens (Métropole)</t>
  </si>
  <si>
    <t>Risques sismiques forts (DOM)</t>
  </si>
  <si>
    <t>Risques volcaniques (DOM)</t>
  </si>
  <si>
    <t>Risques cycloniques (DOM)</t>
  </si>
  <si>
    <t>Note de lecture : dans les communes ultramarines exposées à un fort risque sismique, 70 % des enquêtés jugent ces risques importants et 14 % ne s’y sentent pas exposés.</t>
  </si>
  <si>
    <t>Source : SDES, enquête sur le sentiment d’exposition aux risques, 2022</t>
  </si>
  <si>
    <t>France</t>
  </si>
  <si>
    <t>Portugal</t>
  </si>
  <si>
    <t>Luxembourg</t>
  </si>
  <si>
    <t>Pays</t>
  </si>
  <si>
    <t>Slovaquie</t>
  </si>
  <si>
    <t>Roumanie</t>
  </si>
  <si>
    <t>Hongrie</t>
  </si>
  <si>
    <t>Bulgarie</t>
  </si>
  <si>
    <t>Croatie</t>
  </si>
  <si>
    <t>Espagne</t>
  </si>
  <si>
    <t>Autriche</t>
  </si>
  <si>
    <t>Finlande</t>
  </si>
  <si>
    <t>Belgique</t>
  </si>
  <si>
    <t>Italie</t>
  </si>
  <si>
    <t>Grèce</t>
  </si>
  <si>
    <t>Irlande</t>
  </si>
  <si>
    <t>Pologne</t>
  </si>
  <si>
    <t>Allemagne</t>
  </si>
  <si>
    <t>Suède</t>
  </si>
  <si>
    <t>Lituanie</t>
  </si>
  <si>
    <t>Pays-Bas</t>
  </si>
  <si>
    <t>Islande</t>
  </si>
  <si>
    <t>Danemark</t>
  </si>
  <si>
    <t>Estonie</t>
  </si>
  <si>
    <t>Lettonie</t>
  </si>
  <si>
    <t>Part (en %)</t>
  </si>
  <si>
    <t>Part des inondations pour chaque pays (en %)</t>
  </si>
  <si>
    <t>Graphique 1 : évolution des évènements naturels très graves survenus entre 1950 et 2022</t>
  </si>
  <si>
    <t>Graphique 2 : nombre de mouvements de terrain recensés entre 1900 et 2022</t>
  </si>
  <si>
    <t xml:space="preserve">Graphique 3 : conscience du risque dans les communes exposées aux risques naturels </t>
  </si>
  <si>
    <t xml:space="preserve">Graphique 5 : répartition des catastrophes naturelles survenues en Europe entre 1900 et 2022 </t>
  </si>
  <si>
    <t>Évolution des événements naturels très graves survenus 
entre 1950 et 2021</t>
  </si>
  <si>
    <t>En nombre d'événements</t>
  </si>
  <si>
    <t>Autres événements</t>
  </si>
  <si>
    <r>
      <t xml:space="preserve">Note : événements ayant fait plus de 10 morts ou plus de 30 M€ courants de dommages matériels.
Champ : France.
</t>
    </r>
    <r>
      <rPr>
        <b/>
        <i/>
        <sz val="10"/>
        <rFont val="Marianne"/>
        <family val="3"/>
      </rPr>
      <t>Source</t>
    </r>
    <r>
      <rPr>
        <i/>
        <sz val="10"/>
        <rFont val="Marianne"/>
        <family val="3"/>
      </rPr>
      <t xml:space="preserve"> : MTECT, 2022
</t>
    </r>
  </si>
  <si>
    <t>Chute de blocs / Éboulement</t>
  </si>
  <si>
    <t>Érosion de berges</t>
  </si>
  <si>
    <t>Champ : échantillons représentatifs des populations exposées à ces différents risques.</t>
  </si>
  <si>
    <t>DROM</t>
  </si>
  <si>
    <t>Risques volcaniques (DROM)</t>
  </si>
  <si>
    <t>Risques cycloniques (DROM)</t>
  </si>
  <si>
    <t>Note de lecture : le pic de 2017 correspond aux ouragans Irma et Maria survenus en septembre.</t>
  </si>
  <si>
    <r>
      <rPr>
        <b/>
        <i/>
        <sz val="11"/>
        <color theme="1"/>
        <rFont val="Marianne"/>
        <family val="3"/>
      </rPr>
      <t>Source</t>
    </r>
    <r>
      <rPr>
        <i/>
        <sz val="11"/>
        <color theme="1"/>
        <rFont val="Marianne"/>
        <family val="3"/>
      </rPr>
      <t> : EM-DAT, UCLouvain, Brussels, Belgium – www.emdat.be (EM-DAT The International Disaster Database, Centre for research on the epidemiologye of disasters), 2022. Traitements : SDES, 2022</t>
    </r>
  </si>
  <si>
    <t>Cyclones et tempêtes</t>
  </si>
  <si>
    <t>Séismes</t>
  </si>
  <si>
    <t>Glissements et mouvements de terrain</t>
  </si>
  <si>
    <t>Tchéquie</t>
  </si>
  <si>
    <t>Slovénie</t>
  </si>
  <si>
    <r>
      <t>Note</t>
    </r>
    <r>
      <rPr>
        <i/>
        <sz val="10"/>
        <color theme="1"/>
        <rFont val="Calibri"/>
        <family val="2"/>
      </rPr>
      <t> </t>
    </r>
    <r>
      <rPr>
        <i/>
        <sz val="10"/>
        <color theme="1"/>
        <rFont val="Marianne"/>
        <family val="3"/>
      </rPr>
      <t>: le coût des sinistres Cat-Nat s’entend hors véhicules terrestres à moteur et hors franchise pour l’ensemble du territoire français. Au-delà des 2 grandes classes de périls inondations et sécheresse, tous les autres périls (mouvements de terrain, séismes, avalanches, vents cycloniques, etc.) sont regroupés dans la modalité «</t>
    </r>
    <r>
      <rPr>
        <i/>
        <sz val="10"/>
        <color theme="1"/>
        <rFont val="Calibri"/>
        <family val="2"/>
      </rPr>
      <t> </t>
    </r>
    <r>
      <rPr>
        <i/>
        <sz val="10"/>
        <color theme="1"/>
        <rFont val="Marianne"/>
        <family val="3"/>
      </rPr>
      <t>autres</t>
    </r>
    <r>
      <rPr>
        <i/>
        <sz val="10"/>
        <color theme="1"/>
        <rFont val="Calibri"/>
        <family val="2"/>
      </rPr>
      <t> </t>
    </r>
    <r>
      <rPr>
        <i/>
        <sz val="10"/>
        <color theme="1"/>
        <rFont val="Marianne"/>
        <family val="3"/>
      </rPr>
      <t>». En l’absence de consolidation des exercices récents (péril sécheresse depuis 2015, péril inondation et autres périls depuis 2019), les estimations sur la période 2015-2020 incluent une marge d’incertitude (estimations CCR).</t>
    </r>
  </si>
  <si>
    <r>
      <t>Champ</t>
    </r>
    <r>
      <rPr>
        <i/>
        <sz val="10"/>
        <color theme="1"/>
        <rFont val="Calibri"/>
        <family val="2"/>
      </rPr>
      <t> </t>
    </r>
    <r>
      <rPr>
        <i/>
        <sz val="10"/>
        <color theme="1"/>
        <rFont val="Marianne"/>
        <family val="3"/>
      </rPr>
      <t>: France entière (métropole et Outre-mer).</t>
    </r>
  </si>
  <si>
    <t>2015 (p)</t>
  </si>
  <si>
    <t>2016 (p)</t>
  </si>
  <si>
    <t>2017 (p)</t>
  </si>
  <si>
    <t>2018 (p)</t>
  </si>
  <si>
    <t>2019 (p)</t>
  </si>
  <si>
    <t>2020 (p)</t>
  </si>
  <si>
    <t>2021 (p)</t>
  </si>
  <si>
    <t>2022 (p)</t>
  </si>
  <si>
    <t>Graphique 4 : évolution de la sinistralité catastrophes naturelles non-auto entre 1982 et 2022</t>
  </si>
  <si>
    <r>
      <t>En M€</t>
    </r>
    <r>
      <rPr>
        <b/>
        <vertAlign val="subscript"/>
        <sz val="9"/>
        <color theme="1"/>
        <rFont val="Arial"/>
        <family val="2"/>
      </rPr>
      <t>2022</t>
    </r>
  </si>
  <si>
    <r>
      <t>Source</t>
    </r>
    <r>
      <rPr>
        <i/>
        <sz val="10"/>
        <color theme="1"/>
        <rFont val="Marianne"/>
        <family val="3"/>
      </rPr>
      <t xml:space="preserve"> : CCR, 2023</t>
    </r>
  </si>
  <si>
    <t>(Actualisée en millions d'€ 2022)</t>
  </si>
  <si>
    <r>
      <t>La sinistralité Catastrophes Naturelles Non-Auto de 1982 à 2022
en M€</t>
    </r>
    <r>
      <rPr>
        <vertAlign val="subscript"/>
        <sz val="12"/>
        <color rgb="FF000000"/>
        <rFont val="Marianne"/>
        <family val="3"/>
      </rPr>
      <t>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</si>
</sst>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_(* #,##0.00_);_(* \(#,##0.00\);_(* &quot;-&quot;??_);_(@_)"/>
    <numFmt numFmtId="166" formatCode="_(* #,##0_);_(* \(#,##0\);_(* &quot;-&quot;??_);_(@_)"/>
    <numFmt numFmtId="167" formatCode="_-* #,##0\ _€_-;\-* #,##0\ _€_-;_-* &quot;-&quot;??\ _€_-;_-@_-"/>
    <numFmt numFmtId="168" formatCode="0.0"/>
    <numFmt numFmtId="169" formatCode="#,##0.00_ ;\-#,##0.00\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arianne"/>
      <family val="3"/>
    </font>
    <font>
      <sz val="9"/>
      <color theme="1"/>
      <name val="Marianne"/>
      <family val="3"/>
    </font>
    <font>
      <sz val="10"/>
      <name val="Arial"/>
      <family val="2"/>
    </font>
    <font>
      <b/>
      <sz val="12"/>
      <name val="Marianne"/>
      <family val="3"/>
    </font>
    <font>
      <sz val="10"/>
      <name val="Marianne"/>
      <family val="3"/>
    </font>
    <font>
      <sz val="11"/>
      <name val="Marianne"/>
      <family val="3"/>
    </font>
    <font>
      <i/>
      <sz val="10"/>
      <name val="Marianne"/>
      <family val="3"/>
    </font>
    <font>
      <b/>
      <i/>
      <sz val="10"/>
      <name val="Marianne"/>
      <family val="3"/>
    </font>
    <font>
      <b/>
      <sz val="11"/>
      <color theme="1"/>
      <name val="Calibri"/>
      <family val="2"/>
      <scheme val="minor"/>
    </font>
    <font>
      <sz val="11"/>
      <color theme="1"/>
      <name val="Marianne"/>
      <family val="3"/>
    </font>
    <font>
      <b/>
      <sz val="11"/>
      <color theme="1"/>
      <name val="Marianne"/>
      <family val="3"/>
    </font>
    <font>
      <i/>
      <sz val="10"/>
      <color theme="1"/>
      <name val="Marianne"/>
      <family val="3"/>
    </font>
    <font>
      <b/>
      <i/>
      <sz val="10"/>
      <color theme="1"/>
      <name val="Marianne"/>
      <family val="3"/>
    </font>
    <font>
      <sz val="10"/>
      <color theme="1"/>
      <name val="Marianne"/>
      <family val="3"/>
    </font>
    <font>
      <b/>
      <sz val="9"/>
      <color theme="1"/>
      <name val="Arial"/>
      <family val="2"/>
    </font>
    <font>
      <b/>
      <sz val="10"/>
      <name val="Arial"/>
      <family val="2"/>
    </font>
    <font>
      <b/>
      <vertAlign val="subscript"/>
      <sz val="9"/>
      <color theme="1"/>
      <name val="Arial"/>
      <family val="2"/>
    </font>
    <font>
      <i/>
      <sz val="8"/>
      <name val="Marianne"/>
      <family val="3"/>
    </font>
    <font>
      <b/>
      <i/>
      <sz val="8"/>
      <name val="Marianne"/>
      <family val="3"/>
    </font>
    <font>
      <sz val="9"/>
      <name val="Marianne"/>
      <family val="3"/>
    </font>
    <font>
      <b/>
      <sz val="14"/>
      <color theme="1"/>
      <name val="Marianne"/>
      <family val="3"/>
    </font>
    <font>
      <sz val="10"/>
      <color rgb="FF000000"/>
      <name val="Marianne"/>
      <family val="3"/>
    </font>
    <font>
      <sz val="14"/>
      <color rgb="FF000000"/>
      <name val="Marianne"/>
      <family val="3"/>
    </font>
    <font>
      <sz val="12"/>
      <color rgb="FF000000"/>
      <name val="Marianne"/>
      <family val="3"/>
    </font>
    <font>
      <i/>
      <sz val="12"/>
      <color rgb="FF000000"/>
      <name val="Marianne"/>
      <family val="3"/>
    </font>
    <font>
      <vertAlign val="subscript"/>
      <sz val="12"/>
      <color rgb="FF000000"/>
      <name val="Marianne"/>
      <family val="3"/>
    </font>
    <font>
      <i/>
      <sz val="11"/>
      <color theme="1"/>
      <name val="Calibri"/>
      <family val="2"/>
      <scheme val="minor"/>
    </font>
    <font>
      <i/>
      <sz val="11"/>
      <color theme="1"/>
      <name val="Marianne"/>
      <family val="3"/>
    </font>
    <font>
      <b/>
      <i/>
      <sz val="11"/>
      <color theme="1"/>
      <name val="Marianne"/>
      <family val="3"/>
    </font>
    <font>
      <i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</cellStyleXfs>
  <cellXfs count="85">
    <xf numFmtId="0" fontId="0" fillId="0" borderId="0" xfId="0"/>
    <xf numFmtId="0" fontId="5" fillId="0" borderId="0" xfId="3" applyFont="1"/>
    <xf numFmtId="0" fontId="6" fillId="0" borderId="0" xfId="3" applyFont="1"/>
    <xf numFmtId="0" fontId="6" fillId="0" borderId="0" xfId="3" applyFont="1" applyAlignment="1">
      <alignment vertical="center"/>
    </xf>
    <xf numFmtId="0" fontId="7" fillId="0" borderId="0" xfId="3" applyFont="1" applyAlignment="1">
      <alignment vertical="center"/>
    </xf>
    <xf numFmtId="0" fontId="2" fillId="0" borderId="1" xfId="3" applyFont="1" applyBorder="1"/>
    <xf numFmtId="0" fontId="2" fillId="0" borderId="0" xfId="3" applyFont="1"/>
    <xf numFmtId="0" fontId="6" fillId="0" borderId="1" xfId="3" applyFont="1" applyBorder="1"/>
    <xf numFmtId="1" fontId="6" fillId="0" borderId="1" xfId="3" applyNumberFormat="1" applyFont="1" applyBorder="1"/>
    <xf numFmtId="0" fontId="6" fillId="0" borderId="1" xfId="3" applyFont="1" applyFill="1" applyBorder="1"/>
    <xf numFmtId="1" fontId="6" fillId="0" borderId="1" xfId="3" applyNumberFormat="1" applyFont="1" applyFill="1" applyBorder="1"/>
    <xf numFmtId="0" fontId="6" fillId="0" borderId="0" xfId="3" applyFont="1" applyFill="1"/>
    <xf numFmtId="1" fontId="6" fillId="0" borderId="0" xfId="3" applyNumberFormat="1" applyFont="1"/>
    <xf numFmtId="1" fontId="2" fillId="0" borderId="1" xfId="3" applyNumberFormat="1" applyFont="1" applyBorder="1"/>
    <xf numFmtId="0" fontId="8" fillId="0" borderId="0" xfId="3" applyFont="1"/>
    <xf numFmtId="0" fontId="11" fillId="0" borderId="0" xfId="0" applyFont="1"/>
    <xf numFmtId="164" fontId="11" fillId="0" borderId="1" xfId="0" applyNumberFormat="1" applyFont="1" applyBorder="1"/>
    <xf numFmtId="3" fontId="11" fillId="0" borderId="1" xfId="0" applyNumberFormat="1" applyFont="1" applyBorder="1"/>
    <xf numFmtId="0" fontId="12" fillId="0" borderId="1" xfId="0" applyFont="1" applyBorder="1"/>
    <xf numFmtId="0" fontId="11" fillId="0" borderId="1" xfId="0" applyFont="1" applyBorder="1"/>
    <xf numFmtId="0" fontId="12" fillId="0" borderId="0" xfId="0" applyFont="1"/>
    <xf numFmtId="0" fontId="4" fillId="0" borderId="0" xfId="6"/>
    <xf numFmtId="166" fontId="0" fillId="0" borderId="0" xfId="7" applyNumberFormat="1" applyFont="1"/>
    <xf numFmtId="0" fontId="4" fillId="0" borderId="0" xfId="6" applyFill="1"/>
    <xf numFmtId="167" fontId="4" fillId="0" borderId="0" xfId="4" applyNumberFormat="1" applyFont="1" applyFill="1" applyAlignment="1">
      <alignment horizontal="center"/>
    </xf>
    <xf numFmtId="164" fontId="4" fillId="0" borderId="0" xfId="5" applyNumberFormat="1" applyFont="1" applyFill="1"/>
    <xf numFmtId="164" fontId="0" fillId="0" borderId="0" xfId="5" applyNumberFormat="1" applyFont="1"/>
    <xf numFmtId="9" fontId="0" fillId="0" borderId="0" xfId="5" applyFont="1"/>
    <xf numFmtId="0" fontId="10" fillId="0" borderId="0" xfId="0" applyFont="1"/>
    <xf numFmtId="0" fontId="11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4" fillId="0" borderId="1" xfId="6" applyBorder="1"/>
    <xf numFmtId="166" fontId="0" fillId="0" borderId="1" xfId="7" applyNumberFormat="1" applyFont="1" applyBorder="1"/>
    <xf numFmtId="167" fontId="0" fillId="0" borderId="1" xfId="4" applyNumberFormat="1" applyFont="1" applyFill="1" applyBorder="1"/>
    <xf numFmtId="167" fontId="4" fillId="0" borderId="1" xfId="4" applyNumberFormat="1" applyFont="1" applyFill="1" applyBorder="1" applyAlignment="1">
      <alignment horizontal="center"/>
    </xf>
    <xf numFmtId="167" fontId="0" fillId="0" borderId="1" xfId="0" applyNumberFormat="1" applyFill="1" applyBorder="1"/>
    <xf numFmtId="164" fontId="0" fillId="0" borderId="1" xfId="5" applyNumberFormat="1" applyFont="1" applyBorder="1"/>
    <xf numFmtId="0" fontId="17" fillId="0" borderId="1" xfId="6" applyFont="1" applyBorder="1"/>
    <xf numFmtId="166" fontId="10" fillId="0" borderId="1" xfId="7" applyNumberFormat="1" applyFont="1" applyBorder="1"/>
    <xf numFmtId="0" fontId="17" fillId="0" borderId="0" xfId="6" applyFont="1" applyFill="1"/>
    <xf numFmtId="0" fontId="17" fillId="0" borderId="0" xfId="6" applyFont="1"/>
    <xf numFmtId="0" fontId="16" fillId="0" borderId="0" xfId="0" applyFont="1" applyAlignment="1">
      <alignment horizontal="justify" vertical="center"/>
    </xf>
    <xf numFmtId="0" fontId="2" fillId="2" borderId="0" xfId="1" applyFont="1" applyFill="1" applyAlignment="1">
      <alignment vertical="center"/>
    </xf>
    <xf numFmtId="0" fontId="11" fillId="2" borderId="0" xfId="1" applyFont="1" applyFill="1"/>
    <xf numFmtId="0" fontId="6" fillId="2" borderId="0" xfId="1" applyFont="1" applyFill="1" applyAlignment="1">
      <alignment wrapText="1"/>
    </xf>
    <xf numFmtId="168" fontId="6" fillId="2" borderId="1" xfId="8" applyNumberFormat="1" applyFont="1" applyFill="1" applyBorder="1" applyAlignment="1">
      <alignment horizontal="center" vertical="center" wrapText="1"/>
    </xf>
    <xf numFmtId="0" fontId="15" fillId="2" borderId="1" xfId="1" applyFont="1" applyFill="1" applyBorder="1"/>
    <xf numFmtId="0" fontId="15" fillId="2" borderId="0" xfId="1" applyFont="1" applyFill="1"/>
    <xf numFmtId="168" fontId="15" fillId="2" borderId="1" xfId="8" applyNumberFormat="1" applyFont="1" applyFill="1" applyBorder="1" applyAlignment="1">
      <alignment horizontal="center" vertical="center"/>
    </xf>
    <xf numFmtId="168" fontId="6" fillId="2" borderId="0" xfId="8" applyNumberFormat="1" applyFont="1" applyFill="1" applyBorder="1" applyAlignment="1">
      <alignment horizontal="center" vertical="center" wrapText="1"/>
    </xf>
    <xf numFmtId="0" fontId="3" fillId="2" borderId="0" xfId="1" applyFont="1" applyFill="1"/>
    <xf numFmtId="0" fontId="12" fillId="0" borderId="1" xfId="0" applyFont="1" applyBorder="1" applyAlignment="1">
      <alignment horizontal="center"/>
    </xf>
    <xf numFmtId="0" fontId="23" fillId="0" borderId="0" xfId="0" applyFont="1" applyAlignment="1">
      <alignment horizontal="left" vertical="center" readingOrder="1"/>
    </xf>
    <xf numFmtId="0" fontId="24" fillId="0" borderId="0" xfId="0" applyFont="1" applyAlignment="1">
      <alignment horizontal="left" vertical="center" readingOrder="1"/>
    </xf>
    <xf numFmtId="0" fontId="26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"/>
    </xf>
    <xf numFmtId="164" fontId="11" fillId="0" borderId="1" xfId="0" applyNumberFormat="1" applyFont="1" applyBorder="1" applyAlignment="1">
      <alignment horizontal="right"/>
    </xf>
    <xf numFmtId="0" fontId="28" fillId="0" borderId="0" xfId="0" applyFont="1" applyAlignment="1">
      <alignment horizontal="left" vertical="center"/>
    </xf>
    <xf numFmtId="0" fontId="29" fillId="0" borderId="0" xfId="0" applyFont="1"/>
    <xf numFmtId="0" fontId="13" fillId="0" borderId="0" xfId="0" applyFont="1" applyAlignment="1">
      <alignment horizontal="left" vertical="center"/>
    </xf>
    <xf numFmtId="167" fontId="4" fillId="0" borderId="0" xfId="4" applyNumberFormat="1" applyFont="1" applyFill="1" applyBorder="1" applyAlignment="1">
      <alignment horizontal="center"/>
    </xf>
    <xf numFmtId="0" fontId="4" fillId="0" borderId="0" xfId="6" applyBorder="1"/>
    <xf numFmtId="166" fontId="0" fillId="0" borderId="0" xfId="7" applyNumberFormat="1" applyFont="1" applyBorder="1"/>
    <xf numFmtId="0" fontId="15" fillId="0" borderId="0" xfId="0" applyFont="1" applyBorder="1" applyAlignment="1">
      <alignment horizontal="left" vertical="center"/>
    </xf>
    <xf numFmtId="167" fontId="0" fillId="0" borderId="0" xfId="4" applyNumberFormat="1" applyFont="1" applyFill="1" applyBorder="1"/>
    <xf numFmtId="164" fontId="4" fillId="0" borderId="0" xfId="5" applyNumberFormat="1" applyFont="1" applyFill="1" applyBorder="1"/>
    <xf numFmtId="0" fontId="13" fillId="0" borderId="0" xfId="0" applyFont="1" applyBorder="1" applyAlignment="1">
      <alignment horizontal="left" vertical="center"/>
    </xf>
    <xf numFmtId="164" fontId="0" fillId="0" borderId="0" xfId="5" applyNumberFormat="1" applyFont="1" applyBorder="1"/>
    <xf numFmtId="0" fontId="14" fillId="0" borderId="0" xfId="0" applyFont="1" applyBorder="1" applyAlignment="1">
      <alignment horizontal="left" vertical="center"/>
    </xf>
    <xf numFmtId="166" fontId="4" fillId="0" borderId="0" xfId="6" applyNumberFormat="1" applyBorder="1"/>
    <xf numFmtId="0" fontId="0" fillId="0" borderId="0" xfId="0" applyBorder="1"/>
    <xf numFmtId="0" fontId="14" fillId="0" borderId="0" xfId="0" applyFont="1" applyAlignment="1">
      <alignment horizontal="left" vertical="center"/>
    </xf>
    <xf numFmtId="169" fontId="4" fillId="0" borderId="0" xfId="4" applyNumberFormat="1" applyFont="1" applyFill="1" applyBorder="1" applyAlignment="1">
      <alignment horizontal="center"/>
    </xf>
    <xf numFmtId="1" fontId="6" fillId="0" borderId="1" xfId="3" applyNumberFormat="1" applyFont="1" applyBorder="1" applyAlignment="1">
      <alignment horizontal="center" vertical="center"/>
    </xf>
    <xf numFmtId="1" fontId="6" fillId="0" borderId="1" xfId="3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8" fillId="0" borderId="0" xfId="3" applyFont="1" applyAlignment="1">
      <alignment horizontal="left" wrapText="1"/>
    </xf>
    <xf numFmtId="0" fontId="12" fillId="0" borderId="1" xfId="0" applyFont="1" applyBorder="1" applyAlignment="1">
      <alignment horizontal="center"/>
    </xf>
    <xf numFmtId="0" fontId="13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8" fontId="19" fillId="2" borderId="0" xfId="8" applyNumberFormat="1" applyFont="1" applyFill="1" applyBorder="1" applyAlignment="1">
      <alignment horizontal="left" vertical="center" wrapText="1"/>
    </xf>
    <xf numFmtId="168" fontId="20" fillId="2" borderId="0" xfId="8" applyNumberFormat="1" applyFont="1" applyFill="1" applyBorder="1" applyAlignment="1">
      <alignment horizontal="left" vertical="center" wrapText="1"/>
    </xf>
    <xf numFmtId="168" fontId="21" fillId="2" borderId="0" xfId="8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 readingOrder="1"/>
    </xf>
    <xf numFmtId="0" fontId="28" fillId="0" borderId="0" xfId="0" applyFont="1" applyAlignment="1">
      <alignment horizontal="left" vertical="center"/>
    </xf>
  </cellXfs>
  <cellStyles count="9">
    <cellStyle name="Milliers" xfId="4" builtinId="3"/>
    <cellStyle name="Milliers 3" xfId="7" xr:uid="{00000000-0005-0000-0000-000001000000}"/>
    <cellStyle name="Normal" xfId="0" builtinId="0"/>
    <cellStyle name="Normal 11" xfId="1" xr:uid="{00000000-0005-0000-0000-000003000000}"/>
    <cellStyle name="Normal 13" xfId="2" xr:uid="{00000000-0005-0000-0000-000004000000}"/>
    <cellStyle name="Normal 2" xfId="3" xr:uid="{00000000-0005-0000-0000-000005000000}"/>
    <cellStyle name="Normal 3" xfId="6" xr:uid="{00000000-0005-0000-0000-000006000000}"/>
    <cellStyle name="Normal 4 2" xfId="8" xr:uid="{00000000-0005-0000-0000-000007000000}"/>
    <cellStyle name="Pourcentage" xfId="5" builtinId="5"/>
  </cellStyles>
  <dxfs count="0"/>
  <tableStyles count="0" defaultTableStyle="TableStyleMedium2" defaultPivotStyle="PivotStyleLight16"/>
  <colors>
    <mruColors>
      <color rgb="FF755348"/>
      <color rgb="FF00A95F"/>
      <color rgb="FFFF732C"/>
      <color rgb="FF465F9D"/>
      <color rgb="FF417DC4"/>
      <color rgb="FF68A532"/>
      <color rgb="FFD8C634"/>
      <color rgb="FFAD48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469315423163349E-2"/>
          <c:y val="7.1801635108899406E-2"/>
          <c:w val="0.87981170608550574"/>
          <c:h val="0.635980534301599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 1'!$B$4</c:f>
              <c:strCache>
                <c:ptCount val="1"/>
                <c:pt idx="0">
                  <c:v>Autres événements</c:v>
                </c:pt>
              </c:strCache>
            </c:strRef>
          </c:tx>
          <c:spPr>
            <a:solidFill>
              <a:srgbClr val="FF732C"/>
            </a:solidFill>
          </c:spPr>
          <c:invertIfNegative val="0"/>
          <c:cat>
            <c:numRef>
              <c:f>'Graph 1'!$A$5:$A$76</c:f>
              <c:numCache>
                <c:formatCode>General</c:formatCode>
                <c:ptCount val="72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</c:numCache>
            </c:numRef>
          </c:cat>
          <c:val>
            <c:numRef>
              <c:f>'Graph 1'!$B$5:$B$76</c:f>
              <c:numCache>
                <c:formatCode>0</c:formatCode>
                <c:ptCount val="7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3</c:v>
                </c:pt>
                <c:pt idx="38">
                  <c:v>0</c:v>
                </c:pt>
                <c:pt idx="39">
                  <c:v>3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3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 formatCode="General">
                  <c:v>1</c:v>
                </c:pt>
                <c:pt idx="69">
                  <c:v>2</c:v>
                </c:pt>
                <c:pt idx="70">
                  <c:v>4</c:v>
                </c:pt>
                <c:pt idx="7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8-4AE3-9957-7E6A111495B0}"/>
            </c:ext>
          </c:extLst>
        </c:ser>
        <c:ser>
          <c:idx val="2"/>
          <c:order val="1"/>
          <c:tx>
            <c:strRef>
              <c:f>'Graph 1'!$C$4</c:f>
              <c:strCache>
                <c:ptCount val="1"/>
                <c:pt idx="0">
                  <c:v>Inondations</c:v>
                </c:pt>
              </c:strCache>
            </c:strRef>
          </c:tx>
          <c:spPr>
            <a:solidFill>
              <a:srgbClr val="465F9D"/>
            </a:solidFill>
          </c:spPr>
          <c:invertIfNegative val="0"/>
          <c:cat>
            <c:numRef>
              <c:f>'Graph 1'!$A$5:$A$76</c:f>
              <c:numCache>
                <c:formatCode>General</c:formatCode>
                <c:ptCount val="72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</c:numCache>
            </c:numRef>
          </c:cat>
          <c:val>
            <c:numRef>
              <c:f>'Graph 1'!$C$5:$C$76</c:f>
              <c:numCache>
                <c:formatCode>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0</c:v>
                </c:pt>
                <c:pt idx="49">
                  <c:v>2</c:v>
                </c:pt>
                <c:pt idx="50">
                  <c:v>4</c:v>
                </c:pt>
                <c:pt idx="51">
                  <c:v>3</c:v>
                </c:pt>
                <c:pt idx="52">
                  <c:v>5</c:v>
                </c:pt>
                <c:pt idx="53">
                  <c:v>5</c:v>
                </c:pt>
                <c:pt idx="54">
                  <c:v>0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3">
                  <c:v>7</c:v>
                </c:pt>
                <c:pt idx="64">
                  <c:v>11</c:v>
                </c:pt>
                <c:pt idx="65">
                  <c:v>3</c:v>
                </c:pt>
                <c:pt idx="66">
                  <c:v>5</c:v>
                </c:pt>
                <c:pt idx="67">
                  <c:v>0</c:v>
                </c:pt>
                <c:pt idx="68" formatCode="General">
                  <c:v>4</c:v>
                </c:pt>
                <c:pt idx="69">
                  <c:v>3</c:v>
                </c:pt>
                <c:pt idx="70">
                  <c:v>4</c:v>
                </c:pt>
                <c:pt idx="7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8-4AE3-9957-7E6A11149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0651008"/>
        <c:axId val="134901120"/>
      </c:barChart>
      <c:catAx>
        <c:axId val="10065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  <a:prstDash val="solid"/>
          </a:ln>
        </c:spPr>
        <c:txPr>
          <a:bodyPr rot="-192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Arial"/>
                <a:cs typeface="Arial" panose="020B0604020202020204" pitchFamily="34" charset="0"/>
              </a:defRPr>
            </a:pPr>
            <a:endParaRPr lang="fr-FR"/>
          </a:p>
        </c:txPr>
        <c:crossAx val="134901120"/>
        <c:crosses val="autoZero"/>
        <c:auto val="1"/>
        <c:lblAlgn val="ctr"/>
        <c:lblOffset val="100"/>
        <c:tickLblSkip val="5"/>
        <c:noMultiLvlLbl val="0"/>
      </c:catAx>
      <c:valAx>
        <c:axId val="134901120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ot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Arial"/>
                <a:cs typeface="Arial" panose="020B0604020202020204" pitchFamily="34" charset="0"/>
              </a:defRPr>
            </a:pPr>
            <a:endParaRPr lang="fr-FR"/>
          </a:p>
        </c:txPr>
        <c:crossAx val="10065100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70380195584281"/>
          <c:y val="0.90047858533089775"/>
          <c:w val="0.42544299879819769"/>
          <c:h val="5.9597708064315358E-2"/>
        </c:manualLayout>
      </c:layout>
      <c:overlay val="0"/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432924508971706E-2"/>
          <c:y val="0.11098326277054563"/>
          <c:w val="0.37606134311745065"/>
          <c:h val="0.77442281978903582"/>
        </c:manualLayout>
      </c:layout>
      <c:doughnutChart>
        <c:varyColors val="1"/>
        <c:ser>
          <c:idx val="0"/>
          <c:order val="0"/>
          <c:tx>
            <c:strRef>
              <c:f>'Graph 2'!$B$5</c:f>
              <c:strCache>
                <c:ptCount val="1"/>
                <c:pt idx="0">
                  <c:v>En nombre 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75534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56-42B2-92C2-897954010DAA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56-42B2-92C2-897954010DAA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056-42B2-92C2-897954010DA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056-42B2-92C2-897954010DAA}"/>
              </c:ext>
            </c:extLst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056-42B2-92C2-897954010DA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39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056-42B2-92C2-897954010DA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056-42B2-92C2-897954010DA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056-42B2-92C2-897954010DA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056-42B2-92C2-897954010DA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>
                        <a:solidFill>
                          <a:schemeClr val="bg1"/>
                        </a:solidFill>
                      </a:rPr>
                      <a:t>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056-42B2-92C2-897954010D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 2'!$A$6:$A$10</c:f>
              <c:strCache>
                <c:ptCount val="5"/>
                <c:pt idx="0">
                  <c:v>Effondrement</c:v>
                </c:pt>
                <c:pt idx="1">
                  <c:v>Glissement</c:v>
                </c:pt>
                <c:pt idx="2">
                  <c:v>Chute de blocs / Éboulement</c:v>
                </c:pt>
                <c:pt idx="3">
                  <c:v>Érosion de berges</c:v>
                </c:pt>
                <c:pt idx="4">
                  <c:v>Coulée</c:v>
                </c:pt>
              </c:strCache>
            </c:strRef>
          </c:cat>
          <c:val>
            <c:numRef>
              <c:f>'Graph 2'!$B$6:$B$10</c:f>
              <c:numCache>
                <c:formatCode>#,##0</c:formatCode>
                <c:ptCount val="5"/>
                <c:pt idx="0">
                  <c:v>25323</c:v>
                </c:pt>
                <c:pt idx="1">
                  <c:v>17227</c:v>
                </c:pt>
                <c:pt idx="2">
                  <c:v>14814</c:v>
                </c:pt>
                <c:pt idx="3">
                  <c:v>4703</c:v>
                </c:pt>
                <c:pt idx="4">
                  <c:v>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56-42B2-92C2-897954010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737642742301188"/>
          <c:y val="0.29934843050279086"/>
          <c:w val="0.3411866677660057"/>
          <c:h val="0.429906403209032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5682960788788848"/>
          <c:y val="8.3563750505618265E-3"/>
          <c:w val="0.64197440745845602"/>
          <c:h val="0.724243589743589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'Graph 3'!$B$3</c:f>
              <c:strCache>
                <c:ptCount val="1"/>
                <c:pt idx="0">
                  <c:v>Conscience d'être exposé à un risque important</c:v>
                </c:pt>
              </c:strCache>
            </c:strRef>
          </c:tx>
          <c:spPr>
            <a:solidFill>
              <a:srgbClr val="4F0033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3'!$A$4:$A$9</c:f>
              <c:strCache>
                <c:ptCount val="6"/>
                <c:pt idx="0">
                  <c:v>Métropole</c:v>
                </c:pt>
                <c:pt idx="1">
                  <c:v>DROM</c:v>
                </c:pt>
                <c:pt idx="2">
                  <c:v>Métropole</c:v>
                </c:pt>
                <c:pt idx="3">
                  <c:v>DROM</c:v>
                </c:pt>
                <c:pt idx="4">
                  <c:v>Risques volcaniques (DROM)</c:v>
                </c:pt>
                <c:pt idx="5">
                  <c:v>Risques cycloniques (DROM)</c:v>
                </c:pt>
              </c:strCache>
            </c:strRef>
          </c:cat>
          <c:val>
            <c:numRef>
              <c:f>'Graph 3'!$B$4:$B$9</c:f>
              <c:numCache>
                <c:formatCode>0.0</c:formatCode>
                <c:ptCount val="6"/>
                <c:pt idx="0">
                  <c:v>25.553614457831326</c:v>
                </c:pt>
                <c:pt idx="1">
                  <c:v>19.7</c:v>
                </c:pt>
                <c:pt idx="2">
                  <c:v>38.54117647058824</c:v>
                </c:pt>
                <c:pt idx="3">
                  <c:v>69.739999999999995</c:v>
                </c:pt>
                <c:pt idx="4">
                  <c:v>30.164877711361473</c:v>
                </c:pt>
                <c:pt idx="5">
                  <c:v>67.56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9-4B82-8A6C-9AD0C64CC99A}"/>
            </c:ext>
          </c:extLst>
        </c:ser>
        <c:ser>
          <c:idx val="1"/>
          <c:order val="1"/>
          <c:tx>
            <c:strRef>
              <c:f>'Graph 3'!$C$3</c:f>
              <c:strCache>
                <c:ptCount val="1"/>
                <c:pt idx="0">
                  <c:v>Conscience d'être exposé à un risque peu ou pas important</c:v>
                </c:pt>
              </c:strCache>
            </c:strRef>
          </c:tx>
          <c:spPr>
            <a:solidFill>
              <a:srgbClr val="C0504D">
                <a:alpha val="80000"/>
              </a:srgbClr>
            </a:solidFill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349-4B82-8A6C-9AD0C64CC99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3'!$A$4:$A$9</c:f>
              <c:strCache>
                <c:ptCount val="6"/>
                <c:pt idx="0">
                  <c:v>Métropole</c:v>
                </c:pt>
                <c:pt idx="1">
                  <c:v>DROM</c:v>
                </c:pt>
                <c:pt idx="2">
                  <c:v>Métropole</c:v>
                </c:pt>
                <c:pt idx="3">
                  <c:v>DROM</c:v>
                </c:pt>
                <c:pt idx="4">
                  <c:v>Risques volcaniques (DROM)</c:v>
                </c:pt>
                <c:pt idx="5">
                  <c:v>Risques cycloniques (DROM)</c:v>
                </c:pt>
              </c:strCache>
            </c:strRef>
          </c:cat>
          <c:val>
            <c:numRef>
              <c:f>'Graph 3'!$C$4:$C$9</c:f>
              <c:numCache>
                <c:formatCode>0.0</c:formatCode>
                <c:ptCount val="6"/>
                <c:pt idx="0">
                  <c:v>9.9885542168674704</c:v>
                </c:pt>
                <c:pt idx="1">
                  <c:v>16</c:v>
                </c:pt>
                <c:pt idx="2">
                  <c:v>22.63529411764706</c:v>
                </c:pt>
                <c:pt idx="3">
                  <c:v>16.36</c:v>
                </c:pt>
                <c:pt idx="4">
                  <c:v>10.283692501691016</c:v>
                </c:pt>
                <c:pt idx="5">
                  <c:v>14.83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9-4B82-8A6C-9AD0C64CC99A}"/>
            </c:ext>
          </c:extLst>
        </c:ser>
        <c:ser>
          <c:idx val="2"/>
          <c:order val="2"/>
          <c:tx>
            <c:strRef>
              <c:f>'Graph 3'!$D$3</c:f>
              <c:strCache>
                <c:ptCount val="1"/>
                <c:pt idx="0">
                  <c:v>Pas conscience d'être exposé à un risque</c:v>
                </c:pt>
              </c:strCache>
            </c:strRef>
          </c:tx>
          <c:spPr>
            <a:solidFill>
              <a:srgbClr val="417DC4">
                <a:alpha val="80000"/>
              </a:srgbClr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3'!$A$4:$A$9</c:f>
              <c:strCache>
                <c:ptCount val="6"/>
                <c:pt idx="0">
                  <c:v>Métropole</c:v>
                </c:pt>
                <c:pt idx="1">
                  <c:v>DROM</c:v>
                </c:pt>
                <c:pt idx="2">
                  <c:v>Métropole</c:v>
                </c:pt>
                <c:pt idx="3">
                  <c:v>DROM</c:v>
                </c:pt>
                <c:pt idx="4">
                  <c:v>Risques volcaniques (DROM)</c:v>
                </c:pt>
                <c:pt idx="5">
                  <c:v>Risques cycloniques (DROM)</c:v>
                </c:pt>
              </c:strCache>
            </c:strRef>
          </c:cat>
          <c:val>
            <c:numRef>
              <c:f>'Graph 3'!$D$4:$D$9</c:f>
              <c:numCache>
                <c:formatCode>0.0</c:formatCode>
                <c:ptCount val="6"/>
                <c:pt idx="0">
                  <c:v>64.457831325301214</c:v>
                </c:pt>
                <c:pt idx="1">
                  <c:v>64.3</c:v>
                </c:pt>
                <c:pt idx="2">
                  <c:v>38.82352941176471</c:v>
                </c:pt>
                <c:pt idx="3">
                  <c:v>13.9</c:v>
                </c:pt>
                <c:pt idx="4">
                  <c:v>59.551429786947516</c:v>
                </c:pt>
                <c:pt idx="5">
                  <c:v>17.61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9-4B82-8A6C-9AD0C64CC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34005760"/>
        <c:axId val="128858304"/>
      </c:barChart>
      <c:catAx>
        <c:axId val="13400576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fr-FR"/>
          </a:p>
        </c:txPr>
        <c:crossAx val="128858304"/>
        <c:crosses val="autoZero"/>
        <c:auto val="1"/>
        <c:lblAlgn val="ctr"/>
        <c:lblOffset val="100"/>
        <c:noMultiLvlLbl val="0"/>
      </c:catAx>
      <c:valAx>
        <c:axId val="128858304"/>
        <c:scaling>
          <c:orientation val="minMax"/>
          <c:max val="100"/>
        </c:scaling>
        <c:delete val="0"/>
        <c:axPos val="b"/>
        <c:majorGridlines>
          <c:spPr>
            <a:ln>
              <a:noFill/>
            </a:ln>
          </c:spPr>
        </c:majorGridlines>
        <c:numFmt formatCode="0.0" sourceLinked="1"/>
        <c:majorTickMark val="none"/>
        <c:minorTickMark val="none"/>
        <c:tickLblPos val="none"/>
        <c:spPr>
          <a:ln>
            <a:noFill/>
          </a:ln>
        </c:spPr>
        <c:crossAx val="134005760"/>
        <c:crosses val="autoZero"/>
        <c:crossBetween val="between"/>
        <c:majorUnit val="50"/>
      </c:valAx>
    </c:plotArea>
    <c:legend>
      <c:legendPos val="r"/>
      <c:layout>
        <c:manualLayout>
          <c:xMode val="edge"/>
          <c:yMode val="edge"/>
          <c:x val="0.11384454239561591"/>
          <c:y val="0.78107549857549863"/>
          <c:w val="0.88615545760438408"/>
          <c:h val="0.21226851851851852"/>
        </c:manualLayout>
      </c:layout>
      <c:overlay val="0"/>
      <c:txPr>
        <a:bodyPr/>
        <a:lstStyle/>
        <a:p>
          <a:pPr>
            <a:defRPr sz="800">
              <a:latin typeface="Arial" panose="020B0604020202020204" pitchFamily="34" charset="0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Marianne" panose="02000000000000000000" pitchFamily="50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 4'!$A$4</c:f>
              <c:strCache>
                <c:ptCount val="1"/>
                <c:pt idx="0">
                  <c:v>Incertitude</c:v>
                </c:pt>
              </c:strCache>
            </c:strRef>
          </c:tx>
          <c:spPr>
            <a:solidFill>
              <a:srgbClr val="6C005C"/>
            </a:solidFill>
            <a:ln>
              <a:noFill/>
            </a:ln>
            <a:effectLst/>
          </c:spPr>
          <c:invertIfNegative val="0"/>
          <c:cat>
            <c:strRef>
              <c:f>'Graph 4'!$B$5:$B$44</c:f>
              <c:strCache>
                <c:ptCount val="40"/>
                <c:pt idx="0">
                  <c:v>1982/83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 (p)</c:v>
                </c:pt>
                <c:pt idx="33">
                  <c:v>2016 (p)</c:v>
                </c:pt>
                <c:pt idx="34">
                  <c:v>2017 (p)</c:v>
                </c:pt>
                <c:pt idx="35">
                  <c:v>2018 (p)</c:v>
                </c:pt>
                <c:pt idx="36">
                  <c:v>2019 (p)</c:v>
                </c:pt>
                <c:pt idx="37">
                  <c:v>2020 (p)</c:v>
                </c:pt>
                <c:pt idx="38">
                  <c:v>2021 (p)</c:v>
                </c:pt>
                <c:pt idx="39">
                  <c:v>2022 (p)</c:v>
                </c:pt>
              </c:strCache>
            </c:strRef>
          </c:cat>
          <c:val>
            <c:numRef>
              <c:f>'Graph 4'!$A$5:$A$44</c:f>
              <c:numCache>
                <c:formatCode>General</c:formatCode>
                <c:ptCount val="40"/>
                <c:pt idx="32" formatCode="_-* #\ ##0\ _€_-;\-* #\ ##0\ _€_-;_-* &quot;-&quot;??\ _€_-;_-@_-">
                  <c:v>29.745404152049804</c:v>
                </c:pt>
                <c:pt idx="33" formatCode="_-* #\ ##0\ _€_-;\-* #\ ##0\ _€_-;_-* &quot;-&quot;??\ _€_-;_-@_-">
                  <c:v>117.68600375699397</c:v>
                </c:pt>
                <c:pt idx="34" formatCode="_-* #\ ##0\ _€_-;\-* #\ ##0\ _€_-;_-* &quot;-&quot;??\ _€_-;_-@_-">
                  <c:v>204.63307695493771</c:v>
                </c:pt>
                <c:pt idx="35" formatCode="_-* #\ ##0\ _€_-;\-* #\ ##0\ _€_-;_-* &quot;-&quot;??\ _€_-;_-@_-">
                  <c:v>173.6569452514849</c:v>
                </c:pt>
                <c:pt idx="36" formatCode="_-* #\ ##0\ _€_-;\-* #\ ##0\ _€_-;_-* &quot;-&quot;??\ _€_-;_-@_-">
                  <c:v>140.83140119484233</c:v>
                </c:pt>
                <c:pt idx="37" formatCode="_-* #\ ##0\ _€_-;\-* #\ ##0\ _€_-;_-* &quot;-&quot;??\ _€_-;_-@_-">
                  <c:v>161.72671336308085</c:v>
                </c:pt>
                <c:pt idx="38" formatCode="_-* #\ ##0\ _€_-;\-* #\ ##0\ _€_-;_-* &quot;-&quot;??\ _€_-;_-@_-">
                  <c:v>10.429644341585853</c:v>
                </c:pt>
                <c:pt idx="39" formatCode="_-* #\ ##0\ _€_-;\-* #\ ##0\ _€_-;_-* &quot;-&quot;??\ _€_-;_-@_-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5-4E5A-BE0D-413BAD9835EA}"/>
            </c:ext>
          </c:extLst>
        </c:ser>
        <c:ser>
          <c:idx val="2"/>
          <c:order val="1"/>
          <c:tx>
            <c:strRef>
              <c:f>'Graph 4'!$C$4</c:f>
              <c:strCache>
                <c:ptCount val="1"/>
                <c:pt idx="0">
                  <c:v> Inondations </c:v>
                </c:pt>
              </c:strCache>
            </c:strRef>
          </c:tx>
          <c:spPr>
            <a:solidFill>
              <a:srgbClr val="465F9D"/>
            </a:solidFill>
            <a:ln>
              <a:noFill/>
            </a:ln>
            <a:effectLst/>
          </c:spPr>
          <c:invertIfNegative val="0"/>
          <c:cat>
            <c:strRef>
              <c:f>'Graph 4'!$B$5:$B$44</c:f>
              <c:strCache>
                <c:ptCount val="40"/>
                <c:pt idx="0">
                  <c:v>1982/83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 (p)</c:v>
                </c:pt>
                <c:pt idx="33">
                  <c:v>2016 (p)</c:v>
                </c:pt>
                <c:pt idx="34">
                  <c:v>2017 (p)</c:v>
                </c:pt>
                <c:pt idx="35">
                  <c:v>2018 (p)</c:v>
                </c:pt>
                <c:pt idx="36">
                  <c:v>2019 (p)</c:v>
                </c:pt>
                <c:pt idx="37">
                  <c:v>2020 (p)</c:v>
                </c:pt>
                <c:pt idx="38">
                  <c:v>2021 (p)</c:v>
                </c:pt>
                <c:pt idx="39">
                  <c:v>2022 (p)</c:v>
                </c:pt>
              </c:strCache>
            </c:strRef>
          </c:cat>
          <c:val>
            <c:numRef>
              <c:f>'Graph 4'!$C$5:$C$44</c:f>
              <c:numCache>
                <c:formatCode>_(* #\ ##0_);_(* \(#\ ##0\);_(* "-"??_);_(@_)</c:formatCode>
                <c:ptCount val="40"/>
                <c:pt idx="0">
                  <c:v>1446.0265435076676</c:v>
                </c:pt>
                <c:pt idx="1">
                  <c:v>51.579789979167899</c:v>
                </c:pt>
                <c:pt idx="2">
                  <c:v>29.103604524069986</c:v>
                </c:pt>
                <c:pt idx="3">
                  <c:v>109.95657821849531</c:v>
                </c:pt>
                <c:pt idx="4">
                  <c:v>403.57984036373261</c:v>
                </c:pt>
                <c:pt idx="5">
                  <c:v>604.70434381375298</c:v>
                </c:pt>
                <c:pt idx="6">
                  <c:v>66.146461066998782</c:v>
                </c:pt>
                <c:pt idx="7">
                  <c:v>721.98653874708475</c:v>
                </c:pt>
                <c:pt idx="8">
                  <c:v>254.50946822488163</c:v>
                </c:pt>
                <c:pt idx="9">
                  <c:v>1165.9800016169881</c:v>
                </c:pt>
                <c:pt idx="10">
                  <c:v>1782.6758448133198</c:v>
                </c:pt>
                <c:pt idx="11">
                  <c:v>675.24625713981391</c:v>
                </c:pt>
                <c:pt idx="12">
                  <c:v>1250.8235281455341</c:v>
                </c:pt>
                <c:pt idx="13">
                  <c:v>379.33513129056752</c:v>
                </c:pt>
                <c:pt idx="14">
                  <c:v>315.8300110690829</c:v>
                </c:pt>
                <c:pt idx="15">
                  <c:v>259.97226509633919</c:v>
                </c:pt>
                <c:pt idx="16">
                  <c:v>1357.4770316487088</c:v>
                </c:pt>
                <c:pt idx="17">
                  <c:v>601.84148730620495</c:v>
                </c:pt>
                <c:pt idx="18">
                  <c:v>647.34778597459569</c:v>
                </c:pt>
                <c:pt idx="19">
                  <c:v>1495.3837349162875</c:v>
                </c:pt>
                <c:pt idx="20">
                  <c:v>1591.4737960571524</c:v>
                </c:pt>
                <c:pt idx="21">
                  <c:v>27.412671209009954</c:v>
                </c:pt>
                <c:pt idx="22">
                  <c:v>242.91692441818083</c:v>
                </c:pt>
                <c:pt idx="23">
                  <c:v>224.77902988896437</c:v>
                </c:pt>
                <c:pt idx="24">
                  <c:v>197.91324171844747</c:v>
                </c:pt>
                <c:pt idx="25">
                  <c:v>534.54222069189882</c:v>
                </c:pt>
                <c:pt idx="26">
                  <c:v>235.37447665593803</c:v>
                </c:pt>
                <c:pt idx="27">
                  <c:v>1575.0483696944016</c:v>
                </c:pt>
                <c:pt idx="28">
                  <c:v>368.43425891965398</c:v>
                </c:pt>
                <c:pt idx="29">
                  <c:v>213.60139892507473</c:v>
                </c:pt>
                <c:pt idx="30">
                  <c:v>431.7801045474182</c:v>
                </c:pt>
                <c:pt idx="31">
                  <c:v>739.56630133577573</c:v>
                </c:pt>
                <c:pt idx="32">
                  <c:v>681.55690084708976</c:v>
                </c:pt>
                <c:pt idx="33">
                  <c:v>1285.8828649261543</c:v>
                </c:pt>
                <c:pt idx="34">
                  <c:v>90.62172620645778</c:v>
                </c:pt>
                <c:pt idx="35">
                  <c:v>932.85561383092249</c:v>
                </c:pt>
                <c:pt idx="36" formatCode="_-* #\ ##0\ _€_-;\-* #\ ##0\ _€_-;_-* &quot;-&quot;??\ _€_-;_-@_-">
                  <c:v>566.97645336295795</c:v>
                </c:pt>
                <c:pt idx="37">
                  <c:v>408.51395510238012</c:v>
                </c:pt>
                <c:pt idx="38">
                  <c:v>497.60525211086855</c:v>
                </c:pt>
                <c:pt idx="39">
                  <c:v>301.38463354730237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485-4E5A-BE0D-413BAD9835EA}"/>
            </c:ext>
          </c:extLst>
        </c:ser>
        <c:ser>
          <c:idx val="3"/>
          <c:order val="2"/>
          <c:tx>
            <c:strRef>
              <c:f>'Graph 4'!$D$4</c:f>
              <c:strCache>
                <c:ptCount val="1"/>
                <c:pt idx="0">
                  <c:v> Sécheresse </c:v>
                </c:pt>
              </c:strCache>
            </c:strRef>
          </c:tx>
          <c:spPr>
            <a:solidFill>
              <a:srgbClr val="FF732C"/>
            </a:solidFill>
            <a:ln>
              <a:noFill/>
            </a:ln>
            <a:effectLst/>
          </c:spPr>
          <c:invertIfNegative val="0"/>
          <c:cat>
            <c:strRef>
              <c:f>'Graph 4'!$B$5:$B$44</c:f>
              <c:strCache>
                <c:ptCount val="40"/>
                <c:pt idx="0">
                  <c:v>1982/83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 (p)</c:v>
                </c:pt>
                <c:pt idx="33">
                  <c:v>2016 (p)</c:v>
                </c:pt>
                <c:pt idx="34">
                  <c:v>2017 (p)</c:v>
                </c:pt>
                <c:pt idx="35">
                  <c:v>2018 (p)</c:v>
                </c:pt>
                <c:pt idx="36">
                  <c:v>2019 (p)</c:v>
                </c:pt>
                <c:pt idx="37">
                  <c:v>2020 (p)</c:v>
                </c:pt>
                <c:pt idx="38">
                  <c:v>2021 (p)</c:v>
                </c:pt>
                <c:pt idx="39">
                  <c:v>2022 (p)</c:v>
                </c:pt>
              </c:strCache>
            </c:strRef>
          </c:cat>
          <c:val>
            <c:numRef>
              <c:f>'Graph 4'!$D$5:$D$44</c:f>
              <c:numCache>
                <c:formatCode>_(* #\ ##0_);_(* \(#\ ##0\);_(* "-"??_);_(@_)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738.28673717081006</c:v>
                </c:pt>
                <c:pt idx="7">
                  <c:v>1178.363367951516</c:v>
                </c:pt>
                <c:pt idx="8">
                  <c:v>528.17736732711762</c:v>
                </c:pt>
                <c:pt idx="9">
                  <c:v>275.77975836017117</c:v>
                </c:pt>
                <c:pt idx="10">
                  <c:v>259.78070484505866</c:v>
                </c:pt>
                <c:pt idx="11">
                  <c:v>116.76551521532595</c:v>
                </c:pt>
                <c:pt idx="12">
                  <c:v>274.19862205707955</c:v>
                </c:pt>
                <c:pt idx="13">
                  <c:v>918.04216916585358</c:v>
                </c:pt>
                <c:pt idx="14">
                  <c:v>631.88279770708914</c:v>
                </c:pt>
                <c:pt idx="15">
                  <c:v>777.78964750174134</c:v>
                </c:pt>
                <c:pt idx="16">
                  <c:v>149.24874294088502</c:v>
                </c:pt>
                <c:pt idx="17">
                  <c:v>110.45310299464099</c:v>
                </c:pt>
                <c:pt idx="18">
                  <c:v>18.02614410721975</c:v>
                </c:pt>
                <c:pt idx="19">
                  <c:v>401.74742079269993</c:v>
                </c:pt>
                <c:pt idx="20">
                  <c:v>2046.0310759789336</c:v>
                </c:pt>
                <c:pt idx="21">
                  <c:v>55.505939735558961</c:v>
                </c:pt>
                <c:pt idx="22">
                  <c:v>565.94758065794213</c:v>
                </c:pt>
                <c:pt idx="23">
                  <c:v>185.69165138812531</c:v>
                </c:pt>
                <c:pt idx="24">
                  <c:v>267.84061048968584</c:v>
                </c:pt>
                <c:pt idx="25">
                  <c:v>87.076117099872008</c:v>
                </c:pt>
                <c:pt idx="26">
                  <c:v>335.72456520726911</c:v>
                </c:pt>
                <c:pt idx="27">
                  <c:v>52.065309683307021</c:v>
                </c:pt>
                <c:pt idx="28">
                  <c:v>963.57185912728812</c:v>
                </c:pt>
                <c:pt idx="29">
                  <c:v>214.82900778161559</c:v>
                </c:pt>
                <c:pt idx="30">
                  <c:v>10.019834130664851</c:v>
                </c:pt>
                <c:pt idx="31">
                  <c:v>25.886627012790363</c:v>
                </c:pt>
                <c:pt idx="32">
                  <c:v>91.720849441220366</c:v>
                </c:pt>
                <c:pt idx="33">
                  <c:v>1008.7030223670864</c:v>
                </c:pt>
                <c:pt idx="34">
                  <c:v>1235.5771130025489</c:v>
                </c:pt>
                <c:pt idx="35">
                  <c:v>1875.7983724678706</c:v>
                </c:pt>
                <c:pt idx="36" formatCode="_-* #\ ##0\ _€_-;\-* #\ ##0\ _€_-;_-* &quot;-&quot;??\ _€_-;_-@_-">
                  <c:v>1114.9342686003595</c:v>
                </c:pt>
                <c:pt idx="37">
                  <c:v>1258.2949076060916</c:v>
                </c:pt>
                <c:pt idx="38">
                  <c:v>135.52446486528012</c:v>
                </c:pt>
                <c:pt idx="39">
                  <c:v>2864.9520691489711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485-4E5A-BE0D-413BAD9835EA}"/>
            </c:ext>
          </c:extLst>
        </c:ser>
        <c:ser>
          <c:idx val="4"/>
          <c:order val="3"/>
          <c:tx>
            <c:strRef>
              <c:f>'Graph 4'!$E$4</c:f>
              <c:strCache>
                <c:ptCount val="1"/>
                <c:pt idx="0">
                  <c:v> Autres </c:v>
                </c:pt>
              </c:strCache>
            </c:strRef>
          </c:tx>
          <c:spPr>
            <a:solidFill>
              <a:srgbClr val="00A95F"/>
            </a:solidFill>
            <a:ln>
              <a:noFill/>
            </a:ln>
            <a:effectLst/>
          </c:spPr>
          <c:invertIfNegative val="0"/>
          <c:cat>
            <c:strRef>
              <c:f>'Graph 4'!$B$5:$B$44</c:f>
              <c:strCache>
                <c:ptCount val="40"/>
                <c:pt idx="0">
                  <c:v>1982/83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 (p)</c:v>
                </c:pt>
                <c:pt idx="33">
                  <c:v>2016 (p)</c:v>
                </c:pt>
                <c:pt idx="34">
                  <c:v>2017 (p)</c:v>
                </c:pt>
                <c:pt idx="35">
                  <c:v>2018 (p)</c:v>
                </c:pt>
                <c:pt idx="36">
                  <c:v>2019 (p)</c:v>
                </c:pt>
                <c:pt idx="37">
                  <c:v>2020 (p)</c:v>
                </c:pt>
                <c:pt idx="38">
                  <c:v>2021 (p)</c:v>
                </c:pt>
                <c:pt idx="39">
                  <c:v>2022 (p)</c:v>
                </c:pt>
              </c:strCache>
            </c:strRef>
          </c:cat>
          <c:val>
            <c:numRef>
              <c:f>'Graph 4'!$E$5:$E$44</c:f>
              <c:numCache>
                <c:formatCode>_(* #\ ##0_);_(* \(#\ ##0\);_(* "-"??_);_(@_)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21.121168232395728</c:v>
                </c:pt>
                <c:pt idx="7">
                  <c:v>16.0650534434807</c:v>
                </c:pt>
                <c:pt idx="8">
                  <c:v>4.8054674699028324</c:v>
                </c:pt>
                <c:pt idx="9">
                  <c:v>6.1254909084943341</c:v>
                </c:pt>
                <c:pt idx="10">
                  <c:v>11.560273920287646</c:v>
                </c:pt>
                <c:pt idx="11">
                  <c:v>23.916663733918991</c:v>
                </c:pt>
                <c:pt idx="12">
                  <c:v>95.947877280097103</c:v>
                </c:pt>
                <c:pt idx="13">
                  <c:v>144.63911980079996</c:v>
                </c:pt>
                <c:pt idx="14">
                  <c:v>7.7979138163272781</c:v>
                </c:pt>
                <c:pt idx="15">
                  <c:v>20.076668341540032</c:v>
                </c:pt>
                <c:pt idx="16">
                  <c:v>66.221355477002263</c:v>
                </c:pt>
                <c:pt idx="17">
                  <c:v>55.018288896060376</c:v>
                </c:pt>
                <c:pt idx="18">
                  <c:v>60.98244615308824</c:v>
                </c:pt>
                <c:pt idx="19">
                  <c:v>145.91464998841246</c:v>
                </c:pt>
                <c:pt idx="20">
                  <c:v>37.185809345821738</c:v>
                </c:pt>
                <c:pt idx="21">
                  <c:v>103.27493882625585</c:v>
                </c:pt>
                <c:pt idx="22">
                  <c:v>6.2893455629107349</c:v>
                </c:pt>
                <c:pt idx="23">
                  <c:v>2.5522335243270136</c:v>
                </c:pt>
                <c:pt idx="24">
                  <c:v>388.6113247645668</c:v>
                </c:pt>
                <c:pt idx="25">
                  <c:v>28.392519461512062</c:v>
                </c:pt>
                <c:pt idx="26">
                  <c:v>26.78774726511832</c:v>
                </c:pt>
                <c:pt idx="27">
                  <c:v>148.68048979282887</c:v>
                </c:pt>
                <c:pt idx="28">
                  <c:v>14.898202176017602</c:v>
                </c:pt>
                <c:pt idx="29">
                  <c:v>8.5610317710955606</c:v>
                </c:pt>
                <c:pt idx="30">
                  <c:v>37.385667929720476</c:v>
                </c:pt>
                <c:pt idx="31">
                  <c:v>43.819040929512269</c:v>
                </c:pt>
                <c:pt idx="32">
                  <c:v>23.645044392112375</c:v>
                </c:pt>
                <c:pt idx="33">
                  <c:v>34.677834169284466</c:v>
                </c:pt>
                <c:pt idx="34">
                  <c:v>2393.501909110114</c:v>
                </c:pt>
                <c:pt idx="35">
                  <c:v>21.711232242065378</c:v>
                </c:pt>
                <c:pt idx="36" formatCode="_-* #\ ##0\ _€_-;\-* #\ ##0\ _€_-;_-* &quot;-&quot;??\ _€_-;_-@_-">
                  <c:v>326.40860038743693</c:v>
                </c:pt>
                <c:pt idx="37">
                  <c:v>67.822425446790817</c:v>
                </c:pt>
                <c:pt idx="38">
                  <c:v>0.2096186383504334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485-4E5A-BE0D-413BAD98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25368079"/>
        <c:axId val="425374735"/>
      </c:barChart>
      <c:catAx>
        <c:axId val="4253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425374735"/>
        <c:crosses val="autoZero"/>
        <c:auto val="1"/>
        <c:lblAlgn val="ctr"/>
        <c:lblOffset val="100"/>
        <c:noMultiLvlLbl val="0"/>
      </c:catAx>
      <c:valAx>
        <c:axId val="4253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4253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524446017542734"/>
          <c:y val="0.92675724744933197"/>
          <c:w val="0.53288828734825766"/>
          <c:h val="6.1912644236731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 4'!$A$4</c:f>
              <c:strCache>
                <c:ptCount val="1"/>
                <c:pt idx="0">
                  <c:v>Incertitude</c:v>
                </c:pt>
              </c:strCache>
            </c:strRef>
          </c:tx>
          <c:spPr>
            <a:solidFill>
              <a:srgbClr val="6C005C"/>
            </a:solidFill>
            <a:ln>
              <a:noFill/>
            </a:ln>
            <a:effectLst/>
          </c:spPr>
          <c:invertIfNegative val="0"/>
          <c:cat>
            <c:strRef>
              <c:f>'Graph 4'!$B$5:$B$44</c:f>
              <c:strCache>
                <c:ptCount val="40"/>
                <c:pt idx="0">
                  <c:v>1982/83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 (p)</c:v>
                </c:pt>
                <c:pt idx="33">
                  <c:v>2016 (p)</c:v>
                </c:pt>
                <c:pt idx="34">
                  <c:v>2017 (p)</c:v>
                </c:pt>
                <c:pt idx="35">
                  <c:v>2018 (p)</c:v>
                </c:pt>
                <c:pt idx="36">
                  <c:v>2019 (p)</c:v>
                </c:pt>
                <c:pt idx="37">
                  <c:v>2020 (p)</c:v>
                </c:pt>
                <c:pt idx="38">
                  <c:v>2021 (p)</c:v>
                </c:pt>
                <c:pt idx="39">
                  <c:v>2022 (p)</c:v>
                </c:pt>
              </c:strCache>
            </c:strRef>
          </c:cat>
          <c:val>
            <c:numRef>
              <c:f>'Graph 4'!$A$5:$A$44</c:f>
              <c:numCache>
                <c:formatCode>General</c:formatCode>
                <c:ptCount val="40"/>
                <c:pt idx="32" formatCode="_-* #\ ##0\ _€_-;\-* #\ ##0\ _€_-;_-* &quot;-&quot;??\ _€_-;_-@_-">
                  <c:v>29.745404152049804</c:v>
                </c:pt>
                <c:pt idx="33" formatCode="_-* #\ ##0\ _€_-;\-* #\ ##0\ _€_-;_-* &quot;-&quot;??\ _€_-;_-@_-">
                  <c:v>117.68600375699397</c:v>
                </c:pt>
                <c:pt idx="34" formatCode="_-* #\ ##0\ _€_-;\-* #\ ##0\ _€_-;_-* &quot;-&quot;??\ _€_-;_-@_-">
                  <c:v>204.63307695493771</c:v>
                </c:pt>
                <c:pt idx="35" formatCode="_-* #\ ##0\ _€_-;\-* #\ ##0\ _€_-;_-* &quot;-&quot;??\ _€_-;_-@_-">
                  <c:v>173.6569452514849</c:v>
                </c:pt>
                <c:pt idx="36" formatCode="_-* #\ ##0\ _€_-;\-* #\ ##0\ _€_-;_-* &quot;-&quot;??\ _€_-;_-@_-">
                  <c:v>140.83140119484233</c:v>
                </c:pt>
                <c:pt idx="37" formatCode="_-* #\ ##0\ _€_-;\-* #\ ##0\ _€_-;_-* &quot;-&quot;??\ _€_-;_-@_-">
                  <c:v>161.72671336308085</c:v>
                </c:pt>
                <c:pt idx="38" formatCode="_-* #\ ##0\ _€_-;\-* #\ ##0\ _€_-;_-* &quot;-&quot;??\ _€_-;_-@_-">
                  <c:v>10.429644341585853</c:v>
                </c:pt>
                <c:pt idx="39" formatCode="_-* #\ ##0\ _€_-;\-* #\ ##0\ _€_-;_-* &quot;-&quot;??\ _€_-;_-@_-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5-4E5A-BE0D-413BAD9835EA}"/>
            </c:ext>
          </c:extLst>
        </c:ser>
        <c:ser>
          <c:idx val="2"/>
          <c:order val="1"/>
          <c:tx>
            <c:strRef>
              <c:f>'Graph 4'!$C$4</c:f>
              <c:strCache>
                <c:ptCount val="1"/>
                <c:pt idx="0">
                  <c:v> Inondations </c:v>
                </c:pt>
              </c:strCache>
            </c:strRef>
          </c:tx>
          <c:spPr>
            <a:solidFill>
              <a:srgbClr val="465F9D"/>
            </a:solidFill>
            <a:ln>
              <a:noFill/>
            </a:ln>
            <a:effectLst/>
          </c:spPr>
          <c:invertIfNegative val="0"/>
          <c:cat>
            <c:strRef>
              <c:f>'Graph 4'!$B$5:$B$44</c:f>
              <c:strCache>
                <c:ptCount val="40"/>
                <c:pt idx="0">
                  <c:v>1982/83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 (p)</c:v>
                </c:pt>
                <c:pt idx="33">
                  <c:v>2016 (p)</c:v>
                </c:pt>
                <c:pt idx="34">
                  <c:v>2017 (p)</c:v>
                </c:pt>
                <c:pt idx="35">
                  <c:v>2018 (p)</c:v>
                </c:pt>
                <c:pt idx="36">
                  <c:v>2019 (p)</c:v>
                </c:pt>
                <c:pt idx="37">
                  <c:v>2020 (p)</c:v>
                </c:pt>
                <c:pt idx="38">
                  <c:v>2021 (p)</c:v>
                </c:pt>
                <c:pt idx="39">
                  <c:v>2022 (p)</c:v>
                </c:pt>
              </c:strCache>
            </c:strRef>
          </c:cat>
          <c:val>
            <c:numRef>
              <c:f>'Graph 4'!$C$5:$C$44</c:f>
              <c:numCache>
                <c:formatCode>_(* #\ ##0_);_(* \(#\ ##0\);_(* "-"??_);_(@_)</c:formatCode>
                <c:ptCount val="40"/>
                <c:pt idx="0">
                  <c:v>1446.0265435076676</c:v>
                </c:pt>
                <c:pt idx="1">
                  <c:v>51.579789979167899</c:v>
                </c:pt>
                <c:pt idx="2">
                  <c:v>29.103604524069986</c:v>
                </c:pt>
                <c:pt idx="3">
                  <c:v>109.95657821849531</c:v>
                </c:pt>
                <c:pt idx="4">
                  <c:v>403.57984036373261</c:v>
                </c:pt>
                <c:pt idx="5">
                  <c:v>604.70434381375298</c:v>
                </c:pt>
                <c:pt idx="6">
                  <c:v>66.146461066998782</c:v>
                </c:pt>
                <c:pt idx="7">
                  <c:v>721.98653874708475</c:v>
                </c:pt>
                <c:pt idx="8">
                  <c:v>254.50946822488163</c:v>
                </c:pt>
                <c:pt idx="9">
                  <c:v>1165.9800016169881</c:v>
                </c:pt>
                <c:pt idx="10">
                  <c:v>1782.6758448133198</c:v>
                </c:pt>
                <c:pt idx="11">
                  <c:v>675.24625713981391</c:v>
                </c:pt>
                <c:pt idx="12">
                  <c:v>1250.8235281455341</c:v>
                </c:pt>
                <c:pt idx="13">
                  <c:v>379.33513129056752</c:v>
                </c:pt>
                <c:pt idx="14">
                  <c:v>315.8300110690829</c:v>
                </c:pt>
                <c:pt idx="15">
                  <c:v>259.97226509633919</c:v>
                </c:pt>
                <c:pt idx="16">
                  <c:v>1357.4770316487088</c:v>
                </c:pt>
                <c:pt idx="17">
                  <c:v>601.84148730620495</c:v>
                </c:pt>
                <c:pt idx="18">
                  <c:v>647.34778597459569</c:v>
                </c:pt>
                <c:pt idx="19">
                  <c:v>1495.3837349162875</c:v>
                </c:pt>
                <c:pt idx="20">
                  <c:v>1591.4737960571524</c:v>
                </c:pt>
                <c:pt idx="21">
                  <c:v>27.412671209009954</c:v>
                </c:pt>
                <c:pt idx="22">
                  <c:v>242.91692441818083</c:v>
                </c:pt>
                <c:pt idx="23">
                  <c:v>224.77902988896437</c:v>
                </c:pt>
                <c:pt idx="24">
                  <c:v>197.91324171844747</c:v>
                </c:pt>
                <c:pt idx="25">
                  <c:v>534.54222069189882</c:v>
                </c:pt>
                <c:pt idx="26">
                  <c:v>235.37447665593803</c:v>
                </c:pt>
                <c:pt idx="27">
                  <c:v>1575.0483696944016</c:v>
                </c:pt>
                <c:pt idx="28">
                  <c:v>368.43425891965398</c:v>
                </c:pt>
                <c:pt idx="29">
                  <c:v>213.60139892507473</c:v>
                </c:pt>
                <c:pt idx="30">
                  <c:v>431.7801045474182</c:v>
                </c:pt>
                <c:pt idx="31">
                  <c:v>739.56630133577573</c:v>
                </c:pt>
                <c:pt idx="32">
                  <c:v>681.55690084708976</c:v>
                </c:pt>
                <c:pt idx="33">
                  <c:v>1285.8828649261543</c:v>
                </c:pt>
                <c:pt idx="34">
                  <c:v>90.62172620645778</c:v>
                </c:pt>
                <c:pt idx="35">
                  <c:v>932.85561383092249</c:v>
                </c:pt>
                <c:pt idx="36" formatCode="_-* #\ ##0\ _€_-;\-* #\ ##0\ _€_-;_-* &quot;-&quot;??\ _€_-;_-@_-">
                  <c:v>566.97645336295795</c:v>
                </c:pt>
                <c:pt idx="37">
                  <c:v>408.51395510238012</c:v>
                </c:pt>
                <c:pt idx="38">
                  <c:v>497.60525211086855</c:v>
                </c:pt>
                <c:pt idx="39">
                  <c:v>301.38463354730237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485-4E5A-BE0D-413BAD9835EA}"/>
            </c:ext>
          </c:extLst>
        </c:ser>
        <c:ser>
          <c:idx val="3"/>
          <c:order val="2"/>
          <c:tx>
            <c:strRef>
              <c:f>'Graph 4'!$D$4</c:f>
              <c:strCache>
                <c:ptCount val="1"/>
                <c:pt idx="0">
                  <c:v> Sécheresse </c:v>
                </c:pt>
              </c:strCache>
            </c:strRef>
          </c:tx>
          <c:spPr>
            <a:solidFill>
              <a:srgbClr val="FF732C"/>
            </a:solidFill>
            <a:ln>
              <a:noFill/>
            </a:ln>
            <a:effectLst/>
          </c:spPr>
          <c:invertIfNegative val="0"/>
          <c:cat>
            <c:strRef>
              <c:f>'Graph 4'!$B$5:$B$44</c:f>
              <c:strCache>
                <c:ptCount val="40"/>
                <c:pt idx="0">
                  <c:v>1982/83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 (p)</c:v>
                </c:pt>
                <c:pt idx="33">
                  <c:v>2016 (p)</c:v>
                </c:pt>
                <c:pt idx="34">
                  <c:v>2017 (p)</c:v>
                </c:pt>
                <c:pt idx="35">
                  <c:v>2018 (p)</c:v>
                </c:pt>
                <c:pt idx="36">
                  <c:v>2019 (p)</c:v>
                </c:pt>
                <c:pt idx="37">
                  <c:v>2020 (p)</c:v>
                </c:pt>
                <c:pt idx="38">
                  <c:v>2021 (p)</c:v>
                </c:pt>
                <c:pt idx="39">
                  <c:v>2022 (p)</c:v>
                </c:pt>
              </c:strCache>
            </c:strRef>
          </c:cat>
          <c:val>
            <c:numRef>
              <c:f>'Graph 4'!$D$5:$D$44</c:f>
              <c:numCache>
                <c:formatCode>_(* #\ ##0_);_(* \(#\ ##0\);_(* "-"??_);_(@_)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738.28673717081006</c:v>
                </c:pt>
                <c:pt idx="7">
                  <c:v>1178.363367951516</c:v>
                </c:pt>
                <c:pt idx="8">
                  <c:v>528.17736732711762</c:v>
                </c:pt>
                <c:pt idx="9">
                  <c:v>275.77975836017117</c:v>
                </c:pt>
                <c:pt idx="10">
                  <c:v>259.78070484505866</c:v>
                </c:pt>
                <c:pt idx="11">
                  <c:v>116.76551521532595</c:v>
                </c:pt>
                <c:pt idx="12">
                  <c:v>274.19862205707955</c:v>
                </c:pt>
                <c:pt idx="13">
                  <c:v>918.04216916585358</c:v>
                </c:pt>
                <c:pt idx="14">
                  <c:v>631.88279770708914</c:v>
                </c:pt>
                <c:pt idx="15">
                  <c:v>777.78964750174134</c:v>
                </c:pt>
                <c:pt idx="16">
                  <c:v>149.24874294088502</c:v>
                </c:pt>
                <c:pt idx="17">
                  <c:v>110.45310299464099</c:v>
                </c:pt>
                <c:pt idx="18">
                  <c:v>18.02614410721975</c:v>
                </c:pt>
                <c:pt idx="19">
                  <c:v>401.74742079269993</c:v>
                </c:pt>
                <c:pt idx="20">
                  <c:v>2046.0310759789336</c:v>
                </c:pt>
                <c:pt idx="21">
                  <c:v>55.505939735558961</c:v>
                </c:pt>
                <c:pt idx="22">
                  <c:v>565.94758065794213</c:v>
                </c:pt>
                <c:pt idx="23">
                  <c:v>185.69165138812531</c:v>
                </c:pt>
                <c:pt idx="24">
                  <c:v>267.84061048968584</c:v>
                </c:pt>
                <c:pt idx="25">
                  <c:v>87.076117099872008</c:v>
                </c:pt>
                <c:pt idx="26">
                  <c:v>335.72456520726911</c:v>
                </c:pt>
                <c:pt idx="27">
                  <c:v>52.065309683307021</c:v>
                </c:pt>
                <c:pt idx="28">
                  <c:v>963.57185912728812</c:v>
                </c:pt>
                <c:pt idx="29">
                  <c:v>214.82900778161559</c:v>
                </c:pt>
                <c:pt idx="30">
                  <c:v>10.019834130664851</c:v>
                </c:pt>
                <c:pt idx="31">
                  <c:v>25.886627012790363</c:v>
                </c:pt>
                <c:pt idx="32">
                  <c:v>91.720849441220366</c:v>
                </c:pt>
                <c:pt idx="33">
                  <c:v>1008.7030223670864</c:v>
                </c:pt>
                <c:pt idx="34">
                  <c:v>1235.5771130025489</c:v>
                </c:pt>
                <c:pt idx="35">
                  <c:v>1875.7983724678706</c:v>
                </c:pt>
                <c:pt idx="36" formatCode="_-* #\ ##0\ _€_-;\-* #\ ##0\ _€_-;_-* &quot;-&quot;??\ _€_-;_-@_-">
                  <c:v>1114.9342686003595</c:v>
                </c:pt>
                <c:pt idx="37">
                  <c:v>1258.2949076060916</c:v>
                </c:pt>
                <c:pt idx="38">
                  <c:v>135.52446486528012</c:v>
                </c:pt>
                <c:pt idx="39">
                  <c:v>2864.9520691489711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485-4E5A-BE0D-413BAD9835EA}"/>
            </c:ext>
          </c:extLst>
        </c:ser>
        <c:ser>
          <c:idx val="4"/>
          <c:order val="3"/>
          <c:tx>
            <c:strRef>
              <c:f>'Graph 4'!$E$4</c:f>
              <c:strCache>
                <c:ptCount val="1"/>
                <c:pt idx="0">
                  <c:v> Autres </c:v>
                </c:pt>
              </c:strCache>
            </c:strRef>
          </c:tx>
          <c:spPr>
            <a:solidFill>
              <a:srgbClr val="00A95F"/>
            </a:solidFill>
            <a:ln>
              <a:noFill/>
            </a:ln>
            <a:effectLst/>
          </c:spPr>
          <c:invertIfNegative val="0"/>
          <c:cat>
            <c:strRef>
              <c:f>'Graph 4'!$B$5:$B$44</c:f>
              <c:strCache>
                <c:ptCount val="40"/>
                <c:pt idx="0">
                  <c:v>1982/83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 (p)</c:v>
                </c:pt>
                <c:pt idx="33">
                  <c:v>2016 (p)</c:v>
                </c:pt>
                <c:pt idx="34">
                  <c:v>2017 (p)</c:v>
                </c:pt>
                <c:pt idx="35">
                  <c:v>2018 (p)</c:v>
                </c:pt>
                <c:pt idx="36">
                  <c:v>2019 (p)</c:v>
                </c:pt>
                <c:pt idx="37">
                  <c:v>2020 (p)</c:v>
                </c:pt>
                <c:pt idx="38">
                  <c:v>2021 (p)</c:v>
                </c:pt>
                <c:pt idx="39">
                  <c:v>2022 (p)</c:v>
                </c:pt>
              </c:strCache>
            </c:strRef>
          </c:cat>
          <c:val>
            <c:numRef>
              <c:f>'Graph 4'!$E$5:$E$44</c:f>
              <c:numCache>
                <c:formatCode>_(* #\ ##0_);_(* \(#\ ##0\);_(* "-"??_);_(@_)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21.121168232395728</c:v>
                </c:pt>
                <c:pt idx="7">
                  <c:v>16.0650534434807</c:v>
                </c:pt>
                <c:pt idx="8">
                  <c:v>4.8054674699028324</c:v>
                </c:pt>
                <c:pt idx="9">
                  <c:v>6.1254909084943341</c:v>
                </c:pt>
                <c:pt idx="10">
                  <c:v>11.560273920287646</c:v>
                </c:pt>
                <c:pt idx="11">
                  <c:v>23.916663733918991</c:v>
                </c:pt>
                <c:pt idx="12">
                  <c:v>95.947877280097103</c:v>
                </c:pt>
                <c:pt idx="13">
                  <c:v>144.63911980079996</c:v>
                </c:pt>
                <c:pt idx="14">
                  <c:v>7.7979138163272781</c:v>
                </c:pt>
                <c:pt idx="15">
                  <c:v>20.076668341540032</c:v>
                </c:pt>
                <c:pt idx="16">
                  <c:v>66.221355477002263</c:v>
                </c:pt>
                <c:pt idx="17">
                  <c:v>55.018288896060376</c:v>
                </c:pt>
                <c:pt idx="18">
                  <c:v>60.98244615308824</c:v>
                </c:pt>
                <c:pt idx="19">
                  <c:v>145.91464998841246</c:v>
                </c:pt>
                <c:pt idx="20">
                  <c:v>37.185809345821738</c:v>
                </c:pt>
                <c:pt idx="21">
                  <c:v>103.27493882625585</c:v>
                </c:pt>
                <c:pt idx="22">
                  <c:v>6.2893455629107349</c:v>
                </c:pt>
                <c:pt idx="23">
                  <c:v>2.5522335243270136</c:v>
                </c:pt>
                <c:pt idx="24">
                  <c:v>388.6113247645668</c:v>
                </c:pt>
                <c:pt idx="25">
                  <c:v>28.392519461512062</c:v>
                </c:pt>
                <c:pt idx="26">
                  <c:v>26.78774726511832</c:v>
                </c:pt>
                <c:pt idx="27">
                  <c:v>148.68048979282887</c:v>
                </c:pt>
                <c:pt idx="28">
                  <c:v>14.898202176017602</c:v>
                </c:pt>
                <c:pt idx="29">
                  <c:v>8.5610317710955606</c:v>
                </c:pt>
                <c:pt idx="30">
                  <c:v>37.385667929720476</c:v>
                </c:pt>
                <c:pt idx="31">
                  <c:v>43.819040929512269</c:v>
                </c:pt>
                <c:pt idx="32">
                  <c:v>23.645044392112375</c:v>
                </c:pt>
                <c:pt idx="33">
                  <c:v>34.677834169284466</c:v>
                </c:pt>
                <c:pt idx="34">
                  <c:v>2393.501909110114</c:v>
                </c:pt>
                <c:pt idx="35">
                  <c:v>21.711232242065378</c:v>
                </c:pt>
                <c:pt idx="36" formatCode="_-* #\ ##0\ _€_-;\-* #\ ##0\ _€_-;_-* &quot;-&quot;??\ _€_-;_-@_-">
                  <c:v>326.40860038743693</c:v>
                </c:pt>
                <c:pt idx="37">
                  <c:v>67.822425446790817</c:v>
                </c:pt>
                <c:pt idx="38">
                  <c:v>0.2096186383504334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485-4E5A-BE0D-413BAD98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25368079"/>
        <c:axId val="425374735"/>
      </c:barChart>
      <c:catAx>
        <c:axId val="4253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425374735"/>
        <c:crosses val="autoZero"/>
        <c:auto val="1"/>
        <c:lblAlgn val="ctr"/>
        <c:lblOffset val="100"/>
        <c:noMultiLvlLbl val="0"/>
      </c:catAx>
      <c:valAx>
        <c:axId val="4253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4253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524446017542734"/>
          <c:y val="0.92675724744933197"/>
          <c:w val="0.53288828734825766"/>
          <c:h val="6.1912644236731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'Graph 5'!$B$4</c:f>
              <c:strCache>
                <c:ptCount val="1"/>
                <c:pt idx="0">
                  <c:v>Inondations</c:v>
                </c:pt>
              </c:strCache>
            </c:strRef>
          </c:tx>
          <c:spPr>
            <a:solidFill>
              <a:srgbClr val="417DC4"/>
            </a:solidFill>
            <a:ln>
              <a:noFill/>
            </a:ln>
            <a:effectLst/>
          </c:spPr>
          <c:invertIfNegative val="0"/>
          <c:cat>
            <c:strRef>
              <c:f>'Graph 5'!$A$5:$A$30</c:f>
              <c:strCache>
                <c:ptCount val="26"/>
                <c:pt idx="0">
                  <c:v>Finlande</c:v>
                </c:pt>
                <c:pt idx="1">
                  <c:v>Estonie</c:v>
                </c:pt>
                <c:pt idx="2">
                  <c:v>Lettonie</c:v>
                </c:pt>
                <c:pt idx="3">
                  <c:v>Slovénie</c:v>
                </c:pt>
                <c:pt idx="4">
                  <c:v>Luxembourg</c:v>
                </c:pt>
                <c:pt idx="5">
                  <c:v>Islande</c:v>
                </c:pt>
                <c:pt idx="6">
                  <c:v>Suède</c:v>
                </c:pt>
                <c:pt idx="7">
                  <c:v>Lituanie</c:v>
                </c:pt>
                <c:pt idx="8">
                  <c:v>Danemark</c:v>
                </c:pt>
                <c:pt idx="9">
                  <c:v>Slovaquie</c:v>
                </c:pt>
                <c:pt idx="10">
                  <c:v>Irlande</c:v>
                </c:pt>
                <c:pt idx="11">
                  <c:v>Croatie</c:v>
                </c:pt>
                <c:pt idx="12">
                  <c:v>Hongrie</c:v>
                </c:pt>
                <c:pt idx="13">
                  <c:v>Tchéquie</c:v>
                </c:pt>
                <c:pt idx="14">
                  <c:v>Pays-Bas</c:v>
                </c:pt>
                <c:pt idx="15">
                  <c:v>Bulgarie</c:v>
                </c:pt>
                <c:pt idx="16">
                  <c:v>Autriche</c:v>
                </c:pt>
                <c:pt idx="17">
                  <c:v>Portugal</c:v>
                </c:pt>
                <c:pt idx="18">
                  <c:v>Pologne</c:v>
                </c:pt>
                <c:pt idx="19">
                  <c:v>Belgique</c:v>
                </c:pt>
                <c:pt idx="20">
                  <c:v>Roumanie</c:v>
                </c:pt>
                <c:pt idx="21">
                  <c:v>Grèce</c:v>
                </c:pt>
                <c:pt idx="22">
                  <c:v>Allemagne</c:v>
                </c:pt>
                <c:pt idx="23">
                  <c:v>Espagne</c:v>
                </c:pt>
                <c:pt idx="24">
                  <c:v>Italie</c:v>
                </c:pt>
                <c:pt idx="25">
                  <c:v>France</c:v>
                </c:pt>
              </c:strCache>
            </c:strRef>
          </c:cat>
          <c:val>
            <c:numRef>
              <c:f>'Graph 5'!$B$5:$B$30</c:f>
              <c:numCache>
                <c:formatCode>General</c:formatCode>
                <c:ptCount val="2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14</c:v>
                </c:pt>
                <c:pt idx="10">
                  <c:v>6</c:v>
                </c:pt>
                <c:pt idx="11">
                  <c:v>12</c:v>
                </c:pt>
                <c:pt idx="12">
                  <c:v>16</c:v>
                </c:pt>
                <c:pt idx="13">
                  <c:v>15</c:v>
                </c:pt>
                <c:pt idx="14">
                  <c:v>5</c:v>
                </c:pt>
                <c:pt idx="15">
                  <c:v>21</c:v>
                </c:pt>
                <c:pt idx="16">
                  <c:v>18</c:v>
                </c:pt>
                <c:pt idx="17">
                  <c:v>14</c:v>
                </c:pt>
                <c:pt idx="18">
                  <c:v>16</c:v>
                </c:pt>
                <c:pt idx="19">
                  <c:v>24</c:v>
                </c:pt>
                <c:pt idx="20">
                  <c:v>53</c:v>
                </c:pt>
                <c:pt idx="21">
                  <c:v>28</c:v>
                </c:pt>
                <c:pt idx="22">
                  <c:v>25</c:v>
                </c:pt>
                <c:pt idx="23">
                  <c:v>40</c:v>
                </c:pt>
                <c:pt idx="24">
                  <c:v>53</c:v>
                </c:pt>
                <c:pt idx="2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0-4874-8E89-4CDCEEDB43B5}"/>
            </c:ext>
          </c:extLst>
        </c:ser>
        <c:ser>
          <c:idx val="1"/>
          <c:order val="1"/>
          <c:tx>
            <c:strRef>
              <c:f>'Graph 5'!$C$4</c:f>
              <c:strCache>
                <c:ptCount val="1"/>
                <c:pt idx="0">
                  <c:v>Cyclones et tempêtes</c:v>
                </c:pt>
              </c:strCache>
            </c:strRef>
          </c:tx>
          <c:spPr>
            <a:solidFill>
              <a:srgbClr val="417DC4">
                <a:alpha val="45000"/>
              </a:srgbClr>
            </a:solidFill>
            <a:ln>
              <a:noFill/>
            </a:ln>
            <a:effectLst/>
          </c:spPr>
          <c:invertIfNegative val="0"/>
          <c:cat>
            <c:strRef>
              <c:f>'Graph 5'!$A$5:$A$30</c:f>
              <c:strCache>
                <c:ptCount val="26"/>
                <c:pt idx="0">
                  <c:v>Finlande</c:v>
                </c:pt>
                <c:pt idx="1">
                  <c:v>Estonie</c:v>
                </c:pt>
                <c:pt idx="2">
                  <c:v>Lettonie</c:v>
                </c:pt>
                <c:pt idx="3">
                  <c:v>Slovénie</c:v>
                </c:pt>
                <c:pt idx="4">
                  <c:v>Luxembourg</c:v>
                </c:pt>
                <c:pt idx="5">
                  <c:v>Islande</c:v>
                </c:pt>
                <c:pt idx="6">
                  <c:v>Suède</c:v>
                </c:pt>
                <c:pt idx="7">
                  <c:v>Lituanie</c:v>
                </c:pt>
                <c:pt idx="8">
                  <c:v>Danemark</c:v>
                </c:pt>
                <c:pt idx="9">
                  <c:v>Slovaquie</c:v>
                </c:pt>
                <c:pt idx="10">
                  <c:v>Irlande</c:v>
                </c:pt>
                <c:pt idx="11">
                  <c:v>Croatie</c:v>
                </c:pt>
                <c:pt idx="12">
                  <c:v>Hongrie</c:v>
                </c:pt>
                <c:pt idx="13">
                  <c:v>Tchéquie</c:v>
                </c:pt>
                <c:pt idx="14">
                  <c:v>Pays-Bas</c:v>
                </c:pt>
                <c:pt idx="15">
                  <c:v>Bulgarie</c:v>
                </c:pt>
                <c:pt idx="16">
                  <c:v>Autriche</c:v>
                </c:pt>
                <c:pt idx="17">
                  <c:v>Portugal</c:v>
                </c:pt>
                <c:pt idx="18">
                  <c:v>Pologne</c:v>
                </c:pt>
                <c:pt idx="19">
                  <c:v>Belgique</c:v>
                </c:pt>
                <c:pt idx="20">
                  <c:v>Roumanie</c:v>
                </c:pt>
                <c:pt idx="21">
                  <c:v>Grèce</c:v>
                </c:pt>
                <c:pt idx="22">
                  <c:v>Allemagne</c:v>
                </c:pt>
                <c:pt idx="23">
                  <c:v>Espagne</c:v>
                </c:pt>
                <c:pt idx="24">
                  <c:v>Italie</c:v>
                </c:pt>
                <c:pt idx="25">
                  <c:v>France</c:v>
                </c:pt>
              </c:strCache>
            </c:strRef>
          </c:cat>
          <c:val>
            <c:numRef>
              <c:f>'Graph 5'!$C$5:$C$30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9</c:v>
                </c:pt>
                <c:pt idx="5">
                  <c:v>0</c:v>
                </c:pt>
                <c:pt idx="6">
                  <c:v>8</c:v>
                </c:pt>
                <c:pt idx="7">
                  <c:v>3</c:v>
                </c:pt>
                <c:pt idx="8">
                  <c:v>15</c:v>
                </c:pt>
                <c:pt idx="9">
                  <c:v>3</c:v>
                </c:pt>
                <c:pt idx="10">
                  <c:v>17</c:v>
                </c:pt>
                <c:pt idx="11">
                  <c:v>2</c:v>
                </c:pt>
                <c:pt idx="12">
                  <c:v>8</c:v>
                </c:pt>
                <c:pt idx="13">
                  <c:v>14</c:v>
                </c:pt>
                <c:pt idx="14">
                  <c:v>27</c:v>
                </c:pt>
                <c:pt idx="15">
                  <c:v>6</c:v>
                </c:pt>
                <c:pt idx="16">
                  <c:v>20</c:v>
                </c:pt>
                <c:pt idx="17">
                  <c:v>14</c:v>
                </c:pt>
                <c:pt idx="18">
                  <c:v>23</c:v>
                </c:pt>
                <c:pt idx="19">
                  <c:v>33</c:v>
                </c:pt>
                <c:pt idx="20">
                  <c:v>11</c:v>
                </c:pt>
                <c:pt idx="21">
                  <c:v>9</c:v>
                </c:pt>
                <c:pt idx="22">
                  <c:v>62</c:v>
                </c:pt>
                <c:pt idx="23">
                  <c:v>31</c:v>
                </c:pt>
                <c:pt idx="24">
                  <c:v>30</c:v>
                </c:pt>
                <c:pt idx="2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0-4874-8E89-4CDCEEDB43B5}"/>
            </c:ext>
          </c:extLst>
        </c:ser>
        <c:ser>
          <c:idx val="2"/>
          <c:order val="2"/>
          <c:tx>
            <c:strRef>
              <c:f>'Graph 5'!$D$4</c:f>
              <c:strCache>
                <c:ptCount val="1"/>
                <c:pt idx="0">
                  <c:v>Séismes</c:v>
                </c:pt>
              </c:strCache>
            </c:strRef>
          </c:tx>
          <c:spPr>
            <a:solidFill>
              <a:srgbClr val="FF732C"/>
            </a:solidFill>
            <a:ln>
              <a:noFill/>
            </a:ln>
            <a:effectLst/>
          </c:spPr>
          <c:invertIfNegative val="0"/>
          <c:cat>
            <c:strRef>
              <c:f>'Graph 5'!$A$5:$A$30</c:f>
              <c:strCache>
                <c:ptCount val="26"/>
                <c:pt idx="0">
                  <c:v>Finlande</c:v>
                </c:pt>
                <c:pt idx="1">
                  <c:v>Estonie</c:v>
                </c:pt>
                <c:pt idx="2">
                  <c:v>Lettonie</c:v>
                </c:pt>
                <c:pt idx="3">
                  <c:v>Slovénie</c:v>
                </c:pt>
                <c:pt idx="4">
                  <c:v>Luxembourg</c:v>
                </c:pt>
                <c:pt idx="5">
                  <c:v>Islande</c:v>
                </c:pt>
                <c:pt idx="6">
                  <c:v>Suède</c:v>
                </c:pt>
                <c:pt idx="7">
                  <c:v>Lituanie</c:v>
                </c:pt>
                <c:pt idx="8">
                  <c:v>Danemark</c:v>
                </c:pt>
                <c:pt idx="9">
                  <c:v>Slovaquie</c:v>
                </c:pt>
                <c:pt idx="10">
                  <c:v>Irlande</c:v>
                </c:pt>
                <c:pt idx="11">
                  <c:v>Croatie</c:v>
                </c:pt>
                <c:pt idx="12">
                  <c:v>Hongrie</c:v>
                </c:pt>
                <c:pt idx="13">
                  <c:v>Tchéquie</c:v>
                </c:pt>
                <c:pt idx="14">
                  <c:v>Pays-Bas</c:v>
                </c:pt>
                <c:pt idx="15">
                  <c:v>Bulgarie</c:v>
                </c:pt>
                <c:pt idx="16">
                  <c:v>Autriche</c:v>
                </c:pt>
                <c:pt idx="17">
                  <c:v>Portugal</c:v>
                </c:pt>
                <c:pt idx="18">
                  <c:v>Pologne</c:v>
                </c:pt>
                <c:pt idx="19">
                  <c:v>Belgique</c:v>
                </c:pt>
                <c:pt idx="20">
                  <c:v>Roumanie</c:v>
                </c:pt>
                <c:pt idx="21">
                  <c:v>Grèce</c:v>
                </c:pt>
                <c:pt idx="22">
                  <c:v>Allemagne</c:v>
                </c:pt>
                <c:pt idx="23">
                  <c:v>Espagne</c:v>
                </c:pt>
                <c:pt idx="24">
                  <c:v>Italie</c:v>
                </c:pt>
                <c:pt idx="25">
                  <c:v>France</c:v>
                </c:pt>
              </c:strCache>
            </c:strRef>
          </c:cat>
          <c:val>
            <c:numRef>
              <c:f>'Graph 5'!$D$5:$D$30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6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11</c:v>
                </c:pt>
                <c:pt idx="21">
                  <c:v>44</c:v>
                </c:pt>
                <c:pt idx="22">
                  <c:v>3</c:v>
                </c:pt>
                <c:pt idx="23">
                  <c:v>3</c:v>
                </c:pt>
                <c:pt idx="24">
                  <c:v>43</c:v>
                </c:pt>
                <c:pt idx="2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0-4874-8E89-4CDCEEDB43B5}"/>
            </c:ext>
          </c:extLst>
        </c:ser>
        <c:ser>
          <c:idx val="3"/>
          <c:order val="3"/>
          <c:tx>
            <c:strRef>
              <c:f>'Graph 5'!$E$4</c:f>
              <c:strCache>
                <c:ptCount val="1"/>
                <c:pt idx="0">
                  <c:v>Feux de forêt</c:v>
                </c:pt>
              </c:strCache>
            </c:strRef>
          </c:tx>
          <c:spPr>
            <a:solidFill>
              <a:srgbClr val="68A532"/>
            </a:solidFill>
            <a:ln>
              <a:noFill/>
            </a:ln>
            <a:effectLst/>
          </c:spPr>
          <c:invertIfNegative val="0"/>
          <c:cat>
            <c:strRef>
              <c:f>'Graph 5'!$A$5:$A$30</c:f>
              <c:strCache>
                <c:ptCount val="26"/>
                <c:pt idx="0">
                  <c:v>Finlande</c:v>
                </c:pt>
                <c:pt idx="1">
                  <c:v>Estonie</c:v>
                </c:pt>
                <c:pt idx="2">
                  <c:v>Lettonie</c:v>
                </c:pt>
                <c:pt idx="3">
                  <c:v>Slovénie</c:v>
                </c:pt>
                <c:pt idx="4">
                  <c:v>Luxembourg</c:v>
                </c:pt>
                <c:pt idx="5">
                  <c:v>Islande</c:v>
                </c:pt>
                <c:pt idx="6">
                  <c:v>Suède</c:v>
                </c:pt>
                <c:pt idx="7">
                  <c:v>Lituanie</c:v>
                </c:pt>
                <c:pt idx="8">
                  <c:v>Danemark</c:v>
                </c:pt>
                <c:pt idx="9">
                  <c:v>Slovaquie</c:v>
                </c:pt>
                <c:pt idx="10">
                  <c:v>Irlande</c:v>
                </c:pt>
                <c:pt idx="11">
                  <c:v>Croatie</c:v>
                </c:pt>
                <c:pt idx="12">
                  <c:v>Hongrie</c:v>
                </c:pt>
                <c:pt idx="13">
                  <c:v>Tchéquie</c:v>
                </c:pt>
                <c:pt idx="14">
                  <c:v>Pays-Bas</c:v>
                </c:pt>
                <c:pt idx="15">
                  <c:v>Bulgarie</c:v>
                </c:pt>
                <c:pt idx="16">
                  <c:v>Autriche</c:v>
                </c:pt>
                <c:pt idx="17">
                  <c:v>Portugal</c:v>
                </c:pt>
                <c:pt idx="18">
                  <c:v>Pologne</c:v>
                </c:pt>
                <c:pt idx="19">
                  <c:v>Belgique</c:v>
                </c:pt>
                <c:pt idx="20">
                  <c:v>Roumanie</c:v>
                </c:pt>
                <c:pt idx="21">
                  <c:v>Grèce</c:v>
                </c:pt>
                <c:pt idx="22">
                  <c:v>Allemagne</c:v>
                </c:pt>
                <c:pt idx="23">
                  <c:v>Espagne</c:v>
                </c:pt>
                <c:pt idx="24">
                  <c:v>Italie</c:v>
                </c:pt>
                <c:pt idx="25">
                  <c:v>France</c:v>
                </c:pt>
              </c:strCache>
            </c:strRef>
          </c:cat>
          <c:val>
            <c:numRef>
              <c:f>'Graph 5'!$E$5:$E$30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14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15</c:v>
                </c:pt>
                <c:pt idx="22">
                  <c:v>1</c:v>
                </c:pt>
                <c:pt idx="23">
                  <c:v>18</c:v>
                </c:pt>
                <c:pt idx="24">
                  <c:v>8</c:v>
                </c:pt>
                <c:pt idx="2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80-4874-8E89-4CDCEEDB43B5}"/>
            </c:ext>
          </c:extLst>
        </c:ser>
        <c:ser>
          <c:idx val="4"/>
          <c:order val="4"/>
          <c:tx>
            <c:strRef>
              <c:f>'Graph 5'!$F$4</c:f>
              <c:strCache>
                <c:ptCount val="1"/>
                <c:pt idx="0">
                  <c:v>Glissements et mouvements de terrain</c:v>
                </c:pt>
              </c:strCache>
            </c:strRef>
          </c:tx>
          <c:spPr>
            <a:solidFill>
              <a:srgbClr val="755348"/>
            </a:solidFill>
            <a:ln>
              <a:noFill/>
            </a:ln>
            <a:effectLst/>
          </c:spPr>
          <c:invertIfNegative val="0"/>
          <c:cat>
            <c:strRef>
              <c:f>'Graph 5'!$A$5:$A$30</c:f>
              <c:strCache>
                <c:ptCount val="26"/>
                <c:pt idx="0">
                  <c:v>Finlande</c:v>
                </c:pt>
                <c:pt idx="1">
                  <c:v>Estonie</c:v>
                </c:pt>
                <c:pt idx="2">
                  <c:v>Lettonie</c:v>
                </c:pt>
                <c:pt idx="3">
                  <c:v>Slovénie</c:v>
                </c:pt>
                <c:pt idx="4">
                  <c:v>Luxembourg</c:v>
                </c:pt>
                <c:pt idx="5">
                  <c:v>Islande</c:v>
                </c:pt>
                <c:pt idx="6">
                  <c:v>Suède</c:v>
                </c:pt>
                <c:pt idx="7">
                  <c:v>Lituanie</c:v>
                </c:pt>
                <c:pt idx="8">
                  <c:v>Danemark</c:v>
                </c:pt>
                <c:pt idx="9">
                  <c:v>Slovaquie</c:v>
                </c:pt>
                <c:pt idx="10">
                  <c:v>Irlande</c:v>
                </c:pt>
                <c:pt idx="11">
                  <c:v>Croatie</c:v>
                </c:pt>
                <c:pt idx="12">
                  <c:v>Hongrie</c:v>
                </c:pt>
                <c:pt idx="13">
                  <c:v>Tchéquie</c:v>
                </c:pt>
                <c:pt idx="14">
                  <c:v>Pays-Bas</c:v>
                </c:pt>
                <c:pt idx="15">
                  <c:v>Bulgarie</c:v>
                </c:pt>
                <c:pt idx="16">
                  <c:v>Autriche</c:v>
                </c:pt>
                <c:pt idx="17">
                  <c:v>Portugal</c:v>
                </c:pt>
                <c:pt idx="18">
                  <c:v>Pologne</c:v>
                </c:pt>
                <c:pt idx="19">
                  <c:v>Belgique</c:v>
                </c:pt>
                <c:pt idx="20">
                  <c:v>Roumanie</c:v>
                </c:pt>
                <c:pt idx="21">
                  <c:v>Grèce</c:v>
                </c:pt>
                <c:pt idx="22">
                  <c:v>Allemagne</c:v>
                </c:pt>
                <c:pt idx="23">
                  <c:v>Espagne</c:v>
                </c:pt>
                <c:pt idx="24">
                  <c:v>Italie</c:v>
                </c:pt>
                <c:pt idx="25">
                  <c:v>France</c:v>
                </c:pt>
              </c:strCache>
            </c:strRef>
          </c:cat>
          <c:val>
            <c:numRef>
              <c:f>'Graph 5'!$F$5:$F$30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8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16</c:v>
                </c:pt>
                <c:pt idx="2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80-4874-8E89-4CDCEEDB43B5}"/>
            </c:ext>
          </c:extLst>
        </c:ser>
        <c:ser>
          <c:idx val="5"/>
          <c:order val="5"/>
          <c:tx>
            <c:strRef>
              <c:f>'Graph 5'!$G$4</c:f>
              <c:strCache>
                <c:ptCount val="1"/>
                <c:pt idx="0">
                  <c:v>Autres</c:v>
                </c:pt>
              </c:strCache>
            </c:strRef>
          </c:tx>
          <c:spPr>
            <a:solidFill>
              <a:srgbClr val="D8C634"/>
            </a:solidFill>
            <a:ln>
              <a:noFill/>
            </a:ln>
            <a:effectLst/>
          </c:spPr>
          <c:invertIfNegative val="0"/>
          <c:cat>
            <c:strRef>
              <c:f>'Graph 5'!$A$5:$A$30</c:f>
              <c:strCache>
                <c:ptCount val="26"/>
                <c:pt idx="0">
                  <c:v>Finlande</c:v>
                </c:pt>
                <c:pt idx="1">
                  <c:v>Estonie</c:v>
                </c:pt>
                <c:pt idx="2">
                  <c:v>Lettonie</c:v>
                </c:pt>
                <c:pt idx="3">
                  <c:v>Slovénie</c:v>
                </c:pt>
                <c:pt idx="4">
                  <c:v>Luxembourg</c:v>
                </c:pt>
                <c:pt idx="5">
                  <c:v>Islande</c:v>
                </c:pt>
                <c:pt idx="6">
                  <c:v>Suède</c:v>
                </c:pt>
                <c:pt idx="7">
                  <c:v>Lituanie</c:v>
                </c:pt>
                <c:pt idx="8">
                  <c:v>Danemark</c:v>
                </c:pt>
                <c:pt idx="9">
                  <c:v>Slovaquie</c:v>
                </c:pt>
                <c:pt idx="10">
                  <c:v>Irlande</c:v>
                </c:pt>
                <c:pt idx="11">
                  <c:v>Croatie</c:v>
                </c:pt>
                <c:pt idx="12">
                  <c:v>Hongrie</c:v>
                </c:pt>
                <c:pt idx="13">
                  <c:v>Tchéquie</c:v>
                </c:pt>
                <c:pt idx="14">
                  <c:v>Pays-Bas</c:v>
                </c:pt>
                <c:pt idx="15">
                  <c:v>Bulgarie</c:v>
                </c:pt>
                <c:pt idx="16">
                  <c:v>Autriche</c:v>
                </c:pt>
                <c:pt idx="17">
                  <c:v>Portugal</c:v>
                </c:pt>
                <c:pt idx="18">
                  <c:v>Pologne</c:v>
                </c:pt>
                <c:pt idx="19">
                  <c:v>Belgique</c:v>
                </c:pt>
                <c:pt idx="20">
                  <c:v>Roumanie</c:v>
                </c:pt>
                <c:pt idx="21">
                  <c:v>Grèce</c:v>
                </c:pt>
                <c:pt idx="22">
                  <c:v>Allemagne</c:v>
                </c:pt>
                <c:pt idx="23">
                  <c:v>Espagne</c:v>
                </c:pt>
                <c:pt idx="24">
                  <c:v>Italie</c:v>
                </c:pt>
                <c:pt idx="25">
                  <c:v>France</c:v>
                </c:pt>
              </c:strCache>
            </c:strRef>
          </c:cat>
          <c:val>
            <c:numRef>
              <c:f>'Graph 5'!$G$5:$G$30</c:f>
              <c:numCache>
                <c:formatCode>General</c:formatCode>
                <c:ptCount val="26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9</c:v>
                </c:pt>
                <c:pt idx="8">
                  <c:v>1</c:v>
                </c:pt>
                <c:pt idx="9">
                  <c:v>5</c:v>
                </c:pt>
                <c:pt idx="10">
                  <c:v>0</c:v>
                </c:pt>
                <c:pt idx="11">
                  <c:v>7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11</c:v>
                </c:pt>
                <c:pt idx="16">
                  <c:v>6</c:v>
                </c:pt>
                <c:pt idx="17">
                  <c:v>9</c:v>
                </c:pt>
                <c:pt idx="18">
                  <c:v>20</c:v>
                </c:pt>
                <c:pt idx="19">
                  <c:v>15</c:v>
                </c:pt>
                <c:pt idx="20">
                  <c:v>22</c:v>
                </c:pt>
                <c:pt idx="21">
                  <c:v>9</c:v>
                </c:pt>
                <c:pt idx="22">
                  <c:v>14</c:v>
                </c:pt>
                <c:pt idx="23">
                  <c:v>16</c:v>
                </c:pt>
                <c:pt idx="24">
                  <c:v>21</c:v>
                </c:pt>
                <c:pt idx="2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80-4874-8E89-4CDCEEDB43B5}"/>
            </c:ext>
          </c:extLst>
        </c:ser>
        <c:ser>
          <c:idx val="6"/>
          <c:order val="6"/>
          <c:tx>
            <c:strRef>
              <c:f>'Graph 5'!$H$4</c:f>
              <c:strCache>
                <c:ptCount val="1"/>
                <c:pt idx="0">
                  <c:v>Ensemble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5'!$A$5:$A$30</c:f>
              <c:strCache>
                <c:ptCount val="26"/>
                <c:pt idx="0">
                  <c:v>Finlande</c:v>
                </c:pt>
                <c:pt idx="1">
                  <c:v>Estonie</c:v>
                </c:pt>
                <c:pt idx="2">
                  <c:v>Lettonie</c:v>
                </c:pt>
                <c:pt idx="3">
                  <c:v>Slovénie</c:v>
                </c:pt>
                <c:pt idx="4">
                  <c:v>Luxembourg</c:v>
                </c:pt>
                <c:pt idx="5">
                  <c:v>Islande</c:v>
                </c:pt>
                <c:pt idx="6">
                  <c:v>Suède</c:v>
                </c:pt>
                <c:pt idx="7">
                  <c:v>Lituanie</c:v>
                </c:pt>
                <c:pt idx="8">
                  <c:v>Danemark</c:v>
                </c:pt>
                <c:pt idx="9">
                  <c:v>Slovaquie</c:v>
                </c:pt>
                <c:pt idx="10">
                  <c:v>Irlande</c:v>
                </c:pt>
                <c:pt idx="11">
                  <c:v>Croatie</c:v>
                </c:pt>
                <c:pt idx="12">
                  <c:v>Hongrie</c:v>
                </c:pt>
                <c:pt idx="13">
                  <c:v>Tchéquie</c:v>
                </c:pt>
                <c:pt idx="14">
                  <c:v>Pays-Bas</c:v>
                </c:pt>
                <c:pt idx="15">
                  <c:v>Bulgarie</c:v>
                </c:pt>
                <c:pt idx="16">
                  <c:v>Autriche</c:v>
                </c:pt>
                <c:pt idx="17">
                  <c:v>Portugal</c:v>
                </c:pt>
                <c:pt idx="18">
                  <c:v>Pologne</c:v>
                </c:pt>
                <c:pt idx="19">
                  <c:v>Belgique</c:v>
                </c:pt>
                <c:pt idx="20">
                  <c:v>Roumanie</c:v>
                </c:pt>
                <c:pt idx="21">
                  <c:v>Grèce</c:v>
                </c:pt>
                <c:pt idx="22">
                  <c:v>Allemagne</c:v>
                </c:pt>
                <c:pt idx="23">
                  <c:v>Espagne</c:v>
                </c:pt>
                <c:pt idx="24">
                  <c:v>Italie</c:v>
                </c:pt>
                <c:pt idx="25">
                  <c:v>France</c:v>
                </c:pt>
              </c:strCache>
            </c:strRef>
          </c:cat>
          <c:val>
            <c:numRef>
              <c:f>'Graph 5'!$H$5:$H$30</c:f>
              <c:numCache>
                <c:formatCode>General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  <c:pt idx="4">
                  <c:v>13</c:v>
                </c:pt>
                <c:pt idx="5">
                  <c:v>13</c:v>
                </c:pt>
                <c:pt idx="6">
                  <c:v>14</c:v>
                </c:pt>
                <c:pt idx="7">
                  <c:v>14</c:v>
                </c:pt>
                <c:pt idx="8">
                  <c:v>16</c:v>
                </c:pt>
                <c:pt idx="9">
                  <c:v>23</c:v>
                </c:pt>
                <c:pt idx="10">
                  <c:v>23</c:v>
                </c:pt>
                <c:pt idx="11">
                  <c:v>30</c:v>
                </c:pt>
                <c:pt idx="12">
                  <c:v>34</c:v>
                </c:pt>
                <c:pt idx="13">
                  <c:v>40</c:v>
                </c:pt>
                <c:pt idx="14">
                  <c:v>41</c:v>
                </c:pt>
                <c:pt idx="15">
                  <c:v>50</c:v>
                </c:pt>
                <c:pt idx="16">
                  <c:v>53</c:v>
                </c:pt>
                <c:pt idx="17">
                  <c:v>57</c:v>
                </c:pt>
                <c:pt idx="18">
                  <c:v>62</c:v>
                </c:pt>
                <c:pt idx="19">
                  <c:v>74</c:v>
                </c:pt>
                <c:pt idx="20">
                  <c:v>98</c:v>
                </c:pt>
                <c:pt idx="21">
                  <c:v>105</c:v>
                </c:pt>
                <c:pt idx="22">
                  <c:v>106</c:v>
                </c:pt>
                <c:pt idx="23">
                  <c:v>109</c:v>
                </c:pt>
                <c:pt idx="24">
                  <c:v>171</c:v>
                </c:pt>
                <c:pt idx="25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80-4874-8E89-4CDCEEDB4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619980783"/>
        <c:axId val="619982447"/>
      </c:barChart>
      <c:catAx>
        <c:axId val="619980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fr-FR"/>
          </a:p>
        </c:txPr>
        <c:crossAx val="619982447"/>
        <c:crosses val="autoZero"/>
        <c:auto val="1"/>
        <c:lblAlgn val="ctr"/>
        <c:lblOffset val="100"/>
        <c:noMultiLvlLbl val="0"/>
      </c:catAx>
      <c:valAx>
        <c:axId val="61998244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fr-FR"/>
          </a:p>
        </c:txPr>
        <c:crossAx val="61998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fr-FR"/>
          </a:p>
        </c:txPr>
      </c:legendEntry>
      <c:layout>
        <c:manualLayout>
          <c:xMode val="edge"/>
          <c:yMode val="edge"/>
          <c:x val="0.23404863730826797"/>
          <c:y val="0.95534216833841146"/>
          <c:w val="0.70318291957982615"/>
          <c:h val="3.5179117964862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761999</xdr:colOff>
      <xdr:row>6</xdr:row>
      <xdr:rowOff>161924</xdr:rowOff>
    </xdr:from>
    <xdr:to>
      <xdr:col>14</xdr:col>
      <xdr:colOff>123824</xdr:colOff>
      <xdr:row>22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0.01988</cdr:x>
      <cdr:y>0.80941</cdr:y>
    </cdr:from>
    <cdr:to>
      <cdr:x>1</cdr:x>
      <cdr:y>1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123651" y="3114691"/>
          <a:ext cx="6096174" cy="7334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endParaRPr lang="fr-FR" sz="1000" i="1">
            <a:effectLst/>
            <a:latin typeface="Marianne" panose="02000000000000000000" pitchFamily="50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0.03336</cdr:x>
      <cdr:y>0.01451</cdr:y>
    </cdr:from>
    <cdr:to>
      <cdr:x>0.96664</cdr:x>
      <cdr:y>0.21196</cdr:y>
    </cdr:to>
    <cdr:sp macro="" textlink="">
      <cdr:nvSpPr>
        <cdr:cNvPr id="3" name="ZoneTexte 2"/>
        <cdr:cNvSpPr txBox="1"/>
      </cdr:nvSpPr>
      <cdr:spPr>
        <a:xfrm xmlns:a="http://schemas.openxmlformats.org/drawingml/2006/main">
          <a:off x="207493" y="50859"/>
          <a:ext cx="5804839" cy="692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endParaRPr lang="fr-FR" sz="1400" b="1">
            <a:latin typeface="Marianne" panose="02000000000000000000" pitchFamily="50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16</xdr:row>
      <xdr:rowOff>127000</xdr:rowOff>
    </xdr:from>
    <xdr:to>
      <xdr:col>4</xdr:col>
      <xdr:colOff>539750</xdr:colOff>
      <xdr:row>29</xdr:row>
      <xdr:rowOff>88900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13</xdr:row>
      <xdr:rowOff>120650</xdr:rowOff>
    </xdr:from>
    <xdr:to>
      <xdr:col>2</xdr:col>
      <xdr:colOff>214630</xdr:colOff>
      <xdr:row>16</xdr:row>
      <xdr:rowOff>91440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AF61E83-6891-019C-FD04-B0D2255A0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0.26504</cdr:y>
    </cdr:from>
    <cdr:to>
      <cdr:x>0.17991</cdr:x>
      <cdr:y>0.47566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0" y="372114"/>
          <a:ext cx="564399" cy="2957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Risques sismiques</a:t>
          </a:r>
        </a:p>
      </cdr:txBody>
    </cdr:sp>
  </cdr:relSizeAnchor>
  <cdr:relSizeAnchor xmlns:cdr="http://schemas.openxmlformats.org/drawingml/2006/chartDrawing">
    <cdr:from>
      <cdr:x>0</cdr:x>
      <cdr:y>0.50398</cdr:y>
    </cdr:from>
    <cdr:to>
      <cdr:x>0.21067</cdr:x>
      <cdr:y>0.7146</cdr:y>
    </cdr:to>
    <cdr:sp macro="" textlink="">
      <cdr:nvSpPr>
        <cdr:cNvPr id="3" name="ZoneTexte 1"/>
        <cdr:cNvSpPr txBox="1"/>
      </cdr:nvSpPr>
      <cdr:spPr>
        <a:xfrm xmlns:a="http://schemas.openxmlformats.org/drawingml/2006/main">
          <a:off x="0" y="707589"/>
          <a:ext cx="660894" cy="2957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800">
              <a:latin typeface="Arial" panose="020B0604020202020204" pitchFamily="34" charset="0"/>
              <a:cs typeface="Arial" panose="020B0604020202020204" pitchFamily="34" charset="0"/>
            </a:rPr>
            <a:t>Risques d'inondation</a:t>
          </a:r>
        </a:p>
      </cdr:txBody>
    </cdr:sp>
  </cdr:relSizeAnchor>
  <cdr:relSizeAnchor xmlns:cdr="http://schemas.openxmlformats.org/drawingml/2006/chartDrawing">
    <cdr:from>
      <cdr:x>0.19975</cdr:x>
      <cdr:y>0.25839</cdr:y>
    </cdr:from>
    <cdr:to>
      <cdr:x>0.19975</cdr:x>
      <cdr:y>0.47566</cdr:y>
    </cdr:to>
    <cdr:cxnSp macro="">
      <cdr:nvCxnSpPr>
        <cdr:cNvPr id="5" name="Connecteur droit 4">
          <a:extLst xmlns:a="http://schemas.openxmlformats.org/drawingml/2006/main">
            <a:ext uri="{FF2B5EF4-FFF2-40B4-BE49-F238E27FC236}">
              <a16:creationId xmlns:a16="http://schemas.microsoft.com/office/drawing/2014/main" id="{B138DAE6-34D5-40A1-9AFD-4A2F72FB41CD}"/>
            </a:ext>
          </a:extLst>
        </cdr:cNvPr>
        <cdr:cNvCxnSpPr/>
      </cdr:nvCxnSpPr>
      <cdr:spPr>
        <a:xfrm xmlns:a="http://schemas.openxmlformats.org/drawingml/2006/main">
          <a:off x="626654" y="362776"/>
          <a:ext cx="0" cy="30504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0.20007</cdr:x>
      <cdr:y>0.50741</cdr:y>
    </cdr:from>
    <cdr:to>
      <cdr:x>0.20007</cdr:x>
      <cdr:y>0.72468</cdr:y>
    </cdr:to>
    <cdr:cxnSp macro="">
      <cdr:nvCxnSpPr>
        <cdr:cNvPr id="6" name="Connecteur droit 5">
          <a:extLst xmlns:a="http://schemas.openxmlformats.org/drawingml/2006/main">
            <a:ext uri="{FF2B5EF4-FFF2-40B4-BE49-F238E27FC236}">
              <a16:creationId xmlns:a16="http://schemas.microsoft.com/office/drawing/2014/main" id="{5571D1D3-E257-4671-BE46-2482D5D69F75}"/>
            </a:ext>
          </a:extLst>
        </cdr:cNvPr>
        <cdr:cNvCxnSpPr/>
      </cdr:nvCxnSpPr>
      <cdr:spPr>
        <a:xfrm xmlns:a="http://schemas.openxmlformats.org/drawingml/2006/main">
          <a:off x="627650" y="712400"/>
          <a:ext cx="0" cy="30504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174625</xdr:rowOff>
    </xdr:from>
    <xdr:to>
      <xdr:col>11</xdr:col>
      <xdr:colOff>555624</xdr:colOff>
      <xdr:row>80</xdr:row>
      <xdr:rowOff>98426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54</xdr:row>
      <xdr:rowOff>88900</xdr:rowOff>
    </xdr:from>
    <xdr:to>
      <xdr:col>11</xdr:col>
      <xdr:colOff>708024</xdr:colOff>
      <xdr:row>81</xdr:row>
      <xdr:rowOff>68263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9B72DA3-536C-4CD5-BF83-8AD042F88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299085</xdr:colOff>
      <xdr:row>2</xdr:row>
      <xdr:rowOff>7619</xdr:rowOff>
    </xdr:from>
    <xdr:to>
      <xdr:col>21</xdr:col>
      <xdr:colOff>784859</xdr:colOff>
      <xdr:row>31</xdr:row>
      <xdr:rowOff>26670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letravail_2\2_RISQUES_NATURELS\publications\2020_datalab_CC_RN\data\bdmvt\BDMVT_MVT_Total_stat_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_MVT"/>
      <sheetName val="Feuil2"/>
      <sheetName val="LEX_TYPE"/>
      <sheetName val="LEX_FIABILITE"/>
      <sheetName val="LEX_PRECISION_DATE"/>
      <sheetName val="LEX_TYPE_COORD"/>
      <sheetName val="LEX_PRECISION_XYZ"/>
      <sheetName val="QUAL_RECUEIL"/>
      <sheetName val="QUAL_SAISIE"/>
      <sheetName val="QUAL_VALIDATION"/>
      <sheetName val="LEX_OUI-NON"/>
      <sheetName val="Feuil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showGridLines="0" tabSelected="1" workbookViewId="0">
      <selection activeCell="G25" sqref="G25"/>
    </sheetView>
  </sheetViews>
  <sheetFormatPr baseColWidth="10" defaultColWidth="11.44140625" defaultRowHeight="13.2" x14ac:dyDescent="0.25"/>
  <cols>
    <col min="1" max="1" width="11.44140625" style="2"/>
    <col min="2" max="2" width="18.21875" style="2" bestFit="1" customWidth="1"/>
    <col min="3" max="3" width="11.5546875" style="2" bestFit="1" customWidth="1"/>
    <col min="4" max="16384" width="11.44140625" style="2"/>
  </cols>
  <sheetData>
    <row r="1" spans="1:14" ht="15.6" x14ac:dyDescent="0.3">
      <c r="A1" s="1" t="s">
        <v>66</v>
      </c>
    </row>
    <row r="2" spans="1:14" x14ac:dyDescent="0.25">
      <c r="A2" s="3" t="s">
        <v>2</v>
      </c>
    </row>
    <row r="3" spans="1:14" ht="14.4" x14ac:dyDescent="0.25">
      <c r="A3" s="4"/>
    </row>
    <row r="4" spans="1:14" s="6" customFormat="1" x14ac:dyDescent="0.25">
      <c r="A4" s="5" t="s">
        <v>3</v>
      </c>
      <c r="B4" s="5" t="s">
        <v>72</v>
      </c>
      <c r="C4" s="5" t="s">
        <v>1</v>
      </c>
      <c r="D4" s="5" t="s">
        <v>8</v>
      </c>
      <c r="E4" s="5" t="s">
        <v>9</v>
      </c>
    </row>
    <row r="5" spans="1:14" ht="37.5" customHeight="1" x14ac:dyDescent="0.25">
      <c r="A5" s="7">
        <v>1950</v>
      </c>
      <c r="B5" s="8">
        <v>1</v>
      </c>
      <c r="C5" s="8">
        <v>0</v>
      </c>
      <c r="D5" s="13">
        <f>SUM(B5:C5)</f>
        <v>1</v>
      </c>
      <c r="E5" s="73">
        <f>AVERAGE(D5:D55)</f>
        <v>1.1764705882352942</v>
      </c>
      <c r="G5" s="75" t="s">
        <v>70</v>
      </c>
      <c r="H5" s="75"/>
      <c r="I5" s="75"/>
      <c r="J5" s="75"/>
      <c r="K5" s="75"/>
      <c r="L5" s="75"/>
      <c r="M5" s="75"/>
      <c r="N5" s="75"/>
    </row>
    <row r="6" spans="1:14" x14ac:dyDescent="0.25">
      <c r="A6" s="7">
        <v>1951</v>
      </c>
      <c r="B6" s="8">
        <v>1</v>
      </c>
      <c r="C6" s="8">
        <v>0</v>
      </c>
      <c r="D6" s="13">
        <f t="shared" ref="D6:D69" si="0">SUM(B6:C6)</f>
        <v>1</v>
      </c>
      <c r="E6" s="73"/>
      <c r="G6" s="52" t="s">
        <v>71</v>
      </c>
    </row>
    <row r="7" spans="1:14" x14ac:dyDescent="0.25">
      <c r="A7" s="7">
        <v>1952</v>
      </c>
      <c r="B7" s="8">
        <v>0</v>
      </c>
      <c r="C7" s="8">
        <v>0</v>
      </c>
      <c r="D7" s="13">
        <f t="shared" si="0"/>
        <v>0</v>
      </c>
      <c r="E7" s="73"/>
    </row>
    <row r="8" spans="1:14" x14ac:dyDescent="0.25">
      <c r="A8" s="7">
        <v>1953</v>
      </c>
      <c r="B8" s="8">
        <v>0</v>
      </c>
      <c r="C8" s="8">
        <v>0</v>
      </c>
      <c r="D8" s="13">
        <f t="shared" si="0"/>
        <v>0</v>
      </c>
      <c r="E8" s="73"/>
    </row>
    <row r="9" spans="1:14" x14ac:dyDescent="0.25">
      <c r="A9" s="7">
        <v>1954</v>
      </c>
      <c r="B9" s="8">
        <v>0</v>
      </c>
      <c r="C9" s="8">
        <v>0</v>
      </c>
      <c r="D9" s="13">
        <f t="shared" si="0"/>
        <v>0</v>
      </c>
      <c r="E9" s="73"/>
    </row>
    <row r="10" spans="1:14" x14ac:dyDescent="0.25">
      <c r="A10" s="7">
        <v>1955</v>
      </c>
      <c r="B10" s="8">
        <v>0</v>
      </c>
      <c r="C10" s="8">
        <v>0</v>
      </c>
      <c r="D10" s="13">
        <f t="shared" si="0"/>
        <v>0</v>
      </c>
      <c r="E10" s="73"/>
    </row>
    <row r="11" spans="1:14" x14ac:dyDescent="0.25">
      <c r="A11" s="7">
        <v>1956</v>
      </c>
      <c r="B11" s="8">
        <v>0</v>
      </c>
      <c r="C11" s="8">
        <v>0</v>
      </c>
      <c r="D11" s="13">
        <f t="shared" si="0"/>
        <v>0</v>
      </c>
      <c r="E11" s="73"/>
    </row>
    <row r="12" spans="1:14" x14ac:dyDescent="0.25">
      <c r="A12" s="7">
        <v>1957</v>
      </c>
      <c r="B12" s="8">
        <v>0</v>
      </c>
      <c r="C12" s="8">
        <v>1</v>
      </c>
      <c r="D12" s="13">
        <f t="shared" si="0"/>
        <v>1</v>
      </c>
      <c r="E12" s="73"/>
    </row>
    <row r="13" spans="1:14" x14ac:dyDescent="0.25">
      <c r="A13" s="7">
        <v>1958</v>
      </c>
      <c r="B13" s="8">
        <v>0</v>
      </c>
      <c r="C13" s="8">
        <v>1</v>
      </c>
      <c r="D13" s="13">
        <f t="shared" si="0"/>
        <v>1</v>
      </c>
      <c r="E13" s="73"/>
    </row>
    <row r="14" spans="1:14" x14ac:dyDescent="0.25">
      <c r="A14" s="7">
        <v>1959</v>
      </c>
      <c r="B14" s="8">
        <v>1</v>
      </c>
      <c r="C14" s="8">
        <v>0</v>
      </c>
      <c r="D14" s="13">
        <f t="shared" si="0"/>
        <v>1</v>
      </c>
      <c r="E14" s="73"/>
    </row>
    <row r="15" spans="1:14" x14ac:dyDescent="0.25">
      <c r="A15" s="7">
        <v>1960</v>
      </c>
      <c r="B15" s="8">
        <v>0</v>
      </c>
      <c r="C15" s="8">
        <v>0</v>
      </c>
      <c r="D15" s="13">
        <f t="shared" si="0"/>
        <v>0</v>
      </c>
      <c r="E15" s="73"/>
    </row>
    <row r="16" spans="1:14" x14ac:dyDescent="0.25">
      <c r="A16" s="7">
        <v>1961</v>
      </c>
      <c r="B16" s="8">
        <v>1</v>
      </c>
      <c r="C16" s="8">
        <v>0</v>
      </c>
      <c r="D16" s="13">
        <f t="shared" si="0"/>
        <v>1</v>
      </c>
      <c r="E16" s="73"/>
    </row>
    <row r="17" spans="1:14" x14ac:dyDescent="0.25">
      <c r="A17" s="7">
        <v>1962</v>
      </c>
      <c r="B17" s="8">
        <v>1</v>
      </c>
      <c r="C17" s="8">
        <v>0</v>
      </c>
      <c r="D17" s="13">
        <f t="shared" si="0"/>
        <v>1</v>
      </c>
      <c r="E17" s="73"/>
    </row>
    <row r="18" spans="1:14" x14ac:dyDescent="0.25">
      <c r="A18" s="7">
        <v>1963</v>
      </c>
      <c r="B18" s="8">
        <v>1</v>
      </c>
      <c r="C18" s="8">
        <v>0</v>
      </c>
      <c r="D18" s="13">
        <f t="shared" si="0"/>
        <v>1</v>
      </c>
      <c r="E18" s="73"/>
    </row>
    <row r="19" spans="1:14" x14ac:dyDescent="0.25">
      <c r="A19" s="7">
        <v>1964</v>
      </c>
      <c r="B19" s="8">
        <v>1</v>
      </c>
      <c r="C19" s="8">
        <v>0</v>
      </c>
      <c r="D19" s="13">
        <f t="shared" si="0"/>
        <v>1</v>
      </c>
      <c r="E19" s="73"/>
    </row>
    <row r="20" spans="1:14" x14ac:dyDescent="0.25">
      <c r="A20" s="7">
        <v>1965</v>
      </c>
      <c r="B20" s="8">
        <v>0</v>
      </c>
      <c r="C20" s="8">
        <v>1</v>
      </c>
      <c r="D20" s="13">
        <f t="shared" si="0"/>
        <v>1</v>
      </c>
      <c r="E20" s="73"/>
    </row>
    <row r="21" spans="1:14" x14ac:dyDescent="0.25">
      <c r="A21" s="7">
        <v>1966</v>
      </c>
      <c r="B21" s="8">
        <v>1</v>
      </c>
      <c r="C21" s="8">
        <v>0</v>
      </c>
      <c r="D21" s="13">
        <f t="shared" si="0"/>
        <v>1</v>
      </c>
      <c r="E21" s="73"/>
    </row>
    <row r="22" spans="1:14" x14ac:dyDescent="0.25">
      <c r="A22" s="7">
        <v>1967</v>
      </c>
      <c r="B22" s="8">
        <v>1</v>
      </c>
      <c r="C22" s="8">
        <v>0</v>
      </c>
      <c r="D22" s="13">
        <f t="shared" si="0"/>
        <v>1</v>
      </c>
      <c r="E22" s="73"/>
    </row>
    <row r="23" spans="1:14" x14ac:dyDescent="0.25">
      <c r="A23" s="7">
        <v>1968</v>
      </c>
      <c r="B23" s="8">
        <v>0</v>
      </c>
      <c r="C23" s="8">
        <v>0</v>
      </c>
      <c r="D23" s="13">
        <f t="shared" si="0"/>
        <v>0</v>
      </c>
      <c r="E23" s="73"/>
    </row>
    <row r="24" spans="1:14" ht="48.75" customHeight="1" x14ac:dyDescent="0.4">
      <c r="A24" s="7">
        <v>1969</v>
      </c>
      <c r="B24" s="8">
        <v>1</v>
      </c>
      <c r="C24" s="8">
        <v>0</v>
      </c>
      <c r="D24" s="13">
        <f t="shared" si="0"/>
        <v>1</v>
      </c>
      <c r="E24" s="73"/>
      <c r="G24" s="76" t="s">
        <v>73</v>
      </c>
      <c r="H24" s="76"/>
      <c r="I24" s="76"/>
      <c r="J24" s="76"/>
      <c r="K24" s="76"/>
      <c r="L24" s="76"/>
      <c r="M24" s="76"/>
      <c r="N24" s="76"/>
    </row>
    <row r="25" spans="1:14" x14ac:dyDescent="0.25">
      <c r="A25" s="7">
        <v>1970</v>
      </c>
      <c r="B25" s="8">
        <v>3</v>
      </c>
      <c r="C25" s="8">
        <v>0</v>
      </c>
      <c r="D25" s="13">
        <f t="shared" si="0"/>
        <v>3</v>
      </c>
      <c r="E25" s="73"/>
    </row>
    <row r="26" spans="1:14" x14ac:dyDescent="0.25">
      <c r="A26" s="7">
        <v>1971</v>
      </c>
      <c r="B26" s="8">
        <v>0</v>
      </c>
      <c r="C26" s="8">
        <v>0</v>
      </c>
      <c r="D26" s="13">
        <f t="shared" si="0"/>
        <v>0</v>
      </c>
      <c r="E26" s="73"/>
    </row>
    <row r="27" spans="1:14" x14ac:dyDescent="0.25">
      <c r="A27" s="7">
        <v>1972</v>
      </c>
      <c r="B27" s="8">
        <v>0</v>
      </c>
      <c r="C27" s="8">
        <v>0</v>
      </c>
      <c r="D27" s="13">
        <f t="shared" si="0"/>
        <v>0</v>
      </c>
      <c r="E27" s="73"/>
    </row>
    <row r="28" spans="1:14" x14ac:dyDescent="0.25">
      <c r="A28" s="7">
        <v>1973</v>
      </c>
      <c r="B28" s="8">
        <v>0</v>
      </c>
      <c r="C28" s="8">
        <v>0</v>
      </c>
      <c r="D28" s="13">
        <f t="shared" si="0"/>
        <v>0</v>
      </c>
      <c r="E28" s="73"/>
    </row>
    <row r="29" spans="1:14" x14ac:dyDescent="0.25">
      <c r="A29" s="7">
        <v>1974</v>
      </c>
      <c r="B29" s="8">
        <v>0</v>
      </c>
      <c r="C29" s="8">
        <v>1</v>
      </c>
      <c r="D29" s="13">
        <f t="shared" si="0"/>
        <v>1</v>
      </c>
      <c r="E29" s="73"/>
    </row>
    <row r="30" spans="1:14" x14ac:dyDescent="0.25">
      <c r="A30" s="7">
        <v>1975</v>
      </c>
      <c r="B30" s="8">
        <v>0</v>
      </c>
      <c r="C30" s="8">
        <v>0</v>
      </c>
      <c r="D30" s="13">
        <f t="shared" si="0"/>
        <v>0</v>
      </c>
      <c r="E30" s="73"/>
    </row>
    <row r="31" spans="1:14" x14ac:dyDescent="0.25">
      <c r="A31" s="7">
        <v>1976</v>
      </c>
      <c r="B31" s="8">
        <v>0</v>
      </c>
      <c r="C31" s="8">
        <v>0</v>
      </c>
      <c r="D31" s="13">
        <f t="shared" si="0"/>
        <v>0</v>
      </c>
      <c r="E31" s="73"/>
    </row>
    <row r="32" spans="1:14" x14ac:dyDescent="0.25">
      <c r="A32" s="7">
        <v>1977</v>
      </c>
      <c r="B32" s="8">
        <v>0</v>
      </c>
      <c r="C32" s="8">
        <v>1</v>
      </c>
      <c r="D32" s="13">
        <f t="shared" si="0"/>
        <v>1</v>
      </c>
      <c r="E32" s="73"/>
    </row>
    <row r="33" spans="1:5" x14ac:dyDescent="0.25">
      <c r="A33" s="7">
        <v>1978</v>
      </c>
      <c r="B33" s="8">
        <v>0</v>
      </c>
      <c r="C33" s="8">
        <v>0</v>
      </c>
      <c r="D33" s="13">
        <f t="shared" si="0"/>
        <v>0</v>
      </c>
      <c r="E33" s="73"/>
    </row>
    <row r="34" spans="1:5" x14ac:dyDescent="0.25">
      <c r="A34" s="7">
        <v>1979</v>
      </c>
      <c r="B34" s="8">
        <v>0</v>
      </c>
      <c r="C34" s="8">
        <v>1</v>
      </c>
      <c r="D34" s="13">
        <f t="shared" si="0"/>
        <v>1</v>
      </c>
      <c r="E34" s="73"/>
    </row>
    <row r="35" spans="1:5" x14ac:dyDescent="0.25">
      <c r="A35" s="7">
        <v>1980</v>
      </c>
      <c r="B35" s="8">
        <v>2</v>
      </c>
      <c r="C35" s="8">
        <v>1</v>
      </c>
      <c r="D35" s="13">
        <f t="shared" si="0"/>
        <v>3</v>
      </c>
      <c r="E35" s="73"/>
    </row>
    <row r="36" spans="1:5" x14ac:dyDescent="0.25">
      <c r="A36" s="7">
        <v>1981</v>
      </c>
      <c r="B36" s="8">
        <v>0</v>
      </c>
      <c r="C36" s="8">
        <v>0</v>
      </c>
      <c r="D36" s="13">
        <f t="shared" si="0"/>
        <v>0</v>
      </c>
      <c r="E36" s="73"/>
    </row>
    <row r="37" spans="1:5" x14ac:dyDescent="0.25">
      <c r="A37" s="7">
        <v>1982</v>
      </c>
      <c r="B37" s="8">
        <v>1</v>
      </c>
      <c r="C37" s="8">
        <v>0</v>
      </c>
      <c r="D37" s="13">
        <f t="shared" si="0"/>
        <v>1</v>
      </c>
      <c r="E37" s="73"/>
    </row>
    <row r="38" spans="1:5" x14ac:dyDescent="0.25">
      <c r="A38" s="7">
        <v>1983</v>
      </c>
      <c r="B38" s="8">
        <v>0</v>
      </c>
      <c r="C38" s="8">
        <v>1</v>
      </c>
      <c r="D38" s="13">
        <f t="shared" si="0"/>
        <v>1</v>
      </c>
      <c r="E38" s="73"/>
    </row>
    <row r="39" spans="1:5" x14ac:dyDescent="0.25">
      <c r="A39" s="7">
        <v>1984</v>
      </c>
      <c r="B39" s="8">
        <v>2</v>
      </c>
      <c r="C39" s="8">
        <v>0</v>
      </c>
      <c r="D39" s="13">
        <f t="shared" si="0"/>
        <v>2</v>
      </c>
      <c r="E39" s="73"/>
    </row>
    <row r="40" spans="1:5" x14ac:dyDescent="0.25">
      <c r="A40" s="7">
        <v>1985</v>
      </c>
      <c r="B40" s="8">
        <v>0</v>
      </c>
      <c r="C40" s="8">
        <v>0</v>
      </c>
      <c r="D40" s="13">
        <f t="shared" si="0"/>
        <v>0</v>
      </c>
      <c r="E40" s="73"/>
    </row>
    <row r="41" spans="1:5" x14ac:dyDescent="0.25">
      <c r="A41" s="7">
        <v>1986</v>
      </c>
      <c r="B41" s="8">
        <v>1</v>
      </c>
      <c r="C41" s="8">
        <v>0</v>
      </c>
      <c r="D41" s="13">
        <f t="shared" si="0"/>
        <v>1</v>
      </c>
      <c r="E41" s="73"/>
    </row>
    <row r="42" spans="1:5" x14ac:dyDescent="0.25">
      <c r="A42" s="7">
        <v>1987</v>
      </c>
      <c r="B42" s="8">
        <v>3</v>
      </c>
      <c r="C42" s="8">
        <v>1</v>
      </c>
      <c r="D42" s="13">
        <f t="shared" si="0"/>
        <v>4</v>
      </c>
      <c r="E42" s="73"/>
    </row>
    <row r="43" spans="1:5" x14ac:dyDescent="0.25">
      <c r="A43" s="7">
        <v>1988</v>
      </c>
      <c r="B43" s="8">
        <v>0</v>
      </c>
      <c r="C43" s="8">
        <v>1</v>
      </c>
      <c r="D43" s="13">
        <f t="shared" si="0"/>
        <v>1</v>
      </c>
      <c r="E43" s="73"/>
    </row>
    <row r="44" spans="1:5" x14ac:dyDescent="0.25">
      <c r="A44" s="7">
        <v>1989</v>
      </c>
      <c r="B44" s="8">
        <v>3</v>
      </c>
      <c r="C44" s="8">
        <v>0</v>
      </c>
      <c r="D44" s="13">
        <f t="shared" si="0"/>
        <v>3</v>
      </c>
      <c r="E44" s="73"/>
    </row>
    <row r="45" spans="1:5" x14ac:dyDescent="0.25">
      <c r="A45" s="7">
        <v>1990</v>
      </c>
      <c r="B45" s="8">
        <v>2</v>
      </c>
      <c r="C45" s="8">
        <f>D452</f>
        <v>0</v>
      </c>
      <c r="D45" s="13">
        <f t="shared" si="0"/>
        <v>2</v>
      </c>
      <c r="E45" s="73"/>
    </row>
    <row r="46" spans="1:5" x14ac:dyDescent="0.25">
      <c r="A46" s="7">
        <v>1991</v>
      </c>
      <c r="B46" s="8">
        <v>0</v>
      </c>
      <c r="C46" s="8">
        <v>0</v>
      </c>
      <c r="D46" s="13">
        <f t="shared" si="0"/>
        <v>0</v>
      </c>
      <c r="E46" s="73"/>
    </row>
    <row r="47" spans="1:5" x14ac:dyDescent="0.25">
      <c r="A47" s="7">
        <v>1992</v>
      </c>
      <c r="B47" s="8">
        <v>0</v>
      </c>
      <c r="C47" s="8">
        <v>2</v>
      </c>
      <c r="D47" s="13">
        <f t="shared" si="0"/>
        <v>2</v>
      </c>
      <c r="E47" s="73"/>
    </row>
    <row r="48" spans="1:5" x14ac:dyDescent="0.25">
      <c r="A48" s="7">
        <v>1993</v>
      </c>
      <c r="B48" s="8">
        <v>0</v>
      </c>
      <c r="C48" s="8">
        <v>2</v>
      </c>
      <c r="D48" s="13">
        <f t="shared" si="0"/>
        <v>2</v>
      </c>
      <c r="E48" s="73"/>
    </row>
    <row r="49" spans="1:6" s="11" customFormat="1" x14ac:dyDescent="0.25">
      <c r="A49" s="9">
        <v>1994</v>
      </c>
      <c r="B49" s="10">
        <v>0</v>
      </c>
      <c r="C49" s="10">
        <v>1</v>
      </c>
      <c r="D49" s="13">
        <f t="shared" si="0"/>
        <v>1</v>
      </c>
      <c r="E49" s="73"/>
    </row>
    <row r="50" spans="1:6" x14ac:dyDescent="0.25">
      <c r="A50" s="7">
        <v>1995</v>
      </c>
      <c r="B50" s="8">
        <v>1</v>
      </c>
      <c r="C50" s="8">
        <v>1</v>
      </c>
      <c r="D50" s="13">
        <f t="shared" si="0"/>
        <v>2</v>
      </c>
      <c r="E50" s="73"/>
      <c r="F50" s="12"/>
    </row>
    <row r="51" spans="1:6" x14ac:dyDescent="0.25">
      <c r="A51" s="7">
        <v>1996</v>
      </c>
      <c r="B51" s="8">
        <v>1</v>
      </c>
      <c r="C51" s="8">
        <v>2</v>
      </c>
      <c r="D51" s="13">
        <f t="shared" si="0"/>
        <v>3</v>
      </c>
      <c r="E51" s="73"/>
    </row>
    <row r="52" spans="1:6" s="11" customFormat="1" x14ac:dyDescent="0.25">
      <c r="A52" s="9">
        <v>1997</v>
      </c>
      <c r="B52" s="10">
        <v>0</v>
      </c>
      <c r="C52" s="10">
        <v>2</v>
      </c>
      <c r="D52" s="13">
        <f t="shared" si="0"/>
        <v>2</v>
      </c>
      <c r="E52" s="73"/>
    </row>
    <row r="53" spans="1:6" x14ac:dyDescent="0.25">
      <c r="A53" s="7">
        <v>1998</v>
      </c>
      <c r="B53" s="8">
        <v>1</v>
      </c>
      <c r="C53" s="8">
        <v>0</v>
      </c>
      <c r="D53" s="13">
        <f t="shared" si="0"/>
        <v>1</v>
      </c>
      <c r="E53" s="73"/>
    </row>
    <row r="54" spans="1:6" x14ac:dyDescent="0.25">
      <c r="A54" s="7">
        <v>1999</v>
      </c>
      <c r="B54" s="8">
        <v>3</v>
      </c>
      <c r="C54" s="8">
        <v>2</v>
      </c>
      <c r="D54" s="13">
        <f t="shared" si="0"/>
        <v>5</v>
      </c>
      <c r="E54" s="73"/>
    </row>
    <row r="55" spans="1:6" x14ac:dyDescent="0.25">
      <c r="A55" s="7">
        <v>2000</v>
      </c>
      <c r="B55" s="8">
        <v>1</v>
      </c>
      <c r="C55" s="8">
        <v>4</v>
      </c>
      <c r="D55" s="13">
        <f t="shared" si="0"/>
        <v>5</v>
      </c>
      <c r="E55" s="73"/>
    </row>
    <row r="56" spans="1:6" x14ac:dyDescent="0.25">
      <c r="A56" s="7">
        <v>2001</v>
      </c>
      <c r="B56" s="8">
        <v>1</v>
      </c>
      <c r="C56" s="8">
        <v>3</v>
      </c>
      <c r="D56" s="13">
        <f t="shared" si="0"/>
        <v>4</v>
      </c>
      <c r="E56" s="74">
        <f>AVERAGE(D56:D76)</f>
        <v>4.2380952380952381</v>
      </c>
    </row>
    <row r="57" spans="1:6" x14ac:dyDescent="0.25">
      <c r="A57" s="7">
        <v>2002</v>
      </c>
      <c r="B57" s="8">
        <v>1</v>
      </c>
      <c r="C57" s="8">
        <v>5</v>
      </c>
      <c r="D57" s="13">
        <f t="shared" si="0"/>
        <v>6</v>
      </c>
      <c r="E57" s="74"/>
    </row>
    <row r="58" spans="1:6" x14ac:dyDescent="0.25">
      <c r="A58" s="7">
        <v>2003</v>
      </c>
      <c r="B58" s="8">
        <v>3</v>
      </c>
      <c r="C58" s="8">
        <v>5</v>
      </c>
      <c r="D58" s="13">
        <f t="shared" si="0"/>
        <v>8</v>
      </c>
      <c r="E58" s="74"/>
    </row>
    <row r="59" spans="1:6" x14ac:dyDescent="0.25">
      <c r="A59" s="7">
        <v>2004</v>
      </c>
      <c r="B59" s="8">
        <v>1</v>
      </c>
      <c r="C59" s="8">
        <v>0</v>
      </c>
      <c r="D59" s="13">
        <f t="shared" si="0"/>
        <v>1</v>
      </c>
      <c r="E59" s="74"/>
    </row>
    <row r="60" spans="1:6" x14ac:dyDescent="0.25">
      <c r="A60" s="7">
        <v>2005</v>
      </c>
      <c r="B60" s="8">
        <v>0</v>
      </c>
      <c r="C60" s="8">
        <v>1</v>
      </c>
      <c r="D60" s="13">
        <f t="shared" si="0"/>
        <v>1</v>
      </c>
      <c r="E60" s="74"/>
    </row>
    <row r="61" spans="1:6" x14ac:dyDescent="0.25">
      <c r="A61" s="7">
        <v>2006</v>
      </c>
      <c r="B61" s="8">
        <v>1</v>
      </c>
      <c r="C61" s="8">
        <v>2</v>
      </c>
      <c r="D61" s="13">
        <f t="shared" si="0"/>
        <v>3</v>
      </c>
      <c r="E61" s="74"/>
    </row>
    <row r="62" spans="1:6" x14ac:dyDescent="0.25">
      <c r="A62" s="7">
        <v>2007</v>
      </c>
      <c r="B62" s="8">
        <v>1</v>
      </c>
      <c r="C62" s="8">
        <v>0</v>
      </c>
      <c r="D62" s="13">
        <f t="shared" si="0"/>
        <v>1</v>
      </c>
      <c r="E62" s="74"/>
    </row>
    <row r="63" spans="1:6" x14ac:dyDescent="0.25">
      <c r="A63" s="7">
        <v>2008</v>
      </c>
      <c r="B63" s="8">
        <v>0</v>
      </c>
      <c r="C63" s="8">
        <v>3</v>
      </c>
      <c r="D63" s="13">
        <f t="shared" si="0"/>
        <v>3</v>
      </c>
      <c r="E63" s="74"/>
    </row>
    <row r="64" spans="1:6" x14ac:dyDescent="0.25">
      <c r="A64" s="7">
        <v>2009</v>
      </c>
      <c r="B64" s="8">
        <v>0</v>
      </c>
      <c r="C64" s="8">
        <v>1</v>
      </c>
      <c r="D64" s="13">
        <f t="shared" si="0"/>
        <v>1</v>
      </c>
      <c r="E64" s="74"/>
    </row>
    <row r="65" spans="1:5" x14ac:dyDescent="0.25">
      <c r="A65" s="7">
        <v>2010</v>
      </c>
      <c r="B65" s="8">
        <v>0</v>
      </c>
      <c r="C65" s="8">
        <v>3</v>
      </c>
      <c r="D65" s="13">
        <f t="shared" si="0"/>
        <v>3</v>
      </c>
      <c r="E65" s="74"/>
    </row>
    <row r="66" spans="1:5" x14ac:dyDescent="0.25">
      <c r="A66" s="7">
        <v>2011</v>
      </c>
      <c r="B66" s="8">
        <v>1</v>
      </c>
      <c r="C66" s="8">
        <v>1</v>
      </c>
      <c r="D66" s="13">
        <f t="shared" si="0"/>
        <v>2</v>
      </c>
      <c r="E66" s="74"/>
    </row>
    <row r="67" spans="1:5" x14ac:dyDescent="0.25">
      <c r="A67" s="7">
        <v>2012</v>
      </c>
      <c r="B67" s="8">
        <v>0</v>
      </c>
      <c r="C67" s="8">
        <v>2</v>
      </c>
      <c r="D67" s="13">
        <f t="shared" si="0"/>
        <v>2</v>
      </c>
      <c r="E67" s="74"/>
    </row>
    <row r="68" spans="1:5" x14ac:dyDescent="0.25">
      <c r="A68" s="7">
        <v>2013</v>
      </c>
      <c r="B68" s="8">
        <v>0</v>
      </c>
      <c r="C68" s="8">
        <v>7</v>
      </c>
      <c r="D68" s="13">
        <f t="shared" si="0"/>
        <v>7</v>
      </c>
      <c r="E68" s="74"/>
    </row>
    <row r="69" spans="1:5" x14ac:dyDescent="0.25">
      <c r="A69" s="7">
        <v>2014</v>
      </c>
      <c r="B69" s="8">
        <v>0</v>
      </c>
      <c r="C69" s="8">
        <v>11</v>
      </c>
      <c r="D69" s="13">
        <f t="shared" si="0"/>
        <v>11</v>
      </c>
      <c r="E69" s="74"/>
    </row>
    <row r="70" spans="1:5" x14ac:dyDescent="0.25">
      <c r="A70" s="7">
        <v>2015</v>
      </c>
      <c r="B70" s="8">
        <v>0</v>
      </c>
      <c r="C70" s="8">
        <v>3</v>
      </c>
      <c r="D70" s="13">
        <f t="shared" ref="D70:D77" si="1">SUM(B70:C70)</f>
        <v>3</v>
      </c>
      <c r="E70" s="74"/>
    </row>
    <row r="71" spans="1:5" x14ac:dyDescent="0.25">
      <c r="A71" s="7">
        <v>2016</v>
      </c>
      <c r="B71" s="8">
        <v>0</v>
      </c>
      <c r="C71" s="8">
        <v>5</v>
      </c>
      <c r="D71" s="13">
        <f t="shared" si="1"/>
        <v>5</v>
      </c>
      <c r="E71" s="74"/>
    </row>
    <row r="72" spans="1:5" x14ac:dyDescent="0.25">
      <c r="A72" s="7">
        <v>2017</v>
      </c>
      <c r="B72" s="8">
        <v>2</v>
      </c>
      <c r="C72" s="8">
        <v>0</v>
      </c>
      <c r="D72" s="13">
        <f t="shared" si="1"/>
        <v>2</v>
      </c>
      <c r="E72" s="74"/>
    </row>
    <row r="73" spans="1:5" x14ac:dyDescent="0.25">
      <c r="A73" s="7">
        <v>2018</v>
      </c>
      <c r="B73" s="2">
        <v>1</v>
      </c>
      <c r="C73" s="2">
        <v>4</v>
      </c>
      <c r="D73" s="13">
        <f t="shared" si="1"/>
        <v>5</v>
      </c>
      <c r="E73" s="74"/>
    </row>
    <row r="74" spans="1:5" x14ac:dyDescent="0.25">
      <c r="A74" s="7">
        <v>2019</v>
      </c>
      <c r="B74" s="8">
        <v>2</v>
      </c>
      <c r="C74" s="8">
        <v>3</v>
      </c>
      <c r="D74" s="13">
        <f t="shared" si="1"/>
        <v>5</v>
      </c>
      <c r="E74" s="74"/>
    </row>
    <row r="75" spans="1:5" x14ac:dyDescent="0.25">
      <c r="A75" s="7">
        <v>2020</v>
      </c>
      <c r="B75" s="8">
        <v>4</v>
      </c>
      <c r="C75" s="8">
        <v>4</v>
      </c>
      <c r="D75" s="13">
        <f t="shared" si="1"/>
        <v>8</v>
      </c>
      <c r="E75" s="74"/>
    </row>
    <row r="76" spans="1:5" x14ac:dyDescent="0.25">
      <c r="A76" s="7">
        <v>2021</v>
      </c>
      <c r="B76" s="8">
        <v>2</v>
      </c>
      <c r="C76" s="8">
        <v>6</v>
      </c>
      <c r="D76" s="13">
        <f t="shared" si="1"/>
        <v>8</v>
      </c>
      <c r="E76" s="74"/>
    </row>
    <row r="77" spans="1:5" x14ac:dyDescent="0.25">
      <c r="A77" s="5" t="s">
        <v>4</v>
      </c>
      <c r="B77" s="13">
        <f>SUM(B5:B76)</f>
        <v>54</v>
      </c>
      <c r="C77" s="13">
        <f>SUM(C5:C76)</f>
        <v>95</v>
      </c>
      <c r="D77" s="13">
        <f t="shared" si="1"/>
        <v>149</v>
      </c>
      <c r="E77" s="12"/>
    </row>
    <row r="78" spans="1:5" x14ac:dyDescent="0.25">
      <c r="A78" s="2" t="s">
        <v>5</v>
      </c>
    </row>
    <row r="79" spans="1:5" x14ac:dyDescent="0.25">
      <c r="A79" s="2" t="s">
        <v>6</v>
      </c>
    </row>
    <row r="80" spans="1:5" ht="16.8" x14ac:dyDescent="0.4">
      <c r="A80" s="14" t="s">
        <v>7</v>
      </c>
    </row>
  </sheetData>
  <mergeCells count="4">
    <mergeCell ref="E5:E55"/>
    <mergeCell ref="E56:E76"/>
    <mergeCell ref="G5:N5"/>
    <mergeCell ref="G24:N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showGridLines="0" topLeftCell="A4" workbookViewId="0">
      <selection activeCell="F25" sqref="F25"/>
    </sheetView>
  </sheetViews>
  <sheetFormatPr baseColWidth="10" defaultColWidth="11.44140625" defaultRowHeight="14.4" x14ac:dyDescent="0.3"/>
  <cols>
    <col min="1" max="1" width="28.77734375" style="15" bestFit="1" customWidth="1"/>
    <col min="2" max="2" width="16.21875" style="15" customWidth="1"/>
    <col min="3" max="3" width="11.21875" style="15" customWidth="1"/>
    <col min="4" max="16384" width="11.44140625" style="15"/>
  </cols>
  <sheetData>
    <row r="1" spans="1:3" x14ac:dyDescent="0.3">
      <c r="A1" s="20" t="s">
        <v>67</v>
      </c>
    </row>
    <row r="4" spans="1:3" x14ac:dyDescent="0.3">
      <c r="B4" s="77" t="s">
        <v>16</v>
      </c>
      <c r="C4" s="77"/>
    </row>
    <row r="5" spans="1:3" x14ac:dyDescent="0.3">
      <c r="A5" s="18" t="s">
        <v>15</v>
      </c>
      <c r="B5" s="18" t="s">
        <v>14</v>
      </c>
      <c r="C5" s="18" t="s">
        <v>13</v>
      </c>
    </row>
    <row r="6" spans="1:3" x14ac:dyDescent="0.3">
      <c r="A6" s="19" t="s">
        <v>12</v>
      </c>
      <c r="B6" s="17">
        <v>25323</v>
      </c>
      <c r="C6" s="16">
        <f t="shared" ref="C6:C11" si="0">B6/$B$11</f>
        <v>0.38833001073454992</v>
      </c>
    </row>
    <row r="7" spans="1:3" x14ac:dyDescent="0.3">
      <c r="A7" s="19" t="s">
        <v>11</v>
      </c>
      <c r="B7" s="17">
        <v>17227</v>
      </c>
      <c r="C7" s="16">
        <f t="shared" si="0"/>
        <v>0.2641772734243214</v>
      </c>
    </row>
    <row r="8" spans="1:3" x14ac:dyDescent="0.3">
      <c r="A8" s="19" t="s">
        <v>74</v>
      </c>
      <c r="B8" s="17">
        <v>14814</v>
      </c>
      <c r="C8" s="16">
        <f t="shared" si="0"/>
        <v>0.22717374635792056</v>
      </c>
    </row>
    <row r="9" spans="1:3" x14ac:dyDescent="0.3">
      <c r="A9" s="19" t="s">
        <v>75</v>
      </c>
      <c r="B9" s="17">
        <v>4703</v>
      </c>
      <c r="C9" s="16">
        <f t="shared" si="0"/>
        <v>7.2120840361907676E-2</v>
      </c>
    </row>
    <row r="10" spans="1:3" x14ac:dyDescent="0.3">
      <c r="A10" s="19" t="s">
        <v>10</v>
      </c>
      <c r="B10" s="17">
        <v>3143</v>
      </c>
      <c r="C10" s="16">
        <f t="shared" si="0"/>
        <v>4.8198129121300413E-2</v>
      </c>
    </row>
    <row r="11" spans="1:3" x14ac:dyDescent="0.3">
      <c r="A11" s="18" t="s">
        <v>8</v>
      </c>
      <c r="B11" s="17">
        <v>65210</v>
      </c>
      <c r="C11" s="16">
        <f t="shared" si="0"/>
        <v>1</v>
      </c>
    </row>
    <row r="12" spans="1:3" ht="29.25" customHeight="1" x14ac:dyDescent="0.3">
      <c r="A12" s="78" t="s">
        <v>18</v>
      </c>
      <c r="B12" s="78"/>
      <c r="C12" s="78"/>
    </row>
    <row r="13" spans="1:3" ht="16.8" x14ac:dyDescent="0.3">
      <c r="A13" s="79" t="s">
        <v>19</v>
      </c>
      <c r="B13" s="79"/>
      <c r="C13" s="79"/>
    </row>
    <row r="16" spans="1:3" ht="18" x14ac:dyDescent="0.3">
      <c r="A16" s="53" t="s">
        <v>17</v>
      </c>
    </row>
  </sheetData>
  <mergeCells count="3">
    <mergeCell ref="B4:C4"/>
    <mergeCell ref="A12:C12"/>
    <mergeCell ref="A13:C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topLeftCell="A6" zoomScaleNormal="100" workbookViewId="0">
      <selection activeCell="C16" sqref="C16"/>
    </sheetView>
  </sheetViews>
  <sheetFormatPr baseColWidth="10" defaultColWidth="11.44140625" defaultRowHeight="14.4" x14ac:dyDescent="0.3"/>
  <cols>
    <col min="1" max="1" width="45.77734375" style="43" customWidth="1"/>
    <col min="2" max="2" width="24.21875" style="43" customWidth="1"/>
    <col min="3" max="3" width="22.77734375" style="43" customWidth="1"/>
    <col min="4" max="4" width="24.21875" style="43" customWidth="1"/>
    <col min="5" max="5" width="52.77734375" style="43" customWidth="1"/>
    <col min="6" max="6" width="14.77734375" style="43" customWidth="1"/>
    <col min="7" max="7" width="12.5546875" style="43" customWidth="1"/>
    <col min="8" max="8" width="9.21875" style="43" customWidth="1"/>
    <col min="9" max="16384" width="11.44140625" style="43"/>
  </cols>
  <sheetData>
    <row r="1" spans="1:7" x14ac:dyDescent="0.3">
      <c r="A1" s="42" t="s">
        <v>68</v>
      </c>
      <c r="G1" s="44"/>
    </row>
    <row r="3" spans="1:7" ht="39.6" x14ac:dyDescent="0.3">
      <c r="A3" s="45"/>
      <c r="B3" s="45" t="s">
        <v>28</v>
      </c>
      <c r="C3" s="45" t="s">
        <v>29</v>
      </c>
      <c r="D3" s="45" t="s">
        <v>30</v>
      </c>
      <c r="E3" s="46"/>
      <c r="F3" s="47"/>
    </row>
    <row r="4" spans="1:7" ht="14.55" customHeight="1" x14ac:dyDescent="0.3">
      <c r="A4" s="45" t="s">
        <v>0</v>
      </c>
      <c r="B4" s="45">
        <v>25.553614457831326</v>
      </c>
      <c r="C4" s="45">
        <v>9.9885542168674704</v>
      </c>
      <c r="D4" s="45">
        <v>64.457831325301214</v>
      </c>
      <c r="E4" s="45" t="s">
        <v>31</v>
      </c>
      <c r="F4" s="47"/>
    </row>
    <row r="5" spans="1:7" x14ac:dyDescent="0.3">
      <c r="A5" s="45" t="s">
        <v>77</v>
      </c>
      <c r="B5" s="48">
        <v>19.7</v>
      </c>
      <c r="C5" s="45">
        <v>16</v>
      </c>
      <c r="D5" s="48">
        <v>64.3</v>
      </c>
      <c r="E5" s="45" t="s">
        <v>32</v>
      </c>
      <c r="F5" s="47"/>
    </row>
    <row r="6" spans="1:7" x14ac:dyDescent="0.3">
      <c r="A6" s="45" t="s">
        <v>0</v>
      </c>
      <c r="B6" s="45">
        <v>38.54117647058824</v>
      </c>
      <c r="C6" s="45">
        <v>22.63529411764706</v>
      </c>
      <c r="D6" s="45">
        <v>38.82352941176471</v>
      </c>
      <c r="E6" s="45" t="s">
        <v>33</v>
      </c>
      <c r="F6" s="47"/>
    </row>
    <row r="7" spans="1:7" x14ac:dyDescent="0.3">
      <c r="A7" s="45" t="s">
        <v>77</v>
      </c>
      <c r="B7" s="45">
        <v>69.739999999999995</v>
      </c>
      <c r="C7" s="45">
        <v>16.36</v>
      </c>
      <c r="D7" s="45">
        <v>13.9</v>
      </c>
      <c r="E7" s="45" t="s">
        <v>34</v>
      </c>
      <c r="F7" s="47"/>
    </row>
    <row r="8" spans="1:7" x14ac:dyDescent="0.3">
      <c r="A8" s="45" t="s">
        <v>78</v>
      </c>
      <c r="B8" s="45">
        <v>30.164877711361473</v>
      </c>
      <c r="C8" s="45">
        <v>10.283692501691016</v>
      </c>
      <c r="D8" s="45">
        <v>59.551429786947516</v>
      </c>
      <c r="E8" s="45" t="s">
        <v>35</v>
      </c>
      <c r="F8" s="47"/>
    </row>
    <row r="9" spans="1:7" x14ac:dyDescent="0.3">
      <c r="A9" s="45" t="s">
        <v>79</v>
      </c>
      <c r="B9" s="45">
        <v>67.56</v>
      </c>
      <c r="C9" s="45">
        <v>14.83</v>
      </c>
      <c r="D9" s="45">
        <v>17.61</v>
      </c>
      <c r="E9" s="45" t="s">
        <v>36</v>
      </c>
      <c r="F9" s="47"/>
    </row>
    <row r="10" spans="1:7" x14ac:dyDescent="0.3">
      <c r="A10" s="49"/>
      <c r="B10" s="49"/>
      <c r="C10" s="49"/>
      <c r="D10" s="49"/>
      <c r="E10" s="47"/>
      <c r="F10" s="47"/>
    </row>
    <row r="11" spans="1:7" s="50" customFormat="1" ht="12.6" x14ac:dyDescent="0.25">
      <c r="A11" s="80" t="s">
        <v>76</v>
      </c>
      <c r="B11" s="80"/>
      <c r="C11" s="80"/>
      <c r="D11" s="80"/>
    </row>
    <row r="12" spans="1:7" s="50" customFormat="1" ht="22.05" customHeight="1" x14ac:dyDescent="0.25">
      <c r="A12" s="80" t="s">
        <v>37</v>
      </c>
      <c r="B12" s="80"/>
      <c r="C12" s="80"/>
      <c r="D12" s="80"/>
    </row>
    <row r="13" spans="1:7" s="50" customFormat="1" ht="12.6" x14ac:dyDescent="0.25">
      <c r="A13" s="81" t="s">
        <v>38</v>
      </c>
      <c r="B13" s="81"/>
      <c r="C13" s="81"/>
      <c r="D13" s="81"/>
    </row>
    <row r="14" spans="1:7" s="50" customFormat="1" ht="12" x14ac:dyDescent="0.25">
      <c r="A14" s="82"/>
      <c r="B14" s="82"/>
      <c r="C14" s="82"/>
      <c r="D14" s="82"/>
    </row>
    <row r="15" spans="1:7" ht="142.05000000000001" customHeight="1" x14ac:dyDescent="0.3"/>
  </sheetData>
  <mergeCells count="4">
    <mergeCell ref="A11:D11"/>
    <mergeCell ref="A12:D12"/>
    <mergeCell ref="A13:D13"/>
    <mergeCell ref="A14:D1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4"/>
  <sheetViews>
    <sheetView showGridLines="0" topLeftCell="A49" zoomScaleNormal="100" workbookViewId="0">
      <selection activeCell="P73" sqref="P73"/>
    </sheetView>
  </sheetViews>
  <sheetFormatPr baseColWidth="10" defaultRowHeight="14.4" x14ac:dyDescent="0.3"/>
  <cols>
    <col min="1" max="1" width="10.77734375" bestFit="1" customWidth="1"/>
    <col min="2" max="2" width="9" style="28" bestFit="1" customWidth="1"/>
    <col min="3" max="3" width="13.44140625" bestFit="1" customWidth="1"/>
    <col min="4" max="4" width="12.44140625" bestFit="1" customWidth="1"/>
    <col min="5" max="5" width="8.44140625" bestFit="1" customWidth="1"/>
    <col min="6" max="6" width="16" bestFit="1" customWidth="1"/>
  </cols>
  <sheetData>
    <row r="1" spans="1:17" x14ac:dyDescent="0.3">
      <c r="A1" s="28" t="s">
        <v>97</v>
      </c>
    </row>
    <row r="2" spans="1:17" x14ac:dyDescent="0.3">
      <c r="A2" s="41" t="s">
        <v>98</v>
      </c>
    </row>
    <row r="3" spans="1:17" x14ac:dyDescent="0.3">
      <c r="A3" s="21"/>
      <c r="B3" s="40"/>
      <c r="C3" s="22"/>
      <c r="D3" s="22"/>
      <c r="E3" s="22"/>
      <c r="F3" s="22"/>
      <c r="G3" s="23"/>
      <c r="H3" s="21"/>
      <c r="I3" s="21"/>
    </row>
    <row r="4" spans="1:17" s="28" customFormat="1" x14ac:dyDescent="0.3">
      <c r="A4" s="37" t="s">
        <v>20</v>
      </c>
      <c r="B4" s="37" t="s">
        <v>21</v>
      </c>
      <c r="C4" s="38" t="s">
        <v>1</v>
      </c>
      <c r="D4" s="38" t="s">
        <v>22</v>
      </c>
      <c r="E4" s="38" t="s">
        <v>23</v>
      </c>
      <c r="F4" s="38" t="s">
        <v>24</v>
      </c>
      <c r="G4" s="39"/>
      <c r="H4" s="40"/>
      <c r="I4" s="40"/>
      <c r="K4" s="61"/>
      <c r="L4" s="61"/>
      <c r="M4" s="62"/>
      <c r="N4" s="62"/>
      <c r="O4" s="62"/>
      <c r="P4" s="62"/>
      <c r="Q4" s="61"/>
    </row>
    <row r="5" spans="1:17" x14ac:dyDescent="0.3">
      <c r="A5" s="31"/>
      <c r="B5" s="37" t="s">
        <v>25</v>
      </c>
      <c r="C5" s="32">
        <v>1446.0265435076676</v>
      </c>
      <c r="D5" s="32">
        <v>0</v>
      </c>
      <c r="E5" s="32">
        <v>0</v>
      </c>
      <c r="F5" s="32">
        <v>1446.0265435076676</v>
      </c>
      <c r="G5" s="23"/>
      <c r="H5" s="21"/>
      <c r="I5" s="21"/>
      <c r="K5" s="63"/>
      <c r="L5" s="61"/>
      <c r="M5" s="62"/>
      <c r="N5" s="62"/>
      <c r="O5" s="62"/>
      <c r="P5" s="62"/>
      <c r="Q5" s="61"/>
    </row>
    <row r="6" spans="1:17" x14ac:dyDescent="0.3">
      <c r="A6" s="31"/>
      <c r="B6" s="37">
        <v>1984</v>
      </c>
      <c r="C6" s="32">
        <v>51.579789979167899</v>
      </c>
      <c r="D6" s="32">
        <v>0</v>
      </c>
      <c r="E6" s="32">
        <v>0</v>
      </c>
      <c r="F6" s="32">
        <v>51.579789979167899</v>
      </c>
      <c r="G6" s="23"/>
      <c r="H6" s="21"/>
      <c r="I6" s="21"/>
      <c r="K6" s="63"/>
      <c r="L6" s="61"/>
      <c r="M6" s="62"/>
      <c r="N6" s="62"/>
      <c r="O6" s="62"/>
      <c r="P6" s="62"/>
      <c r="Q6" s="61"/>
    </row>
    <row r="7" spans="1:17" x14ac:dyDescent="0.3">
      <c r="A7" s="31"/>
      <c r="B7" s="37">
        <v>1985</v>
      </c>
      <c r="C7" s="32">
        <v>29.103604524069986</v>
      </c>
      <c r="D7" s="32">
        <v>0</v>
      </c>
      <c r="E7" s="32">
        <v>0</v>
      </c>
      <c r="F7" s="32">
        <v>29.103604524069986</v>
      </c>
      <c r="G7" s="23"/>
      <c r="H7" s="21"/>
      <c r="I7" s="21"/>
      <c r="K7" s="61"/>
      <c r="L7" s="61"/>
      <c r="M7" s="62"/>
      <c r="N7" s="62"/>
      <c r="O7" s="62"/>
      <c r="P7" s="62"/>
      <c r="Q7" s="61"/>
    </row>
    <row r="8" spans="1:17" x14ac:dyDescent="0.3">
      <c r="A8" s="31"/>
      <c r="B8" s="37">
        <v>1986</v>
      </c>
      <c r="C8" s="32">
        <v>109.95657821849531</v>
      </c>
      <c r="D8" s="32">
        <v>0</v>
      </c>
      <c r="E8" s="32">
        <v>0</v>
      </c>
      <c r="F8" s="32">
        <v>109.95657821849531</v>
      </c>
      <c r="G8" s="23"/>
      <c r="H8" s="21"/>
      <c r="I8" s="21"/>
      <c r="K8" s="61"/>
      <c r="L8" s="61"/>
      <c r="M8" s="62"/>
      <c r="N8" s="62"/>
      <c r="O8" s="62"/>
      <c r="P8" s="62"/>
      <c r="Q8" s="61"/>
    </row>
    <row r="9" spans="1:17" x14ac:dyDescent="0.3">
      <c r="A9" s="31"/>
      <c r="B9" s="37">
        <v>1987</v>
      </c>
      <c r="C9" s="32">
        <v>403.57984036373261</v>
      </c>
      <c r="D9" s="32">
        <v>0</v>
      </c>
      <c r="E9" s="32">
        <v>0</v>
      </c>
      <c r="F9" s="32">
        <v>403.57984036373261</v>
      </c>
      <c r="G9" s="23"/>
      <c r="H9" s="21"/>
      <c r="I9" s="21"/>
      <c r="K9" s="61"/>
      <c r="L9" s="61"/>
      <c r="M9" s="62"/>
      <c r="N9" s="62"/>
      <c r="O9" s="62"/>
      <c r="P9" s="62"/>
      <c r="Q9" s="61"/>
    </row>
    <row r="10" spans="1:17" x14ac:dyDescent="0.3">
      <c r="A10" s="31"/>
      <c r="B10" s="37">
        <v>1988</v>
      </c>
      <c r="C10" s="32">
        <v>604.70434381375298</v>
      </c>
      <c r="D10" s="32">
        <v>0</v>
      </c>
      <c r="E10" s="32">
        <v>0</v>
      </c>
      <c r="F10" s="32">
        <v>604.70434381375298</v>
      </c>
      <c r="G10" s="23"/>
      <c r="H10" s="21"/>
      <c r="I10" s="21"/>
      <c r="K10" s="61"/>
      <c r="L10" s="61"/>
      <c r="M10" s="62"/>
      <c r="N10" s="62"/>
      <c r="O10" s="62"/>
      <c r="P10" s="62"/>
      <c r="Q10" s="61"/>
    </row>
    <row r="11" spans="1:17" x14ac:dyDescent="0.3">
      <c r="A11" s="31"/>
      <c r="B11" s="37">
        <v>1989</v>
      </c>
      <c r="C11" s="32">
        <v>66.146461066998782</v>
      </c>
      <c r="D11" s="32">
        <v>738.28673717081006</v>
      </c>
      <c r="E11" s="32">
        <v>21.121168232395728</v>
      </c>
      <c r="F11" s="32">
        <v>825.55436647020451</v>
      </c>
      <c r="G11" s="23"/>
      <c r="H11" s="21"/>
      <c r="I11" s="21"/>
      <c r="K11" s="61"/>
      <c r="L11" s="61"/>
      <c r="M11" s="62"/>
      <c r="N11" s="62"/>
      <c r="O11" s="62"/>
      <c r="P11" s="62"/>
      <c r="Q11" s="61"/>
    </row>
    <row r="12" spans="1:17" x14ac:dyDescent="0.3">
      <c r="A12" s="31"/>
      <c r="B12" s="37">
        <v>1990</v>
      </c>
      <c r="C12" s="32">
        <v>721.98653874708475</v>
      </c>
      <c r="D12" s="32">
        <v>1178.363367951516</v>
      </c>
      <c r="E12" s="32">
        <v>16.0650534434807</v>
      </c>
      <c r="F12" s="32">
        <v>1916.4149601420816</v>
      </c>
      <c r="G12" s="23"/>
      <c r="H12" s="21"/>
      <c r="I12" s="21"/>
      <c r="K12" s="61"/>
      <c r="L12" s="61"/>
      <c r="M12" s="62"/>
      <c r="N12" s="62"/>
      <c r="O12" s="62"/>
      <c r="P12" s="62"/>
      <c r="Q12" s="61"/>
    </row>
    <row r="13" spans="1:17" x14ac:dyDescent="0.3">
      <c r="A13" s="31"/>
      <c r="B13" s="37">
        <v>1991</v>
      </c>
      <c r="C13" s="32">
        <v>254.50946822488163</v>
      </c>
      <c r="D13" s="32">
        <v>528.17736732711762</v>
      </c>
      <c r="E13" s="32">
        <v>4.8054674699028324</v>
      </c>
      <c r="F13" s="32">
        <v>787.4923030219021</v>
      </c>
      <c r="G13" s="23"/>
      <c r="H13" s="21"/>
      <c r="I13" s="21"/>
      <c r="K13" s="61"/>
      <c r="L13" s="61"/>
      <c r="M13" s="62"/>
      <c r="N13" s="62"/>
      <c r="O13" s="62"/>
      <c r="P13" s="62"/>
      <c r="Q13" s="61"/>
    </row>
    <row r="14" spans="1:17" x14ac:dyDescent="0.3">
      <c r="A14" s="31"/>
      <c r="B14" s="37">
        <v>1992</v>
      </c>
      <c r="C14" s="32">
        <v>1165.9800016169881</v>
      </c>
      <c r="D14" s="32">
        <v>275.77975836017117</v>
      </c>
      <c r="E14" s="32">
        <v>6.1254909084943341</v>
      </c>
      <c r="F14" s="32">
        <v>1447.8852508856537</v>
      </c>
      <c r="G14" s="23"/>
      <c r="H14" s="21"/>
      <c r="I14" s="21"/>
      <c r="K14" s="61"/>
      <c r="L14" s="61"/>
      <c r="M14" s="62"/>
      <c r="N14" s="62"/>
      <c r="O14" s="62"/>
      <c r="P14" s="62"/>
      <c r="Q14" s="61"/>
    </row>
    <row r="15" spans="1:17" x14ac:dyDescent="0.3">
      <c r="A15" s="31"/>
      <c r="B15" s="37">
        <v>1993</v>
      </c>
      <c r="C15" s="32">
        <v>1782.6758448133198</v>
      </c>
      <c r="D15" s="32">
        <v>259.78070484505866</v>
      </c>
      <c r="E15" s="32">
        <v>11.560273920287646</v>
      </c>
      <c r="F15" s="32">
        <v>2054.0168235786659</v>
      </c>
      <c r="G15" s="23"/>
      <c r="H15" s="21"/>
      <c r="I15" s="21"/>
      <c r="K15" s="61"/>
      <c r="L15" s="61"/>
      <c r="M15" s="62"/>
      <c r="N15" s="62"/>
      <c r="O15" s="62"/>
      <c r="P15" s="62"/>
      <c r="Q15" s="61"/>
    </row>
    <row r="16" spans="1:17" x14ac:dyDescent="0.3">
      <c r="A16" s="31"/>
      <c r="B16" s="37">
        <v>1994</v>
      </c>
      <c r="C16" s="32">
        <v>675.24625713981391</v>
      </c>
      <c r="D16" s="32">
        <v>116.76551521532595</v>
      </c>
      <c r="E16" s="32">
        <v>23.916663733918991</v>
      </c>
      <c r="F16" s="32">
        <v>815.92843608905889</v>
      </c>
      <c r="G16" s="23"/>
      <c r="H16" s="21"/>
      <c r="I16" s="21"/>
      <c r="K16" s="61"/>
      <c r="L16" s="61"/>
      <c r="M16" s="62"/>
      <c r="N16" s="62"/>
      <c r="O16" s="62"/>
      <c r="P16" s="62"/>
      <c r="Q16" s="61"/>
    </row>
    <row r="17" spans="1:17" x14ac:dyDescent="0.3">
      <c r="A17" s="31"/>
      <c r="B17" s="37">
        <v>1995</v>
      </c>
      <c r="C17" s="32">
        <v>1250.8235281455341</v>
      </c>
      <c r="D17" s="32">
        <v>274.19862205707955</v>
      </c>
      <c r="E17" s="32">
        <v>95.947877280097103</v>
      </c>
      <c r="F17" s="32">
        <v>1620.9700274827107</v>
      </c>
      <c r="G17" s="23"/>
      <c r="H17" s="21"/>
      <c r="I17" s="21"/>
      <c r="K17" s="61"/>
      <c r="L17" s="61"/>
      <c r="M17" s="62"/>
      <c r="N17" s="62"/>
      <c r="O17" s="62"/>
      <c r="P17" s="62"/>
      <c r="Q17" s="61"/>
    </row>
    <row r="18" spans="1:17" x14ac:dyDescent="0.3">
      <c r="A18" s="31"/>
      <c r="B18" s="37">
        <v>1996</v>
      </c>
      <c r="C18" s="32">
        <v>379.33513129056752</v>
      </c>
      <c r="D18" s="32">
        <v>918.04216916585358</v>
      </c>
      <c r="E18" s="32">
        <v>144.63911980079996</v>
      </c>
      <c r="F18" s="32">
        <v>1442.0164202572212</v>
      </c>
      <c r="G18" s="23"/>
      <c r="H18" s="21"/>
      <c r="I18" s="21"/>
      <c r="K18" s="61"/>
      <c r="L18" s="61"/>
      <c r="M18" s="62"/>
      <c r="N18" s="62"/>
      <c r="O18" s="62"/>
      <c r="P18" s="62"/>
      <c r="Q18" s="61"/>
    </row>
    <row r="19" spans="1:17" x14ac:dyDescent="0.3">
      <c r="A19" s="31"/>
      <c r="B19" s="37">
        <v>1997</v>
      </c>
      <c r="C19" s="32">
        <v>315.8300110690829</v>
      </c>
      <c r="D19" s="32">
        <v>631.88279770708914</v>
      </c>
      <c r="E19" s="32">
        <v>7.7979138163272781</v>
      </c>
      <c r="F19" s="32">
        <v>955.51072259249941</v>
      </c>
      <c r="G19" s="23"/>
      <c r="H19" s="21"/>
      <c r="I19" s="21"/>
      <c r="K19" s="61"/>
      <c r="L19" s="61"/>
      <c r="M19" s="62"/>
      <c r="N19" s="62"/>
      <c r="O19" s="62"/>
      <c r="P19" s="62"/>
      <c r="Q19" s="61"/>
    </row>
    <row r="20" spans="1:17" x14ac:dyDescent="0.3">
      <c r="A20" s="31"/>
      <c r="B20" s="37">
        <v>1998</v>
      </c>
      <c r="C20" s="32">
        <v>259.97226509633919</v>
      </c>
      <c r="D20" s="32">
        <v>777.78964750174134</v>
      </c>
      <c r="E20" s="32">
        <v>20.076668341540032</v>
      </c>
      <c r="F20" s="32">
        <v>1057.8385809396204</v>
      </c>
      <c r="G20" s="23"/>
      <c r="H20" s="21"/>
      <c r="I20" s="21"/>
      <c r="K20" s="61"/>
      <c r="L20" s="61"/>
      <c r="M20" s="62"/>
      <c r="N20" s="62"/>
      <c r="O20" s="62"/>
      <c r="P20" s="62"/>
      <c r="Q20" s="61"/>
    </row>
    <row r="21" spans="1:17" x14ac:dyDescent="0.3">
      <c r="A21" s="31"/>
      <c r="B21" s="37">
        <v>1999</v>
      </c>
      <c r="C21" s="32">
        <v>1357.4770316487088</v>
      </c>
      <c r="D21" s="32">
        <v>149.24874294088502</v>
      </c>
      <c r="E21" s="32">
        <v>66.221355477002263</v>
      </c>
      <c r="F21" s="32">
        <v>1572.9471300665962</v>
      </c>
      <c r="G21" s="23"/>
      <c r="H21" s="21"/>
      <c r="I21" s="21"/>
      <c r="K21" s="61"/>
      <c r="L21" s="61"/>
      <c r="M21" s="62"/>
      <c r="N21" s="62"/>
      <c r="O21" s="62"/>
      <c r="P21" s="62"/>
      <c r="Q21" s="61"/>
    </row>
    <row r="22" spans="1:17" x14ac:dyDescent="0.3">
      <c r="A22" s="31"/>
      <c r="B22" s="37">
        <v>2000</v>
      </c>
      <c r="C22" s="32">
        <v>601.84148730620495</v>
      </c>
      <c r="D22" s="32">
        <v>110.45310299464099</v>
      </c>
      <c r="E22" s="32">
        <v>55.018288896060376</v>
      </c>
      <c r="F22" s="32">
        <v>767.31287919690635</v>
      </c>
      <c r="G22" s="23"/>
      <c r="H22" s="21"/>
      <c r="I22" s="21"/>
      <c r="K22" s="61"/>
      <c r="L22" s="61"/>
      <c r="M22" s="62"/>
      <c r="N22" s="62"/>
      <c r="O22" s="62"/>
      <c r="P22" s="62"/>
      <c r="Q22" s="61"/>
    </row>
    <row r="23" spans="1:17" x14ac:dyDescent="0.3">
      <c r="A23" s="31"/>
      <c r="B23" s="37">
        <v>2001</v>
      </c>
      <c r="C23" s="32">
        <v>647.34778597459569</v>
      </c>
      <c r="D23" s="32">
        <v>18.02614410721975</v>
      </c>
      <c r="E23" s="32">
        <v>60.98244615308824</v>
      </c>
      <c r="F23" s="32">
        <v>726.35637623490368</v>
      </c>
      <c r="G23" s="23"/>
      <c r="H23" s="21"/>
      <c r="I23" s="21"/>
      <c r="K23" s="61"/>
      <c r="L23" s="61"/>
      <c r="M23" s="62"/>
      <c r="N23" s="62"/>
      <c r="O23" s="62"/>
      <c r="P23" s="62"/>
      <c r="Q23" s="61"/>
    </row>
    <row r="24" spans="1:17" x14ac:dyDescent="0.3">
      <c r="A24" s="31"/>
      <c r="B24" s="37">
        <v>2002</v>
      </c>
      <c r="C24" s="32">
        <v>1495.3837349162875</v>
      </c>
      <c r="D24" s="32">
        <v>401.74742079269993</v>
      </c>
      <c r="E24" s="32">
        <v>145.91464998841246</v>
      </c>
      <c r="F24" s="32">
        <v>2043.0458056974001</v>
      </c>
      <c r="G24" s="23"/>
      <c r="H24" s="21"/>
      <c r="I24" s="21"/>
      <c r="K24" s="61"/>
      <c r="L24" s="61"/>
      <c r="M24" s="62"/>
      <c r="N24" s="62"/>
      <c r="O24" s="62"/>
      <c r="P24" s="62"/>
      <c r="Q24" s="61"/>
    </row>
    <row r="25" spans="1:17" x14ac:dyDescent="0.3">
      <c r="A25" s="31"/>
      <c r="B25" s="37">
        <v>2003</v>
      </c>
      <c r="C25" s="32">
        <v>1591.4737960571524</v>
      </c>
      <c r="D25" s="32">
        <v>2046.0310759789336</v>
      </c>
      <c r="E25" s="32">
        <v>37.185809345821738</v>
      </c>
      <c r="F25" s="32">
        <v>3674.6906813819078</v>
      </c>
      <c r="G25" s="23"/>
      <c r="H25" s="21"/>
      <c r="I25" s="21"/>
      <c r="K25" s="61"/>
      <c r="L25" s="61"/>
      <c r="M25" s="62"/>
      <c r="N25" s="62"/>
      <c r="O25" s="62"/>
      <c r="P25" s="62"/>
      <c r="Q25" s="61"/>
    </row>
    <row r="26" spans="1:17" x14ac:dyDescent="0.3">
      <c r="A26" s="31"/>
      <c r="B26" s="37">
        <v>2004</v>
      </c>
      <c r="C26" s="32">
        <v>27.412671209009954</v>
      </c>
      <c r="D26" s="32">
        <v>55.505939735558961</v>
      </c>
      <c r="E26" s="32">
        <v>103.27493882625585</v>
      </c>
      <c r="F26" s="32">
        <v>186.19354977082475</v>
      </c>
      <c r="G26" s="23"/>
      <c r="H26" s="21"/>
      <c r="I26" s="21"/>
      <c r="K26" s="61"/>
      <c r="L26" s="61"/>
      <c r="M26" s="62"/>
      <c r="N26" s="62"/>
      <c r="O26" s="62"/>
      <c r="P26" s="62"/>
      <c r="Q26" s="61"/>
    </row>
    <row r="27" spans="1:17" x14ac:dyDescent="0.3">
      <c r="A27" s="31"/>
      <c r="B27" s="37">
        <v>2005</v>
      </c>
      <c r="C27" s="32">
        <v>242.91692441818083</v>
      </c>
      <c r="D27" s="32">
        <v>565.94758065794213</v>
      </c>
      <c r="E27" s="32">
        <v>6.2893455629107349</v>
      </c>
      <c r="F27" s="32">
        <v>815.15385063903364</v>
      </c>
      <c r="G27" s="23"/>
      <c r="H27" s="21"/>
      <c r="I27" s="21"/>
      <c r="K27" s="61"/>
      <c r="L27" s="61"/>
      <c r="M27" s="62"/>
      <c r="N27" s="62"/>
      <c r="O27" s="62"/>
      <c r="P27" s="62"/>
      <c r="Q27" s="61"/>
    </row>
    <row r="28" spans="1:17" x14ac:dyDescent="0.3">
      <c r="A28" s="31"/>
      <c r="B28" s="37">
        <v>2006</v>
      </c>
      <c r="C28" s="32">
        <v>224.77902988896437</v>
      </c>
      <c r="D28" s="32">
        <v>185.69165138812531</v>
      </c>
      <c r="E28" s="32">
        <v>2.5522335243270136</v>
      </c>
      <c r="F28" s="32">
        <v>413.02291480141668</v>
      </c>
      <c r="G28" s="23"/>
      <c r="H28" s="21"/>
      <c r="I28" s="21"/>
      <c r="K28" s="61"/>
      <c r="L28" s="61"/>
      <c r="M28" s="62"/>
      <c r="N28" s="62"/>
      <c r="O28" s="62"/>
      <c r="P28" s="62"/>
      <c r="Q28" s="61"/>
    </row>
    <row r="29" spans="1:17" x14ac:dyDescent="0.3">
      <c r="A29" s="31"/>
      <c r="B29" s="37">
        <v>2007</v>
      </c>
      <c r="C29" s="32">
        <v>197.91324171844747</v>
      </c>
      <c r="D29" s="32">
        <v>267.84061048968584</v>
      </c>
      <c r="E29" s="32">
        <v>388.6113247645668</v>
      </c>
      <c r="F29" s="32">
        <v>854.36517697270006</v>
      </c>
      <c r="G29" s="23"/>
      <c r="H29" s="21"/>
      <c r="I29" s="21"/>
      <c r="K29" s="61"/>
      <c r="L29" s="61"/>
      <c r="M29" s="62"/>
      <c r="N29" s="62"/>
      <c r="O29" s="62"/>
      <c r="P29" s="62"/>
      <c r="Q29" s="61"/>
    </row>
    <row r="30" spans="1:17" x14ac:dyDescent="0.3">
      <c r="A30" s="31"/>
      <c r="B30" s="37">
        <v>2008</v>
      </c>
      <c r="C30" s="32">
        <v>534.54222069189882</v>
      </c>
      <c r="D30" s="32">
        <v>87.076117099872008</v>
      </c>
      <c r="E30" s="32">
        <v>28.392519461512062</v>
      </c>
      <c r="F30" s="32">
        <v>650.01085725328289</v>
      </c>
      <c r="G30" s="23"/>
      <c r="H30" s="21"/>
      <c r="I30" s="21"/>
      <c r="K30" s="61"/>
      <c r="L30" s="61"/>
      <c r="M30" s="62"/>
      <c r="N30" s="62"/>
      <c r="O30" s="62"/>
      <c r="P30" s="62"/>
      <c r="Q30" s="61"/>
    </row>
    <row r="31" spans="1:17" x14ac:dyDescent="0.3">
      <c r="A31" s="31"/>
      <c r="B31" s="37">
        <v>2009</v>
      </c>
      <c r="C31" s="32">
        <v>235.37447665593803</v>
      </c>
      <c r="D31" s="32">
        <v>335.72456520726911</v>
      </c>
      <c r="E31" s="32">
        <v>26.78774726511832</v>
      </c>
      <c r="F31" s="32">
        <v>597.88678912832552</v>
      </c>
      <c r="G31" s="23"/>
      <c r="H31" s="21"/>
      <c r="I31" s="21"/>
      <c r="K31" s="61"/>
      <c r="L31" s="61"/>
      <c r="M31" s="62"/>
      <c r="N31" s="62"/>
      <c r="O31" s="62"/>
      <c r="P31" s="62"/>
      <c r="Q31" s="61"/>
    </row>
    <row r="32" spans="1:17" x14ac:dyDescent="0.3">
      <c r="A32" s="32"/>
      <c r="B32" s="37">
        <v>2010</v>
      </c>
      <c r="C32" s="32">
        <v>1575.0483696944016</v>
      </c>
      <c r="D32" s="32">
        <v>52.065309683307021</v>
      </c>
      <c r="E32" s="32">
        <v>148.68048979282887</v>
      </c>
      <c r="F32" s="32">
        <v>1775.7941691705375</v>
      </c>
      <c r="G32" s="23"/>
      <c r="H32" s="21"/>
      <c r="I32" s="21"/>
      <c r="K32" s="61"/>
      <c r="L32" s="61"/>
      <c r="M32" s="62"/>
      <c r="N32" s="62"/>
      <c r="O32" s="62"/>
      <c r="P32" s="62"/>
      <c r="Q32" s="61"/>
    </row>
    <row r="33" spans="1:17" x14ac:dyDescent="0.3">
      <c r="A33" s="32"/>
      <c r="B33" s="37">
        <v>2011</v>
      </c>
      <c r="C33" s="32">
        <v>368.43425891965398</v>
      </c>
      <c r="D33" s="32">
        <v>963.57185912728812</v>
      </c>
      <c r="E33" s="32">
        <v>14.898202176017602</v>
      </c>
      <c r="F33" s="32">
        <v>1346.9043202229595</v>
      </c>
      <c r="G33" s="23"/>
      <c r="H33" s="21"/>
      <c r="I33" s="21"/>
      <c r="K33" s="61"/>
      <c r="L33" s="61"/>
      <c r="M33" s="62"/>
      <c r="N33" s="62"/>
      <c r="O33" s="62"/>
      <c r="P33" s="62"/>
      <c r="Q33" s="61"/>
    </row>
    <row r="34" spans="1:17" x14ac:dyDescent="0.3">
      <c r="A34" s="32"/>
      <c r="B34" s="37">
        <v>2012</v>
      </c>
      <c r="C34" s="32">
        <v>213.60139892507473</v>
      </c>
      <c r="D34" s="32">
        <v>214.82900778161559</v>
      </c>
      <c r="E34" s="32">
        <v>8.5610317710955606</v>
      </c>
      <c r="F34" s="32">
        <v>436.99143847778583</v>
      </c>
      <c r="G34" s="23"/>
      <c r="H34" s="21"/>
      <c r="I34" s="21"/>
      <c r="K34" s="61"/>
      <c r="L34" s="61"/>
      <c r="M34" s="62"/>
      <c r="N34" s="62"/>
      <c r="O34" s="62"/>
      <c r="P34" s="62"/>
      <c r="Q34" s="61"/>
    </row>
    <row r="35" spans="1:17" x14ac:dyDescent="0.3">
      <c r="A35" s="33"/>
      <c r="B35" s="37">
        <v>2013</v>
      </c>
      <c r="C35" s="32">
        <v>431.7801045474182</v>
      </c>
      <c r="D35" s="32">
        <v>10.019834130664851</v>
      </c>
      <c r="E35" s="32">
        <v>37.385667929720476</v>
      </c>
      <c r="F35" s="32">
        <v>479.18560660780349</v>
      </c>
      <c r="G35" s="23"/>
      <c r="H35" s="21"/>
      <c r="I35" s="21"/>
      <c r="K35" s="62"/>
      <c r="L35" s="61"/>
      <c r="M35" s="62"/>
      <c r="N35" s="62"/>
      <c r="O35" s="62"/>
      <c r="P35" s="62"/>
      <c r="Q35" s="61"/>
    </row>
    <row r="36" spans="1:17" x14ac:dyDescent="0.3">
      <c r="A36" s="33"/>
      <c r="B36" s="37">
        <v>2014</v>
      </c>
      <c r="C36" s="32">
        <v>739.56630133577573</v>
      </c>
      <c r="D36" s="32">
        <v>25.886627012790363</v>
      </c>
      <c r="E36" s="32">
        <v>43.819040929512269</v>
      </c>
      <c r="F36" s="32">
        <v>809.27196927807836</v>
      </c>
      <c r="G36" s="23"/>
      <c r="H36" s="21"/>
      <c r="I36" s="21"/>
      <c r="K36" s="62"/>
      <c r="L36" s="61"/>
      <c r="M36" s="62"/>
      <c r="N36" s="62"/>
      <c r="O36" s="62"/>
      <c r="P36" s="62"/>
      <c r="Q36" s="61"/>
    </row>
    <row r="37" spans="1:17" x14ac:dyDescent="0.3">
      <c r="A37" s="34">
        <v>29.745404152049804</v>
      </c>
      <c r="B37" s="37" t="s">
        <v>89</v>
      </c>
      <c r="C37" s="32">
        <v>681.55690084708976</v>
      </c>
      <c r="D37" s="32">
        <v>91.720849441220366</v>
      </c>
      <c r="E37" s="32">
        <v>23.645044392112375</v>
      </c>
      <c r="F37" s="32">
        <v>796.9227946804225</v>
      </c>
      <c r="G37" s="23"/>
      <c r="H37" s="21"/>
      <c r="I37" s="21"/>
      <c r="K37" s="62"/>
      <c r="L37" s="61"/>
      <c r="M37" s="62"/>
      <c r="N37" s="62"/>
      <c r="O37" s="62"/>
      <c r="P37" s="62"/>
      <c r="Q37" s="61"/>
    </row>
    <row r="38" spans="1:17" x14ac:dyDescent="0.3">
      <c r="A38" s="34">
        <v>117.68600375699397</v>
      </c>
      <c r="B38" s="37" t="s">
        <v>90</v>
      </c>
      <c r="C38" s="32">
        <v>1285.8828649261543</v>
      </c>
      <c r="D38" s="32">
        <v>1008.7030223670864</v>
      </c>
      <c r="E38" s="32">
        <v>34.677834169284466</v>
      </c>
      <c r="F38" s="32">
        <v>2329.2637214625252</v>
      </c>
      <c r="G38" s="23"/>
      <c r="H38" s="21"/>
      <c r="I38" s="21"/>
      <c r="K38" s="64"/>
      <c r="L38" s="61"/>
      <c r="M38" s="62"/>
      <c r="N38" s="62"/>
      <c r="O38" s="62"/>
      <c r="P38" s="62"/>
      <c r="Q38" s="61"/>
    </row>
    <row r="39" spans="1:17" x14ac:dyDescent="0.3">
      <c r="A39" s="34">
        <v>204.63307695493771</v>
      </c>
      <c r="B39" s="37" t="s">
        <v>91</v>
      </c>
      <c r="C39" s="32">
        <v>90.62172620645778</v>
      </c>
      <c r="D39" s="32">
        <v>1235.5771130025489</v>
      </c>
      <c r="E39" s="32">
        <v>2393.501909110114</v>
      </c>
      <c r="F39" s="32">
        <v>3719.700748319121</v>
      </c>
      <c r="G39" s="23"/>
      <c r="H39" s="21"/>
      <c r="I39" s="21"/>
      <c r="K39" s="64"/>
      <c r="L39" s="61"/>
      <c r="M39" s="62"/>
      <c r="N39" s="62"/>
      <c r="O39" s="62"/>
      <c r="P39" s="62"/>
      <c r="Q39" s="61"/>
    </row>
    <row r="40" spans="1:17" x14ac:dyDescent="0.3">
      <c r="A40" s="34">
        <v>173.6569452514849</v>
      </c>
      <c r="B40" s="37" t="s">
        <v>92</v>
      </c>
      <c r="C40" s="32">
        <v>932.85561383092249</v>
      </c>
      <c r="D40" s="32">
        <v>1875.7983724678706</v>
      </c>
      <c r="E40" s="32">
        <v>21.711232242065378</v>
      </c>
      <c r="F40" s="32">
        <v>2830.3652185408582</v>
      </c>
      <c r="G40" s="25"/>
      <c r="H40" s="21"/>
      <c r="I40" s="21"/>
      <c r="K40" s="60"/>
      <c r="L40" s="61"/>
      <c r="M40" s="62"/>
      <c r="N40" s="62"/>
      <c r="O40" s="62"/>
      <c r="P40" s="62"/>
      <c r="Q40" s="61"/>
    </row>
    <row r="41" spans="1:17" x14ac:dyDescent="0.3">
      <c r="A41" s="34">
        <v>140.83140119484233</v>
      </c>
      <c r="B41" s="37" t="s">
        <v>93</v>
      </c>
      <c r="C41" s="35">
        <v>566.97645336295795</v>
      </c>
      <c r="D41" s="35">
        <v>1114.9342686003595</v>
      </c>
      <c r="E41" s="35">
        <v>326.40860038743693</v>
      </c>
      <c r="F41" s="32">
        <v>2008.3193223507544</v>
      </c>
      <c r="G41" s="23"/>
      <c r="H41" s="21"/>
      <c r="I41" s="21"/>
      <c r="K41" s="60"/>
      <c r="L41" s="61"/>
      <c r="M41" s="62"/>
      <c r="N41" s="62"/>
      <c r="O41" s="62"/>
      <c r="P41" s="62"/>
      <c r="Q41" s="61"/>
    </row>
    <row r="42" spans="1:17" x14ac:dyDescent="0.3">
      <c r="A42" s="34">
        <v>161.72671336308085</v>
      </c>
      <c r="B42" s="37" t="s">
        <v>94</v>
      </c>
      <c r="C42" s="32">
        <v>408.51395510238012</v>
      </c>
      <c r="D42" s="32">
        <v>1258.2949076060916</v>
      </c>
      <c r="E42" s="32">
        <v>67.822425446790817</v>
      </c>
      <c r="F42" s="32">
        <v>1734.6312881552626</v>
      </c>
      <c r="G42" s="23"/>
      <c r="H42" s="21"/>
      <c r="I42" s="21"/>
      <c r="K42" s="72"/>
      <c r="L42" s="61"/>
      <c r="M42" s="62"/>
      <c r="N42" s="62"/>
      <c r="O42" s="62"/>
      <c r="P42" s="62"/>
      <c r="Q42" s="61"/>
    </row>
    <row r="43" spans="1:17" x14ac:dyDescent="0.3">
      <c r="A43" s="60">
        <v>10.429644341585853</v>
      </c>
      <c r="B43" s="37" t="s">
        <v>95</v>
      </c>
      <c r="C43" s="32">
        <v>497.60525211086855</v>
      </c>
      <c r="D43" s="32">
        <v>135.52446486528012</v>
      </c>
      <c r="E43" s="32">
        <v>0.2096186383504334</v>
      </c>
      <c r="F43" s="32">
        <v>633.33933561449908</v>
      </c>
      <c r="G43" s="23"/>
      <c r="H43" s="21"/>
      <c r="I43" s="21"/>
      <c r="K43" s="60"/>
      <c r="L43" s="61"/>
      <c r="M43" s="62"/>
      <c r="N43" s="62"/>
      <c r="O43" s="62"/>
      <c r="P43" s="62"/>
      <c r="Q43" s="61"/>
    </row>
    <row r="44" spans="1:17" x14ac:dyDescent="0.3">
      <c r="A44" s="60">
        <v>250</v>
      </c>
      <c r="B44" s="37" t="s">
        <v>96</v>
      </c>
      <c r="C44" s="32">
        <v>301.38463354730237</v>
      </c>
      <c r="D44" s="32">
        <v>2864.9520691489711</v>
      </c>
      <c r="E44" s="32">
        <v>0</v>
      </c>
      <c r="F44" s="32">
        <v>3166.3367026962733</v>
      </c>
      <c r="G44" s="23"/>
      <c r="H44" s="21"/>
      <c r="I44" s="21"/>
      <c r="K44" s="60"/>
      <c r="L44" s="61"/>
      <c r="M44" s="62"/>
      <c r="N44" s="62"/>
      <c r="O44" s="62"/>
      <c r="P44" s="62"/>
      <c r="Q44" s="61"/>
    </row>
    <row r="45" spans="1:17" x14ac:dyDescent="0.3">
      <c r="A45" s="24"/>
      <c r="B45" s="37" t="s">
        <v>26</v>
      </c>
      <c r="C45" s="32">
        <f>SUM(C5:C44)</f>
        <v>24767.746441459345</v>
      </c>
      <c r="D45" s="32">
        <f t="shared" ref="D45:F45" si="0">SUM(D5:D44)</f>
        <v>20774.23734392969</v>
      </c>
      <c r="E45" s="32">
        <f t="shared" si="0"/>
        <v>4394.6074531976492</v>
      </c>
      <c r="F45" s="32">
        <f t="shared" si="0"/>
        <v>49936.591238586698</v>
      </c>
      <c r="G45" s="23"/>
      <c r="H45" s="21"/>
      <c r="I45" s="21"/>
      <c r="K45" s="60"/>
      <c r="L45" s="61"/>
      <c r="M45" s="62"/>
      <c r="N45" s="62"/>
      <c r="O45" s="62"/>
      <c r="P45" s="62"/>
      <c r="Q45" s="65"/>
    </row>
    <row r="46" spans="1:17" ht="16.8" x14ac:dyDescent="0.3">
      <c r="A46" s="21"/>
      <c r="B46" s="37" t="s">
        <v>13</v>
      </c>
      <c r="C46" s="36">
        <f>C45/F45</f>
        <v>0.49598392335440317</v>
      </c>
      <c r="D46" s="36">
        <f>D45/F45</f>
        <v>0.41601232340178534</v>
      </c>
      <c r="E46" s="36">
        <f>E45/F45</f>
        <v>8.8003753243811225E-2</v>
      </c>
      <c r="F46" s="32"/>
      <c r="G46" s="23"/>
      <c r="H46" s="21"/>
      <c r="I46" s="21"/>
      <c r="K46" s="66"/>
      <c r="L46" s="61"/>
      <c r="M46" s="67"/>
      <c r="N46" s="67"/>
      <c r="O46" s="67"/>
      <c r="P46" s="62"/>
      <c r="Q46" s="61"/>
    </row>
    <row r="47" spans="1:17" ht="16.8" x14ac:dyDescent="0.3">
      <c r="A47" s="57" t="s">
        <v>80</v>
      </c>
      <c r="B47" s="57"/>
      <c r="C47" s="57"/>
      <c r="D47" s="57"/>
      <c r="E47" s="57"/>
      <c r="F47" s="84"/>
      <c r="G47" s="84"/>
      <c r="H47" s="84"/>
      <c r="I47" s="84"/>
      <c r="J47" s="84"/>
      <c r="K47" s="66"/>
      <c r="L47" s="61"/>
      <c r="M47" s="67"/>
      <c r="N47" s="67"/>
      <c r="O47" s="67"/>
      <c r="P47" s="62"/>
      <c r="Q47" s="61"/>
    </row>
    <row r="48" spans="1:17" ht="16.8" x14ac:dyDescent="0.3">
      <c r="A48" s="59" t="s">
        <v>87</v>
      </c>
      <c r="C48" s="22"/>
      <c r="D48" s="22"/>
      <c r="E48" s="22"/>
      <c r="F48" s="22"/>
      <c r="G48" s="23"/>
      <c r="H48" s="21"/>
      <c r="I48" s="21"/>
      <c r="K48" s="68"/>
      <c r="L48" s="61"/>
      <c r="M48" s="62"/>
      <c r="N48" s="62"/>
      <c r="O48" s="62"/>
      <c r="P48" s="62"/>
      <c r="Q48" s="69"/>
    </row>
    <row r="49" spans="1:17" ht="16.8" x14ac:dyDescent="0.3">
      <c r="A49" s="59" t="s">
        <v>88</v>
      </c>
      <c r="B49" s="40"/>
      <c r="C49" s="22"/>
      <c r="D49" s="22"/>
      <c r="E49" s="22"/>
      <c r="F49" s="22"/>
      <c r="G49" s="23"/>
      <c r="H49" s="21"/>
      <c r="I49" s="21"/>
      <c r="K49" s="70"/>
      <c r="L49" s="70"/>
      <c r="M49" s="70"/>
      <c r="N49" s="70"/>
      <c r="O49" s="70"/>
      <c r="P49" s="70"/>
      <c r="Q49" s="61"/>
    </row>
    <row r="50" spans="1:17" ht="16.8" x14ac:dyDescent="0.3">
      <c r="A50" s="71" t="s">
        <v>99</v>
      </c>
      <c r="B50" s="40"/>
      <c r="C50" s="27"/>
      <c r="D50" s="27"/>
      <c r="E50" s="22"/>
      <c r="F50" s="26"/>
      <c r="G50" s="23"/>
      <c r="H50" s="21"/>
      <c r="I50" s="21"/>
      <c r="Q50" s="21"/>
    </row>
    <row r="51" spans="1:17" x14ac:dyDescent="0.3">
      <c r="A51" s="21"/>
      <c r="B51" s="40"/>
      <c r="C51" s="27"/>
      <c r="D51" s="22"/>
      <c r="E51" s="22"/>
      <c r="F51" s="26"/>
      <c r="G51" s="23"/>
      <c r="H51" s="21"/>
      <c r="I51" s="21"/>
      <c r="Q51" s="21"/>
    </row>
    <row r="52" spans="1:17" x14ac:dyDescent="0.3">
      <c r="A52" s="21"/>
      <c r="B52" s="40"/>
      <c r="C52" s="27"/>
      <c r="D52" s="22"/>
      <c r="E52" s="22"/>
      <c r="F52" s="26"/>
      <c r="G52" s="23"/>
      <c r="H52" s="21"/>
      <c r="I52" s="21"/>
      <c r="Q52" s="21"/>
    </row>
    <row r="53" spans="1:17" ht="34.5" customHeight="1" x14ac:dyDescent="0.3">
      <c r="A53" s="83" t="s">
        <v>101</v>
      </c>
      <c r="B53" s="83"/>
      <c r="C53" s="83"/>
      <c r="D53" s="83"/>
      <c r="E53" s="83"/>
      <c r="F53" s="83"/>
      <c r="G53" s="83"/>
      <c r="H53" s="83"/>
      <c r="I53" s="83"/>
      <c r="J53" s="83"/>
    </row>
    <row r="54" spans="1:17" ht="19.2" x14ac:dyDescent="0.3">
      <c r="A54" s="54" t="s">
        <v>100</v>
      </c>
    </row>
  </sheetData>
  <mergeCells count="2">
    <mergeCell ref="A53:J53"/>
    <mergeCell ref="F47:J4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showGridLines="0" topLeftCell="K4" zoomScaleNormal="100" workbookViewId="0">
      <selection activeCell="O33" sqref="O33"/>
    </sheetView>
  </sheetViews>
  <sheetFormatPr baseColWidth="10" defaultRowHeight="14.4" x14ac:dyDescent="0.3"/>
  <cols>
    <col min="1" max="1" width="21.77734375" customWidth="1"/>
    <col min="2" max="2" width="12.5546875" bestFit="1" customWidth="1"/>
    <col min="3" max="3" width="23" bestFit="1" customWidth="1"/>
    <col min="4" max="4" width="8.44140625" bestFit="1" customWidth="1"/>
    <col min="5" max="5" width="15.21875" bestFit="1" customWidth="1"/>
    <col min="6" max="6" width="38" bestFit="1" customWidth="1"/>
    <col min="7" max="7" width="7.77734375" bestFit="1" customWidth="1"/>
    <col min="8" max="8" width="14.77734375" bestFit="1" customWidth="1"/>
    <col min="9" max="9" width="15.44140625" bestFit="1" customWidth="1"/>
    <col min="10" max="10" width="49.5546875" bestFit="1" customWidth="1"/>
  </cols>
  <sheetData>
    <row r="1" spans="1:10" x14ac:dyDescent="0.3">
      <c r="A1" s="20" t="s">
        <v>69</v>
      </c>
    </row>
    <row r="2" spans="1:10" x14ac:dyDescent="0.3">
      <c r="A2" s="15" t="s">
        <v>13</v>
      </c>
    </row>
    <row r="4" spans="1:10" s="55" customFormat="1" x14ac:dyDescent="0.3">
      <c r="A4" s="51" t="s">
        <v>42</v>
      </c>
      <c r="B4" s="51" t="s">
        <v>1</v>
      </c>
      <c r="C4" s="51" t="s">
        <v>82</v>
      </c>
      <c r="D4" s="51" t="s">
        <v>83</v>
      </c>
      <c r="E4" s="51" t="s">
        <v>27</v>
      </c>
      <c r="F4" s="51" t="s">
        <v>84</v>
      </c>
      <c r="G4" s="51" t="s">
        <v>23</v>
      </c>
      <c r="H4" s="51" t="s">
        <v>8</v>
      </c>
      <c r="I4" s="51" t="s">
        <v>64</v>
      </c>
      <c r="J4" s="51" t="s">
        <v>65</v>
      </c>
    </row>
    <row r="5" spans="1:10" x14ac:dyDescent="0.3">
      <c r="A5" s="30" t="s">
        <v>50</v>
      </c>
      <c r="B5" s="29">
        <v>1</v>
      </c>
      <c r="C5" s="29">
        <v>2</v>
      </c>
      <c r="D5" s="29">
        <v>0</v>
      </c>
      <c r="E5" s="29">
        <v>0</v>
      </c>
      <c r="F5" s="29">
        <v>0</v>
      </c>
      <c r="G5" s="29">
        <v>0</v>
      </c>
      <c r="H5" s="29">
        <v>3</v>
      </c>
      <c r="I5" s="56">
        <v>2.2058823529411764E-3</v>
      </c>
      <c r="J5" s="56">
        <v>0.33333333333333331</v>
      </c>
    </row>
    <row r="6" spans="1:10" x14ac:dyDescent="0.3">
      <c r="A6" s="30" t="s">
        <v>62</v>
      </c>
      <c r="B6" s="29">
        <v>0</v>
      </c>
      <c r="C6" s="29">
        <v>1</v>
      </c>
      <c r="D6" s="29">
        <v>0</v>
      </c>
      <c r="E6" s="29">
        <v>0</v>
      </c>
      <c r="F6" s="29">
        <v>0</v>
      </c>
      <c r="G6" s="29">
        <v>3</v>
      </c>
      <c r="H6" s="29">
        <v>4</v>
      </c>
      <c r="I6" s="56">
        <v>2.9411764705882353E-3</v>
      </c>
      <c r="J6" s="56">
        <v>0</v>
      </c>
    </row>
    <row r="7" spans="1:10" x14ac:dyDescent="0.3">
      <c r="A7" s="30" t="s">
        <v>63</v>
      </c>
      <c r="B7" s="29">
        <v>0</v>
      </c>
      <c r="C7" s="29">
        <v>3</v>
      </c>
      <c r="D7" s="29">
        <v>0</v>
      </c>
      <c r="E7" s="29">
        <v>1</v>
      </c>
      <c r="F7" s="29">
        <v>0</v>
      </c>
      <c r="G7" s="29">
        <v>4</v>
      </c>
      <c r="H7" s="29">
        <v>8</v>
      </c>
      <c r="I7" s="56">
        <v>5.8823529411764705E-3</v>
      </c>
      <c r="J7" s="56">
        <v>0</v>
      </c>
    </row>
    <row r="8" spans="1:10" x14ac:dyDescent="0.3">
      <c r="A8" s="30" t="s">
        <v>86</v>
      </c>
      <c r="B8" s="29">
        <v>4</v>
      </c>
      <c r="C8" s="29">
        <v>3</v>
      </c>
      <c r="D8" s="29">
        <v>2</v>
      </c>
      <c r="E8" s="29">
        <v>0</v>
      </c>
      <c r="F8" s="29">
        <v>0</v>
      </c>
      <c r="G8" s="29">
        <v>2</v>
      </c>
      <c r="H8" s="29">
        <v>11</v>
      </c>
      <c r="I8" s="56">
        <v>8.0882352941176478E-3</v>
      </c>
      <c r="J8" s="56">
        <v>0.36363636363636365</v>
      </c>
    </row>
    <row r="9" spans="1:10" x14ac:dyDescent="0.3">
      <c r="A9" s="30" t="s">
        <v>41</v>
      </c>
      <c r="B9" s="29">
        <v>3</v>
      </c>
      <c r="C9" s="29">
        <v>9</v>
      </c>
      <c r="D9" s="29">
        <v>0</v>
      </c>
      <c r="E9" s="29">
        <v>0</v>
      </c>
      <c r="F9" s="29">
        <v>0</v>
      </c>
      <c r="G9" s="29">
        <v>1</v>
      </c>
      <c r="H9" s="29">
        <v>13</v>
      </c>
      <c r="I9" s="56">
        <v>9.5588235294117654E-3</v>
      </c>
      <c r="J9" s="56">
        <v>0.23076923076923078</v>
      </c>
    </row>
    <row r="10" spans="1:10" x14ac:dyDescent="0.3">
      <c r="A10" s="30" t="s">
        <v>60</v>
      </c>
      <c r="B10" s="29">
        <v>1</v>
      </c>
      <c r="C10" s="29">
        <v>0</v>
      </c>
      <c r="D10" s="29">
        <v>3</v>
      </c>
      <c r="E10" s="29">
        <v>0</v>
      </c>
      <c r="F10" s="29">
        <v>4</v>
      </c>
      <c r="G10" s="29">
        <v>5</v>
      </c>
      <c r="H10" s="29">
        <v>13</v>
      </c>
      <c r="I10" s="56">
        <v>9.5588235294117654E-3</v>
      </c>
      <c r="J10" s="56">
        <v>7.6923076923076927E-2</v>
      </c>
    </row>
    <row r="11" spans="1:10" x14ac:dyDescent="0.3">
      <c r="A11" s="30" t="s">
        <v>57</v>
      </c>
      <c r="B11" s="29">
        <v>3</v>
      </c>
      <c r="C11" s="29">
        <v>8</v>
      </c>
      <c r="D11" s="29">
        <v>0</v>
      </c>
      <c r="E11" s="29">
        <v>1</v>
      </c>
      <c r="F11" s="29">
        <v>1</v>
      </c>
      <c r="G11" s="29">
        <v>1</v>
      </c>
      <c r="H11" s="29">
        <v>14</v>
      </c>
      <c r="I11" s="56">
        <v>1.0294117647058823E-2</v>
      </c>
      <c r="J11" s="56">
        <v>0.21428571428571427</v>
      </c>
    </row>
    <row r="12" spans="1:10" x14ac:dyDescent="0.3">
      <c r="A12" s="30" t="s">
        <v>58</v>
      </c>
      <c r="B12" s="29">
        <v>2</v>
      </c>
      <c r="C12" s="29">
        <v>3</v>
      </c>
      <c r="D12" s="29">
        <v>0</v>
      </c>
      <c r="E12" s="29">
        <v>0</v>
      </c>
      <c r="F12" s="29">
        <v>0</v>
      </c>
      <c r="G12" s="29">
        <v>9</v>
      </c>
      <c r="H12" s="29">
        <v>14</v>
      </c>
      <c r="I12" s="56">
        <v>1.0294117647058823E-2</v>
      </c>
      <c r="J12" s="56">
        <v>0.14285714285714285</v>
      </c>
    </row>
    <row r="13" spans="1:10" x14ac:dyDescent="0.3">
      <c r="A13" s="30" t="s">
        <v>61</v>
      </c>
      <c r="B13" s="29">
        <v>0</v>
      </c>
      <c r="C13" s="29">
        <v>15</v>
      </c>
      <c r="D13" s="29">
        <v>0</v>
      </c>
      <c r="E13" s="29">
        <v>0</v>
      </c>
      <c r="F13" s="29">
        <v>0</v>
      </c>
      <c r="G13" s="29">
        <v>1</v>
      </c>
      <c r="H13" s="29">
        <v>16</v>
      </c>
      <c r="I13" s="56">
        <v>1.1764705882352941E-2</v>
      </c>
      <c r="J13" s="56">
        <v>0</v>
      </c>
    </row>
    <row r="14" spans="1:10" x14ac:dyDescent="0.3">
      <c r="A14" s="30" t="s">
        <v>43</v>
      </c>
      <c r="B14" s="29">
        <v>14</v>
      </c>
      <c r="C14" s="29">
        <v>3</v>
      </c>
      <c r="D14" s="29">
        <v>0</v>
      </c>
      <c r="E14" s="29">
        <v>1</v>
      </c>
      <c r="F14" s="29">
        <v>0</v>
      </c>
      <c r="G14" s="29">
        <v>5</v>
      </c>
      <c r="H14" s="29">
        <v>23</v>
      </c>
      <c r="I14" s="56">
        <v>1.6911764705882352E-2</v>
      </c>
      <c r="J14" s="56">
        <v>0.60869565217391308</v>
      </c>
    </row>
    <row r="15" spans="1:10" x14ac:dyDescent="0.3">
      <c r="A15" s="30" t="s">
        <v>54</v>
      </c>
      <c r="B15" s="29">
        <v>6</v>
      </c>
      <c r="C15" s="29">
        <v>17</v>
      </c>
      <c r="D15" s="29">
        <v>0</v>
      </c>
      <c r="E15" s="29">
        <v>0</v>
      </c>
      <c r="F15" s="29">
        <v>0</v>
      </c>
      <c r="G15" s="29">
        <v>0</v>
      </c>
      <c r="H15" s="29">
        <v>23</v>
      </c>
      <c r="I15" s="56">
        <v>1.6911764705882352E-2</v>
      </c>
      <c r="J15" s="56">
        <v>0.2608695652173913</v>
      </c>
    </row>
    <row r="16" spans="1:10" x14ac:dyDescent="0.3">
      <c r="A16" s="30" t="s">
        <v>47</v>
      </c>
      <c r="B16" s="29">
        <v>12</v>
      </c>
      <c r="C16" s="29">
        <v>2</v>
      </c>
      <c r="D16" s="29">
        <v>3</v>
      </c>
      <c r="E16" s="29">
        <v>6</v>
      </c>
      <c r="F16" s="29">
        <v>0</v>
      </c>
      <c r="G16" s="29">
        <v>7</v>
      </c>
      <c r="H16" s="29">
        <v>30</v>
      </c>
      <c r="I16" s="56">
        <v>2.2058823529411766E-2</v>
      </c>
      <c r="J16" s="56">
        <v>0.4</v>
      </c>
    </row>
    <row r="17" spans="1:10" x14ac:dyDescent="0.3">
      <c r="A17" s="30" t="s">
        <v>45</v>
      </c>
      <c r="B17" s="29">
        <v>16</v>
      </c>
      <c r="C17" s="29">
        <v>8</v>
      </c>
      <c r="D17" s="29">
        <v>1</v>
      </c>
      <c r="E17" s="29">
        <v>0</v>
      </c>
      <c r="F17" s="29">
        <v>0</v>
      </c>
      <c r="G17" s="29">
        <v>9</v>
      </c>
      <c r="H17" s="29">
        <v>34</v>
      </c>
      <c r="I17" s="56">
        <v>2.5000000000000001E-2</v>
      </c>
      <c r="J17" s="56">
        <v>0.47058823529411764</v>
      </c>
    </row>
    <row r="18" spans="1:10" x14ac:dyDescent="0.3">
      <c r="A18" s="30" t="s">
        <v>85</v>
      </c>
      <c r="B18" s="29">
        <v>15</v>
      </c>
      <c r="C18" s="29">
        <v>14</v>
      </c>
      <c r="D18" s="29">
        <v>0</v>
      </c>
      <c r="E18" s="29">
        <v>0</v>
      </c>
      <c r="F18" s="29">
        <v>2</v>
      </c>
      <c r="G18" s="29">
        <v>9</v>
      </c>
      <c r="H18" s="29">
        <v>40</v>
      </c>
      <c r="I18" s="56">
        <v>2.9411764705882353E-2</v>
      </c>
      <c r="J18" s="56">
        <v>0.375</v>
      </c>
    </row>
    <row r="19" spans="1:10" x14ac:dyDescent="0.3">
      <c r="A19" s="30" t="s">
        <v>59</v>
      </c>
      <c r="B19" s="29">
        <v>5</v>
      </c>
      <c r="C19" s="29">
        <v>27</v>
      </c>
      <c r="D19" s="29">
        <v>1</v>
      </c>
      <c r="E19" s="29">
        <v>0</v>
      </c>
      <c r="F19" s="29">
        <v>0</v>
      </c>
      <c r="G19" s="29">
        <v>8</v>
      </c>
      <c r="H19" s="29">
        <v>41</v>
      </c>
      <c r="I19" s="56">
        <v>3.0147058823529412E-2</v>
      </c>
      <c r="J19" s="56">
        <v>0.12195121951219512</v>
      </c>
    </row>
    <row r="20" spans="1:10" x14ac:dyDescent="0.3">
      <c r="A20" s="30" t="s">
        <v>46</v>
      </c>
      <c r="B20" s="29">
        <v>21</v>
      </c>
      <c r="C20" s="29">
        <v>6</v>
      </c>
      <c r="D20" s="29">
        <v>6</v>
      </c>
      <c r="E20" s="29">
        <v>5</v>
      </c>
      <c r="F20" s="29">
        <v>1</v>
      </c>
      <c r="G20" s="29">
        <v>11</v>
      </c>
      <c r="H20" s="29">
        <v>50</v>
      </c>
      <c r="I20" s="56">
        <v>3.6764705882352942E-2</v>
      </c>
      <c r="J20" s="56">
        <v>0.42</v>
      </c>
    </row>
    <row r="21" spans="1:10" x14ac:dyDescent="0.3">
      <c r="A21" s="30" t="s">
        <v>49</v>
      </c>
      <c r="B21" s="29">
        <v>18</v>
      </c>
      <c r="C21" s="29">
        <v>20</v>
      </c>
      <c r="D21" s="29">
        <v>1</v>
      </c>
      <c r="E21" s="29">
        <v>0</v>
      </c>
      <c r="F21" s="29">
        <v>8</v>
      </c>
      <c r="G21" s="29">
        <v>6</v>
      </c>
      <c r="H21" s="29">
        <v>53</v>
      </c>
      <c r="I21" s="56">
        <v>3.8970588235294118E-2</v>
      </c>
      <c r="J21" s="56">
        <v>0.33962264150943394</v>
      </c>
    </row>
    <row r="22" spans="1:10" x14ac:dyDescent="0.3">
      <c r="A22" s="30" t="s">
        <v>40</v>
      </c>
      <c r="B22" s="29">
        <v>14</v>
      </c>
      <c r="C22" s="29">
        <v>14</v>
      </c>
      <c r="D22" s="29">
        <v>5</v>
      </c>
      <c r="E22" s="29">
        <v>14</v>
      </c>
      <c r="F22" s="29">
        <v>1</v>
      </c>
      <c r="G22" s="29">
        <v>9</v>
      </c>
      <c r="H22" s="29">
        <v>57</v>
      </c>
      <c r="I22" s="56">
        <v>4.191176470588235E-2</v>
      </c>
      <c r="J22" s="56">
        <v>0.24561403508771928</v>
      </c>
    </row>
    <row r="23" spans="1:10" x14ac:dyDescent="0.3">
      <c r="A23" s="30" t="s">
        <v>55</v>
      </c>
      <c r="B23" s="29">
        <v>16</v>
      </c>
      <c r="C23" s="29">
        <v>23</v>
      </c>
      <c r="D23" s="29">
        <v>1</v>
      </c>
      <c r="E23" s="29">
        <v>2</v>
      </c>
      <c r="F23" s="29">
        <v>0</v>
      </c>
      <c r="G23" s="29">
        <v>20</v>
      </c>
      <c r="H23" s="29">
        <v>62</v>
      </c>
      <c r="I23" s="56">
        <v>4.5588235294117645E-2</v>
      </c>
      <c r="J23" s="56">
        <v>0.25806451612903225</v>
      </c>
    </row>
    <row r="24" spans="1:10" x14ac:dyDescent="0.3">
      <c r="A24" s="30" t="s">
        <v>51</v>
      </c>
      <c r="B24" s="29">
        <v>24</v>
      </c>
      <c r="C24" s="29">
        <v>33</v>
      </c>
      <c r="D24" s="29">
        <v>2</v>
      </c>
      <c r="E24" s="29">
        <v>0</v>
      </c>
      <c r="F24" s="29">
        <v>0</v>
      </c>
      <c r="G24" s="29">
        <v>15</v>
      </c>
      <c r="H24" s="29">
        <v>74</v>
      </c>
      <c r="I24" s="56">
        <v>5.4411764705882354E-2</v>
      </c>
      <c r="J24" s="56">
        <v>0.32432432432432434</v>
      </c>
    </row>
    <row r="25" spans="1:10" x14ac:dyDescent="0.3">
      <c r="A25" s="30" t="s">
        <v>44</v>
      </c>
      <c r="B25" s="29">
        <v>53</v>
      </c>
      <c r="C25" s="29">
        <v>11</v>
      </c>
      <c r="D25" s="29">
        <v>11</v>
      </c>
      <c r="E25" s="29">
        <v>0</v>
      </c>
      <c r="F25" s="29">
        <v>1</v>
      </c>
      <c r="G25" s="29">
        <v>22</v>
      </c>
      <c r="H25" s="29">
        <v>98</v>
      </c>
      <c r="I25" s="56">
        <v>7.2058823529411759E-2</v>
      </c>
      <c r="J25" s="56">
        <v>0.54081632653061229</v>
      </c>
    </row>
    <row r="26" spans="1:10" x14ac:dyDescent="0.3">
      <c r="A26" s="30" t="s">
        <v>53</v>
      </c>
      <c r="B26" s="29">
        <v>28</v>
      </c>
      <c r="C26" s="29">
        <v>9</v>
      </c>
      <c r="D26" s="29">
        <v>44</v>
      </c>
      <c r="E26" s="29">
        <v>15</v>
      </c>
      <c r="F26" s="29">
        <v>0</v>
      </c>
      <c r="G26" s="29">
        <v>9</v>
      </c>
      <c r="H26" s="29">
        <v>105</v>
      </c>
      <c r="I26" s="56">
        <v>7.720588235294118E-2</v>
      </c>
      <c r="J26" s="56">
        <v>0.26666666666666666</v>
      </c>
    </row>
    <row r="27" spans="1:10" x14ac:dyDescent="0.3">
      <c r="A27" s="30" t="s">
        <v>56</v>
      </c>
      <c r="B27" s="29">
        <v>25</v>
      </c>
      <c r="C27" s="29">
        <v>62</v>
      </c>
      <c r="D27" s="29">
        <v>3</v>
      </c>
      <c r="E27" s="29">
        <v>1</v>
      </c>
      <c r="F27" s="29">
        <v>1</v>
      </c>
      <c r="G27" s="29">
        <v>14</v>
      </c>
      <c r="H27" s="29">
        <v>106</v>
      </c>
      <c r="I27" s="56">
        <v>7.7941176470588236E-2</v>
      </c>
      <c r="J27" s="56">
        <v>0.23584905660377359</v>
      </c>
    </row>
    <row r="28" spans="1:10" x14ac:dyDescent="0.3">
      <c r="A28" s="30" t="s">
        <v>48</v>
      </c>
      <c r="B28" s="29">
        <v>40</v>
      </c>
      <c r="C28" s="29">
        <v>31</v>
      </c>
      <c r="D28" s="29">
        <v>3</v>
      </c>
      <c r="E28" s="29">
        <v>18</v>
      </c>
      <c r="F28" s="29">
        <v>1</v>
      </c>
      <c r="G28" s="29">
        <v>16</v>
      </c>
      <c r="H28" s="29">
        <v>109</v>
      </c>
      <c r="I28" s="56">
        <v>8.0147058823529418E-2</v>
      </c>
      <c r="J28" s="56">
        <v>0.3669724770642202</v>
      </c>
    </row>
    <row r="29" spans="1:10" x14ac:dyDescent="0.3">
      <c r="A29" s="30" t="s">
        <v>52</v>
      </c>
      <c r="B29" s="29">
        <v>53</v>
      </c>
      <c r="C29" s="29">
        <v>30</v>
      </c>
      <c r="D29" s="29">
        <v>43</v>
      </c>
      <c r="E29" s="29">
        <v>8</v>
      </c>
      <c r="F29" s="29">
        <v>16</v>
      </c>
      <c r="G29" s="29">
        <v>21</v>
      </c>
      <c r="H29" s="29">
        <v>171</v>
      </c>
      <c r="I29" s="56">
        <v>0.12573529411764706</v>
      </c>
      <c r="J29" s="56">
        <v>0.30994152046783624</v>
      </c>
    </row>
    <row r="30" spans="1:10" x14ac:dyDescent="0.3">
      <c r="A30" s="30" t="s">
        <v>39</v>
      </c>
      <c r="B30" s="29">
        <v>60</v>
      </c>
      <c r="C30" s="29">
        <v>73</v>
      </c>
      <c r="D30" s="29">
        <v>4</v>
      </c>
      <c r="E30" s="29">
        <v>13</v>
      </c>
      <c r="F30" s="29">
        <v>13</v>
      </c>
      <c r="G30" s="29">
        <v>25</v>
      </c>
      <c r="H30" s="29">
        <v>188</v>
      </c>
      <c r="I30" s="56">
        <v>0.13823529411764707</v>
      </c>
      <c r="J30" s="56">
        <v>0.31914893617021278</v>
      </c>
    </row>
    <row r="31" spans="1:10" x14ac:dyDescent="0.3">
      <c r="A31" s="30" t="s">
        <v>8</v>
      </c>
      <c r="B31" s="29">
        <f t="shared" ref="B31:I31" si="0">SUM(B5:B30)</f>
        <v>434</v>
      </c>
      <c r="C31" s="29">
        <f t="shared" si="0"/>
        <v>427</v>
      </c>
      <c r="D31" s="29">
        <f t="shared" si="0"/>
        <v>133</v>
      </c>
      <c r="E31" s="29">
        <f t="shared" si="0"/>
        <v>85</v>
      </c>
      <c r="F31" s="29">
        <f t="shared" si="0"/>
        <v>49</v>
      </c>
      <c r="G31" s="29">
        <f t="shared" si="0"/>
        <v>232</v>
      </c>
      <c r="H31" s="29">
        <f t="shared" si="0"/>
        <v>1360</v>
      </c>
      <c r="I31" s="56">
        <f t="shared" si="0"/>
        <v>1</v>
      </c>
      <c r="J31" s="56"/>
    </row>
    <row r="32" spans="1:10" ht="16.8" x14ac:dyDescent="0.4">
      <c r="A32" s="58" t="s">
        <v>81</v>
      </c>
    </row>
  </sheetData>
  <sortState xmlns:xlrd2="http://schemas.microsoft.com/office/spreadsheetml/2017/richdata2" ref="A5:N30">
    <sortCondition ref="H4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Graph 1</vt:lpstr>
      <vt:lpstr>Graph 2</vt:lpstr>
      <vt:lpstr>Graph 3</vt:lpstr>
      <vt:lpstr>Graph 4</vt:lpstr>
      <vt:lpstr>Graph 5</vt:lpstr>
    </vt:vector>
  </TitlesOfParts>
  <Company>MTECT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10 : risques naturels - Bilan environnemental 2023</dc:title>
  <dc:subject>Bilan environnemental 2023</dc:subject>
  <dc:creator>SDES</dc:creator>
  <cp:keywords>risque naturel, inondation, catastrophe naturelle, exposition aux risques,changement climatique</cp:keywords>
  <cp:lastModifiedBy>DUMAS Morgane</cp:lastModifiedBy>
  <dcterms:created xsi:type="dcterms:W3CDTF">2022-08-24T15:14:43Z</dcterms:created>
  <dcterms:modified xsi:type="dcterms:W3CDTF">2023-12-26T16:08:40Z</dcterms:modified>
</cp:coreProperties>
</file>