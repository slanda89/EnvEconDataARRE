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 defaultThemeVersion="124226"/>
  <xr:revisionPtr revIDLastSave="0" documentId="13_ncr:1_{FBAD8D51-627C-40B9-B325-ADA298559E83}" xr6:coauthVersionLast="47" xr6:coauthVersionMax="47" xr10:uidLastSave="{00000000-0000-0000-0000-000000000000}"/>
  <bookViews>
    <workbookView xWindow="11565" yWindow="1215" windowWidth="14550" windowHeight="11385" activeTab="3" xr2:uid="{00000000-000D-0000-FFFF-FFFF00000000}"/>
  </bookViews>
  <sheets>
    <sheet name="Graph 1" sheetId="1" r:id="rId1"/>
    <sheet name="Graph 2" sheetId="12" r:id="rId2"/>
    <sheet name="Graph 3" sheetId="10" r:id="rId3"/>
    <sheet name="Graph 4" sheetId="11" r:id="rId4"/>
  </sheets>
  <definedNames>
    <definedName name="S_POP_BASSIN" localSheetId="1">#REF!</definedName>
    <definedName name="S_POP_BASSI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11" l="1"/>
  <c r="C13" i="11"/>
  <c r="C12" i="11"/>
  <c r="C11" i="11"/>
  <c r="C10" i="11"/>
  <c r="C9" i="11"/>
  <c r="C8" i="11"/>
  <c r="C7" i="11"/>
  <c r="C6" i="11"/>
  <c r="C5" i="11"/>
  <c r="C4" i="11"/>
  <c r="C3" i="11"/>
  <c r="C2" i="11"/>
  <c r="D31" i="12" l="1"/>
  <c r="C31" i="12"/>
  <c r="B31" i="12"/>
  <c r="D30" i="12"/>
  <c r="C30" i="12"/>
  <c r="B30" i="12"/>
  <c r="D29" i="12"/>
  <c r="C29" i="12"/>
  <c r="C32" i="12" s="1"/>
  <c r="B29" i="12"/>
  <c r="D28" i="12"/>
  <c r="C28" i="12"/>
  <c r="B28" i="12"/>
  <c r="D27" i="12"/>
  <c r="C27" i="12"/>
  <c r="B27" i="12"/>
  <c r="C22" i="12"/>
  <c r="D22" i="12" s="1"/>
  <c r="B22" i="12"/>
  <c r="C21" i="12"/>
  <c r="B21" i="12"/>
  <c r="D21" i="12" s="1"/>
  <c r="C20" i="12"/>
  <c r="B20" i="12"/>
  <c r="D20" i="12" s="1"/>
  <c r="C19" i="12"/>
  <c r="B19" i="12"/>
  <c r="D19" i="12" s="1"/>
  <c r="C18" i="12"/>
  <c r="B18" i="12"/>
  <c r="C17" i="12"/>
  <c r="B17" i="12"/>
  <c r="D17" i="12" s="1"/>
  <c r="C16" i="12"/>
  <c r="B16" i="12"/>
  <c r="D16" i="12" s="1"/>
  <c r="B32" i="12" l="1"/>
  <c r="D18" i="12"/>
  <c r="D32" i="12"/>
  <c r="X12" i="10"/>
  <c r="W12" i="10"/>
  <c r="V12" i="10"/>
  <c r="U12" i="10"/>
  <c r="T12" i="10"/>
  <c r="S12" i="10"/>
  <c r="R12" i="10"/>
  <c r="Q12" i="10"/>
  <c r="X11" i="10"/>
  <c r="W11" i="10"/>
  <c r="V11" i="10"/>
  <c r="U11" i="10"/>
  <c r="T11" i="10"/>
  <c r="S11" i="10"/>
  <c r="R11" i="10"/>
  <c r="Q11" i="10"/>
  <c r="X10" i="10"/>
  <c r="W10" i="10"/>
  <c r="V10" i="10"/>
  <c r="U10" i="10"/>
  <c r="T10" i="10"/>
  <c r="S10" i="10"/>
  <c r="R10" i="10"/>
  <c r="Q10" i="10"/>
  <c r="X9" i="10"/>
  <c r="W9" i="10"/>
  <c r="V9" i="10"/>
  <c r="U9" i="10"/>
  <c r="T9" i="10"/>
  <c r="S9" i="10"/>
  <c r="R9" i="10"/>
  <c r="Q9" i="10"/>
  <c r="X8" i="10"/>
  <c r="W8" i="10"/>
  <c r="V8" i="10"/>
  <c r="U8" i="10"/>
  <c r="T8" i="10"/>
  <c r="S8" i="10"/>
  <c r="R8" i="10"/>
  <c r="Q8" i="10"/>
  <c r="X7" i="10"/>
  <c r="W7" i="10"/>
  <c r="V7" i="10"/>
  <c r="U7" i="10"/>
  <c r="T7" i="10"/>
  <c r="S7" i="10"/>
  <c r="R7" i="10"/>
  <c r="Q7" i="10"/>
  <c r="X6" i="10"/>
  <c r="W6" i="10"/>
  <c r="V6" i="10"/>
  <c r="U6" i="10"/>
  <c r="T6" i="10"/>
  <c r="S6" i="10"/>
  <c r="R6" i="10"/>
  <c r="Q6" i="10"/>
  <c r="X5" i="10"/>
  <c r="W5" i="10"/>
  <c r="V5" i="10"/>
  <c r="U5" i="10"/>
  <c r="T5" i="10"/>
  <c r="S5" i="10"/>
  <c r="R5" i="10"/>
  <c r="Q5" i="10"/>
  <c r="Q16" i="10" l="1"/>
  <c r="B7" i="1" l="1"/>
</calcChain>
</file>

<file path=xl/sharedStrings.xml><?xml version="1.0" encoding="utf-8"?>
<sst xmlns="http://schemas.openxmlformats.org/spreadsheetml/2006/main" count="101" uniqueCount="67">
  <si>
    <t>Automne</t>
  </si>
  <si>
    <t>Hiver</t>
  </si>
  <si>
    <t>Printemps</t>
  </si>
  <si>
    <t>Ressource en eau</t>
  </si>
  <si>
    <t>Année</t>
  </si>
  <si>
    <t>Ressource en eau % saison</t>
  </si>
  <si>
    <t>En %</t>
  </si>
  <si>
    <r>
      <t>En milliards de m</t>
    </r>
    <r>
      <rPr>
        <vertAlign val="superscript"/>
        <sz val="11"/>
        <color rgb="FFFF0000"/>
        <rFont val="Arial"/>
        <family val="2"/>
      </rPr>
      <t>3</t>
    </r>
  </si>
  <si>
    <r>
      <t>En milliards de m</t>
    </r>
    <r>
      <rPr>
        <vertAlign val="superscript"/>
        <sz val="10"/>
        <color indexed="8"/>
        <rFont val="Arial"/>
        <family val="2"/>
      </rPr>
      <t>3</t>
    </r>
  </si>
  <si>
    <t>Eau de surface</t>
  </si>
  <si>
    <t>Eau souterraine</t>
  </si>
  <si>
    <t>Total</t>
  </si>
  <si>
    <t>Production d'eau potable</t>
  </si>
  <si>
    <t>Usages principalement agricoles</t>
  </si>
  <si>
    <t>Usages principalement industriels</t>
  </si>
  <si>
    <t>Alimentation des canaux</t>
  </si>
  <si>
    <t>Refroidissement des centrales de production d’électricité</t>
  </si>
  <si>
    <t>Total hors canaux et électricité</t>
  </si>
  <si>
    <t xml:space="preserve">Répartition des volumes prélevés selon le milieux </t>
  </si>
  <si>
    <t>Répartition des volumes prélevés selon l'usage</t>
  </si>
  <si>
    <r>
      <t>En millions de m</t>
    </r>
    <r>
      <rPr>
        <vertAlign val="superscript"/>
        <sz val="11"/>
        <color rgb="FFFF0000"/>
        <rFont val="Calibri"/>
        <family val="2"/>
        <scheme val="minor"/>
      </rPr>
      <t>3</t>
    </r>
  </si>
  <si>
    <t>Prélèvements</t>
  </si>
  <si>
    <t>Consommation</t>
  </si>
  <si>
    <t>Répartition entre les usages</t>
  </si>
  <si>
    <t>Artois-Picardie</t>
  </si>
  <si>
    <t>Rhin-Meuse</t>
  </si>
  <si>
    <t>Rhone-Méditerranée</t>
  </si>
  <si>
    <t>Corse</t>
  </si>
  <si>
    <t>Adour-Garonne</t>
  </si>
  <si>
    <t>Loire-Bretagne</t>
  </si>
  <si>
    <t>Seine-Normandie</t>
  </si>
  <si>
    <t>Prélèvement pour l'eau potable</t>
  </si>
  <si>
    <t>Prélèvement pour l'agriculture</t>
  </si>
  <si>
    <t>Prélèvement pour industrie</t>
  </si>
  <si>
    <t>Consommation pour l'eau potable</t>
  </si>
  <si>
    <t>Consommation par l'agriculture</t>
  </si>
  <si>
    <t>Consommation par l'industrie</t>
  </si>
  <si>
    <t>Été</t>
  </si>
  <si>
    <t xml:space="preserve">Note : par convention, les saisons hydrologiques débutent en septembre. L’automne inclut ainsi les mois de septembre à novembre, </t>
  </si>
  <si>
    <t>l’hiver décembre à février, le printemps mars à mai et l’été compte les mois de juin à août.</t>
  </si>
  <si>
    <t>Ressource en eau renouvelable annuelle (milliards de m3 - Mdm3)</t>
  </si>
  <si>
    <t>Pourcentage par rapport à la moyenne * 100</t>
  </si>
  <si>
    <t>Ecart à la moyenne en pourcentage *100</t>
  </si>
  <si>
    <t xml:space="preserve">Notes : la ressource en eau renouvelable est la somme du flux interne (volume d’eau précipité diminué </t>
  </si>
  <si>
    <t xml:space="preserve">du volume d’eau retournant à l’atmosphère par évapotranspiration) et du flux entrant </t>
  </si>
  <si>
    <t>(volumes d’eau provenant des cours d’eau des pays limitrophes).</t>
  </si>
  <si>
    <t>L'année hydrologique est définie de septembre de l'année précédente à août de l'année courante.</t>
  </si>
  <si>
    <t>Champ : France métropolitaine</t>
  </si>
  <si>
    <t>Prélèvement des centrales 
électriques (refroidissement)</t>
  </si>
  <si>
    <t>Consommation des centrales 
électriques (refroidissement)</t>
  </si>
  <si>
    <t>Production eau potable</t>
  </si>
  <si>
    <t>Alimentation canaux</t>
  </si>
  <si>
    <t>Refroidissement centrales électriques</t>
  </si>
  <si>
    <r>
      <t>Valeurs en milliards de m</t>
    </r>
    <r>
      <rPr>
        <i/>
        <vertAlign val="superscript"/>
        <sz val="11"/>
        <color theme="1"/>
        <rFont val="Calibri"/>
        <family val="2"/>
        <scheme val="minor"/>
      </rPr>
      <t>3</t>
    </r>
  </si>
  <si>
    <r>
      <rPr>
        <b/>
        <i/>
        <sz val="11"/>
        <color theme="1"/>
        <rFont val="Calibri"/>
        <family val="2"/>
        <scheme val="minor"/>
      </rPr>
      <t>Sources</t>
    </r>
    <r>
      <rPr>
        <i/>
        <sz val="11"/>
        <color theme="1"/>
        <rFont val="Calibri"/>
        <family val="2"/>
        <scheme val="minor"/>
      </rPr>
      <t xml:space="preserve"> : Météo France ; Banque Hydro. Traitements : SDES, 2022</t>
    </r>
  </si>
  <si>
    <t>Eaux de surface</t>
  </si>
  <si>
    <t>Eaux souterraines</t>
  </si>
  <si>
    <t>Note : données déclarées auprès des agences de l'eau, hors prélèvements en mer et en eau saumâtre, hors hydroélectricité.</t>
  </si>
  <si>
    <t>Champ : France métropolitaine.</t>
  </si>
  <si>
    <t>Champ : France métropolitaine,</t>
  </si>
  <si>
    <r>
      <t>La ligne à 0 représente la moyenne 1990-2020 de 211 milliards de m</t>
    </r>
    <r>
      <rPr>
        <i/>
        <vertAlign val="superscript"/>
        <sz val="11"/>
        <color theme="1"/>
        <rFont val="Calibri"/>
        <family val="2"/>
        <scheme val="minor"/>
      </rPr>
      <t>3</t>
    </r>
    <r>
      <rPr>
        <i/>
        <sz val="11"/>
        <color theme="1"/>
        <rFont val="Calibri"/>
        <family val="2"/>
        <scheme val="minor"/>
      </rPr>
      <t>.</t>
    </r>
  </si>
  <si>
    <r>
      <rPr>
        <b/>
        <i/>
        <sz val="11"/>
        <color theme="1"/>
        <rFont val="Calibri"/>
        <family val="2"/>
        <scheme val="minor"/>
      </rPr>
      <t>Source :</t>
    </r>
    <r>
      <rPr>
        <i/>
        <sz val="11"/>
        <color theme="1"/>
        <rFont val="Calibri"/>
        <family val="2"/>
        <scheme val="minor"/>
      </rPr>
      <t xml:space="preserve"> Banque HYDRO (flux entrant), Météo-France (précipitations, évapotranspiration). Traitements : SDES, 2023</t>
    </r>
  </si>
  <si>
    <r>
      <rPr>
        <b/>
        <i/>
        <sz val="10"/>
        <color indexed="8"/>
        <rFont val="Arial"/>
        <family val="2"/>
      </rPr>
      <t>Source</t>
    </r>
    <r>
      <rPr>
        <i/>
        <sz val="10"/>
        <color indexed="8"/>
        <rFont val="Arial"/>
        <family val="2"/>
      </rPr>
      <t xml:space="preserve"> : OFB - Banque nationale des prélèvements quantitatifs en eau (BNPE). Traitements : SDES, 2023</t>
    </r>
  </si>
  <si>
    <t>Graphique 3 : prélèvements et consommation d'eau douce en France, moyenne 2010-2020 (millions de m3)</t>
  </si>
  <si>
    <r>
      <rPr>
        <b/>
        <i/>
        <sz val="11"/>
        <color theme="1"/>
        <rFont val="Calibri"/>
        <family val="2"/>
        <scheme val="minor"/>
      </rPr>
      <t>Sources</t>
    </r>
    <r>
      <rPr>
        <i/>
        <sz val="11"/>
        <color theme="1"/>
        <rFont val="Calibri"/>
        <family val="2"/>
        <scheme val="minor"/>
      </rPr>
      <t xml:space="preserve"> :  Office francais de la biodiversité  (OFB) - Banque nationale des prélèvements quantitatifs en eau (volumes prélevés), EDF (données de consommation d'eau pour les centrales électriques nucléaires), Ifen, OIEau, Agences de l'eau - "Les prélèvements d'eau en France en 2001", Mars 2004 (coefficients de consommation par usage), OFB - Observatoire des services public d'eau et d'assainissement (taux de rendement des réseaux de distribution d'eau potable). Traitement SDES, 2023</t>
    </r>
  </si>
  <si>
    <t>Graphique 1 : répartition saisonnière de l'apport d'eau douce renouvelable (moyenne 1990-2020)</t>
  </si>
  <si>
    <t>Graphique 2 : répartition des volumes d'eau douce prélevés par usages et par milieux en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</si>
</sst>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0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6"/>
      <color theme="1"/>
      <name val="Arial"/>
      <family val="2"/>
    </font>
    <font>
      <sz val="11"/>
      <color rgb="FFFF0000"/>
      <name val="Arial"/>
      <family val="2"/>
    </font>
    <font>
      <vertAlign val="superscript"/>
      <sz val="11"/>
      <color rgb="FFFF000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vertAlign val="superscript"/>
      <sz val="10"/>
      <color indexed="8"/>
      <name val="Arial"/>
      <family val="2"/>
    </font>
    <font>
      <sz val="10"/>
      <color rgb="FFFF0000"/>
      <name val="Arial"/>
      <family val="2"/>
    </font>
    <font>
      <b/>
      <sz val="12"/>
      <name val="Calibri"/>
      <family val="2"/>
      <scheme val="minor"/>
    </font>
    <font>
      <vertAlign val="superscript"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vertAlign val="superscript"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0"/>
      <color indexed="8"/>
      <name val="Arial"/>
      <family val="2"/>
    </font>
    <font>
      <b/>
      <i/>
      <sz val="10"/>
      <color indexed="8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2" borderId="1" applyNumberFormat="0" applyFont="0" applyAlignment="0" applyProtection="0"/>
    <xf numFmtId="0" fontId="2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3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2" fillId="0" borderId="0" xfId="0" applyFont="1" applyAlignment="1">
      <alignment horizontal="center"/>
    </xf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right"/>
    </xf>
    <xf numFmtId="0" fontId="13" fillId="0" borderId="2" xfId="0" applyFont="1" applyBorder="1" applyAlignment="1">
      <alignment horizontal="center" wrapText="1"/>
    </xf>
    <xf numFmtId="0" fontId="13" fillId="0" borderId="2" xfId="0" applyFont="1" applyBorder="1" applyAlignment="1">
      <alignment horizontal="center"/>
    </xf>
    <xf numFmtId="3" fontId="14" fillId="0" borderId="0" xfId="0" applyNumberFormat="1" applyFont="1"/>
    <xf numFmtId="0" fontId="14" fillId="0" borderId="2" xfId="0" applyFont="1" applyBorder="1"/>
    <xf numFmtId="164" fontId="14" fillId="0" borderId="2" xfId="0" applyNumberFormat="1" applyFont="1" applyFill="1" applyBorder="1" applyAlignment="1">
      <alignment horizontal="right" indent="1"/>
    </xf>
    <xf numFmtId="3" fontId="14" fillId="0" borderId="0" xfId="0" applyNumberFormat="1" applyFont="1" applyAlignment="1">
      <alignment horizontal="center"/>
    </xf>
    <xf numFmtId="0" fontId="16" fillId="0" borderId="0" xfId="0" applyFont="1" applyAlignment="1">
      <alignment horizontal="left"/>
    </xf>
    <xf numFmtId="0" fontId="14" fillId="0" borderId="2" xfId="0" applyFont="1" applyBorder="1" applyAlignment="1">
      <alignment wrapText="1"/>
    </xf>
    <xf numFmtId="0" fontId="13" fillId="0" borderId="2" xfId="0" applyFont="1" applyBorder="1"/>
    <xf numFmtId="164" fontId="13" fillId="0" borderId="2" xfId="0" applyNumberFormat="1" applyFont="1" applyFill="1" applyBorder="1" applyAlignment="1">
      <alignment horizontal="right" indent="1"/>
    </xf>
    <xf numFmtId="9" fontId="14" fillId="0" borderId="0" xfId="5" applyFont="1" applyFill="1" applyAlignment="1">
      <alignment horizontal="center"/>
    </xf>
    <xf numFmtId="9" fontId="14" fillId="0" borderId="0" xfId="5" applyFont="1" applyAlignment="1">
      <alignment horizontal="center"/>
    </xf>
    <xf numFmtId="0" fontId="14" fillId="0" borderId="0" xfId="0" applyFont="1" applyAlignment="1">
      <alignment horizontal="right" vertical="center"/>
    </xf>
    <xf numFmtId="9" fontId="14" fillId="0" borderId="2" xfId="5" applyFont="1" applyFill="1" applyBorder="1" applyAlignment="1">
      <alignment horizontal="right" indent="1"/>
    </xf>
    <xf numFmtId="9" fontId="14" fillId="0" borderId="2" xfId="5" applyFont="1" applyBorder="1" applyAlignment="1">
      <alignment horizontal="right" indent="1"/>
    </xf>
    <xf numFmtId="0" fontId="17" fillId="0" borderId="0" xfId="0" applyFont="1"/>
    <xf numFmtId="0" fontId="0" fillId="0" borderId="0" xfId="0" applyNumberFormat="1" applyAlignment="1">
      <alignment vertical="top" wrapText="1"/>
    </xf>
    <xf numFmtId="3" fontId="0" fillId="0" borderId="0" xfId="0" applyNumberFormat="1"/>
    <xf numFmtId="9" fontId="0" fillId="0" borderId="0" xfId="5" applyFont="1"/>
    <xf numFmtId="0" fontId="0" fillId="0" borderId="0" xfId="0" applyAlignment="1">
      <alignment wrapText="1"/>
    </xf>
    <xf numFmtId="2" fontId="0" fillId="0" borderId="0" xfId="0" applyNumberFormat="1"/>
    <xf numFmtId="9" fontId="4" fillId="0" borderId="0" xfId="0" applyNumberFormat="1" applyFont="1"/>
    <xf numFmtId="49" fontId="19" fillId="3" borderId="2" xfId="0" applyNumberFormat="1" applyFont="1" applyFill="1" applyBorder="1"/>
    <xf numFmtId="49" fontId="19" fillId="3" borderId="2" xfId="0" applyNumberFormat="1" applyFont="1" applyFill="1" applyBorder="1" applyAlignment="1">
      <alignment wrapText="1"/>
    </xf>
    <xf numFmtId="0" fontId="0" fillId="3" borderId="0" xfId="0" applyFill="1"/>
    <xf numFmtId="1" fontId="0" fillId="3" borderId="2" xfId="0" applyNumberFormat="1" applyFill="1" applyBorder="1"/>
    <xf numFmtId="165" fontId="0" fillId="3" borderId="2" xfId="0" applyNumberFormat="1" applyFill="1" applyBorder="1"/>
    <xf numFmtId="1" fontId="0" fillId="3" borderId="2" xfId="5" applyNumberFormat="1" applyFont="1" applyFill="1" applyBorder="1"/>
    <xf numFmtId="1" fontId="0" fillId="3" borderId="0" xfId="0" applyNumberFormat="1" applyFill="1"/>
    <xf numFmtId="0" fontId="5" fillId="3" borderId="0" xfId="0" applyFont="1" applyFill="1"/>
    <xf numFmtId="0" fontId="5" fillId="3" borderId="0" xfId="0" applyFont="1" applyFill="1" applyAlignment="1">
      <alignment wrapText="1"/>
    </xf>
    <xf numFmtId="0" fontId="5" fillId="3" borderId="0" xfId="0" applyFont="1" applyFill="1" applyAlignment="1">
      <alignment horizontal="left" wrapText="1"/>
    </xf>
    <xf numFmtId="0" fontId="3" fillId="3" borderId="0" xfId="0" applyFont="1" applyFill="1"/>
    <xf numFmtId="0" fontId="7" fillId="3" borderId="0" xfId="0" applyFont="1" applyFill="1"/>
    <xf numFmtId="165" fontId="0" fillId="3" borderId="0" xfId="0" applyNumberFormat="1" applyFill="1"/>
    <xf numFmtId="2" fontId="0" fillId="3" borderId="0" xfId="0" applyNumberFormat="1" applyFill="1"/>
    <xf numFmtId="0" fontId="21" fillId="3" borderId="0" xfId="0" applyFont="1" applyFill="1"/>
    <xf numFmtId="0" fontId="22" fillId="0" borderId="0" xfId="0" applyFont="1"/>
    <xf numFmtId="0" fontId="24" fillId="0" borderId="0" xfId="0" applyFont="1" applyAlignment="1">
      <alignment horizontal="center"/>
    </xf>
    <xf numFmtId="0" fontId="25" fillId="0" borderId="0" xfId="0" applyFont="1"/>
    <xf numFmtId="0" fontId="25" fillId="0" borderId="0" xfId="0" applyFont="1" applyAlignment="1">
      <alignment horizontal="center"/>
    </xf>
    <xf numFmtId="166" fontId="0" fillId="3" borderId="0" xfId="5" applyNumberFormat="1" applyFont="1" applyFill="1"/>
    <xf numFmtId="0" fontId="8" fillId="0" borderId="0" xfId="0" applyFont="1" applyAlignment="1">
      <alignment horizontal="left" vertical="center" readingOrder="1"/>
    </xf>
    <xf numFmtId="0" fontId="13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vertical="top" wrapText="1"/>
    </xf>
  </cellXfs>
  <cellStyles count="6">
    <cellStyle name="Commentaire 2" xfId="1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  <cellStyle name="Pourcentage" xfId="5" builtinId="5"/>
  </cellStyles>
  <dxfs count="0"/>
  <tableStyles count="0" defaultTableStyle="TableStyleMedium2" defaultPivotStyle="PivotStyleMedium9"/>
  <colors>
    <mruColors>
      <color rgb="FF000000"/>
      <color rgb="FFFF6F4C"/>
      <color rgb="FF169B62"/>
      <color rgb="FFFDCF41"/>
      <color rgb="FF465F9D"/>
      <color rgb="FF5770BE"/>
      <color rgb="FFD3D3D3"/>
      <color rgb="FFFF732C"/>
      <color rgb="FFFFE552"/>
      <color rgb="FFFF95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61744554657941"/>
          <c:y val="2.5574965915318462E-2"/>
          <c:w val="0.77251252684323546"/>
          <c:h val="0.8176427146090246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6F4C"/>
              </a:solidFill>
            </c:spPr>
            <c:extLst>
              <c:ext xmlns:c16="http://schemas.microsoft.com/office/drawing/2014/chart" uri="{C3380CC4-5D6E-409C-BE32-E72D297353CC}">
                <c16:uniqueId val="{00000001-9662-4C5E-9FF0-1AB3BDCB4EB5}"/>
              </c:ext>
            </c:extLst>
          </c:dPt>
          <c:dPt>
            <c:idx val="1"/>
            <c:bubble3D val="0"/>
            <c:spPr>
              <a:solidFill>
                <a:srgbClr val="D3D3D3"/>
              </a:solidFill>
            </c:spPr>
            <c:extLst>
              <c:ext xmlns:c16="http://schemas.microsoft.com/office/drawing/2014/chart" uri="{C3380CC4-5D6E-409C-BE32-E72D297353CC}">
                <c16:uniqueId val="{00000003-9662-4C5E-9FF0-1AB3BDCB4EB5}"/>
              </c:ext>
            </c:extLst>
          </c:dPt>
          <c:dPt>
            <c:idx val="2"/>
            <c:bubble3D val="0"/>
            <c:spPr>
              <a:solidFill>
                <a:srgbClr val="169B62"/>
              </a:solidFill>
            </c:spPr>
            <c:extLst>
              <c:ext xmlns:c16="http://schemas.microsoft.com/office/drawing/2014/chart" uri="{C3380CC4-5D6E-409C-BE32-E72D297353CC}">
                <c16:uniqueId val="{00000005-9662-4C5E-9FF0-1AB3BDCB4EB5}"/>
              </c:ext>
            </c:extLst>
          </c:dPt>
          <c:dPt>
            <c:idx val="3"/>
            <c:bubble3D val="0"/>
            <c:spPr>
              <a:solidFill>
                <a:srgbClr val="FDCF41"/>
              </a:solidFill>
            </c:spPr>
            <c:extLst>
              <c:ext xmlns:c16="http://schemas.microsoft.com/office/drawing/2014/chart" uri="{C3380CC4-5D6E-409C-BE32-E72D297353CC}">
                <c16:uniqueId val="{00000007-9662-4C5E-9FF0-1AB3BDCB4EB5}"/>
              </c:ext>
            </c:extLst>
          </c:dPt>
          <c:dLbls>
            <c:dLbl>
              <c:idx val="0"/>
              <c:layout>
                <c:manualLayout>
                  <c:x val="2.4544771099592449E-3"/>
                  <c:y val="2.7168134333709772E-2"/>
                </c:manualLayout>
              </c:layout>
              <c:tx>
                <c:rich>
                  <a:bodyPr/>
                  <a:lstStyle/>
                  <a:p>
                    <a:r>
                      <a:rPr lang="en-US" sz="1000" baseline="0"/>
                      <a:t>41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9662-4C5E-9FF0-1AB3BDCB4EB5}"/>
                </c:ext>
              </c:extLst>
            </c:dLbl>
            <c:dLbl>
              <c:idx val="1"/>
              <c:layout>
                <c:manualLayout>
                  <c:x val="-1.5234123372769359E-2"/>
                  <c:y val="-2.3270979195052253E-2"/>
                </c:manualLayout>
              </c:layout>
              <c:tx>
                <c:rich>
                  <a:bodyPr/>
                  <a:lstStyle/>
                  <a:p>
                    <a:r>
                      <a:rPr lang="en-US">
                        <a:solidFill>
                          <a:sysClr val="windowText" lastClr="000000"/>
                        </a:solidFill>
                      </a:rPr>
                      <a:t>48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9662-4C5E-9FF0-1AB3BDCB4EB5}"/>
                </c:ext>
              </c:extLst>
            </c:dLbl>
            <c:dLbl>
              <c:idx val="2"/>
              <c:layout>
                <c:manualLayout>
                  <c:x val="1.7878368219047995E-3"/>
                  <c:y val="-1.2990517128858398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9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9662-4C5E-9FF0-1AB3BDCB4EB5}"/>
                </c:ext>
              </c:extLst>
            </c:dLbl>
            <c:dLbl>
              <c:idx val="3"/>
              <c:layout>
                <c:manualLayout>
                  <c:x val="-7.3700991145924781E-17"/>
                  <c:y val="-1.3555950281091442E-2"/>
                </c:manualLayout>
              </c:layout>
              <c:tx>
                <c:rich>
                  <a:bodyPr/>
                  <a:lstStyle/>
                  <a:p>
                    <a:r>
                      <a:rPr lang="en-US">
                        <a:solidFill>
                          <a:sysClr val="windowText" lastClr="000000"/>
                        </a:solidFill>
                      </a:rPr>
                      <a:t>2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9662-4C5E-9FF0-1AB3BDCB4E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i="0" baseline="0">
                    <a:solidFill>
                      <a:schemeClr val="bg1"/>
                    </a:solidFill>
                    <a:latin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'Graph 1'!$A$3:$A$6</c:f>
              <c:strCache>
                <c:ptCount val="4"/>
                <c:pt idx="0">
                  <c:v>Automne</c:v>
                </c:pt>
                <c:pt idx="1">
                  <c:v>Hiver</c:v>
                </c:pt>
                <c:pt idx="2">
                  <c:v>Printemps</c:v>
                </c:pt>
                <c:pt idx="3">
                  <c:v>Été</c:v>
                </c:pt>
              </c:strCache>
            </c:strRef>
          </c:cat>
          <c:val>
            <c:numRef>
              <c:f>'Graph 1'!$C$3:$C$6</c:f>
              <c:numCache>
                <c:formatCode>0.00</c:formatCode>
                <c:ptCount val="4"/>
                <c:pt idx="0">
                  <c:v>0.40666389525926899</c:v>
                </c:pt>
                <c:pt idx="1">
                  <c:v>0.48354159209365738</c:v>
                </c:pt>
                <c:pt idx="2">
                  <c:v>9.2825561849872076E-2</c:v>
                </c:pt>
                <c:pt idx="3">
                  <c:v>1.6968950797201534E-2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662-4C5E-9FF0-1AB3BDCB4EB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legend>
      <c:legendPos val="b"/>
      <c:overlay val="0"/>
      <c:txPr>
        <a:bodyPr/>
        <a:lstStyle/>
        <a:p>
          <a:pPr rtl="0">
            <a:defRPr sz="900" baseline="0">
              <a:latin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976796262928777E-2"/>
          <c:y val="2.7650338309891106E-2"/>
          <c:w val="0.94116781911290603"/>
          <c:h val="0.720605851854125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'Graph 2'!$B$4</c:f>
              <c:strCache>
                <c:ptCount val="1"/>
                <c:pt idx="0">
                  <c:v>Eaux de surface</c:v>
                </c:pt>
              </c:strCache>
            </c:strRef>
          </c:tx>
          <c:spPr>
            <a:solidFill>
              <a:srgbClr val="5770BE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 baseline="0">
                    <a:solidFill>
                      <a:schemeClr val="bg1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'Graph 2'!$A$5:$A$9</c:f>
              <c:strCache>
                <c:ptCount val="5"/>
                <c:pt idx="0">
                  <c:v>Production eau potable</c:v>
                </c:pt>
                <c:pt idx="1">
                  <c:v>Usages principalement agricoles</c:v>
                </c:pt>
                <c:pt idx="2">
                  <c:v>Usages principalement industriels</c:v>
                </c:pt>
                <c:pt idx="3">
                  <c:v>Alimentation canaux</c:v>
                </c:pt>
                <c:pt idx="4">
                  <c:v>Refroidissement centrales électriques</c:v>
                </c:pt>
              </c:strCache>
            </c:strRef>
          </c:cat>
          <c:val>
            <c:numRef>
              <c:f>'Graph 2'!$B$5:$B$9</c:f>
              <c:numCache>
                <c:formatCode>#\ ##0.0</c:formatCode>
                <c:ptCount val="5"/>
                <c:pt idx="0">
                  <c:v>1.7929031849999999</c:v>
                </c:pt>
                <c:pt idx="1">
                  <c:v>1.985122565</c:v>
                </c:pt>
                <c:pt idx="2">
                  <c:v>1.4209719869999999</c:v>
                </c:pt>
                <c:pt idx="3">
                  <c:v>5.2861410590000002</c:v>
                </c:pt>
                <c:pt idx="4">
                  <c:v>13.587480336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BD-4BD3-9F1F-777CDB28EF17}"/>
            </c:ext>
          </c:extLst>
        </c:ser>
        <c:ser>
          <c:idx val="1"/>
          <c:order val="1"/>
          <c:tx>
            <c:strRef>
              <c:f>'Graph 2'!$C$4</c:f>
              <c:strCache>
                <c:ptCount val="1"/>
                <c:pt idx="0">
                  <c:v>Eaux souterraines</c:v>
                </c:pt>
              </c:strCache>
            </c:strRef>
          </c:tx>
          <c:spPr>
            <a:solidFill>
              <a:srgbClr val="91AE4F"/>
            </a:solidFill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BD-4BD3-9F1F-777CDB28EF1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BD-4BD3-9F1F-777CDB28EF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 baseline="0">
                    <a:solidFill>
                      <a:schemeClr val="bg1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'Graph 2'!$A$5:$A$9</c:f>
              <c:strCache>
                <c:ptCount val="5"/>
                <c:pt idx="0">
                  <c:v>Production eau potable</c:v>
                </c:pt>
                <c:pt idx="1">
                  <c:v>Usages principalement agricoles</c:v>
                </c:pt>
                <c:pt idx="2">
                  <c:v>Usages principalement industriels</c:v>
                </c:pt>
                <c:pt idx="3">
                  <c:v>Alimentation canaux</c:v>
                </c:pt>
                <c:pt idx="4">
                  <c:v>Refroidissement centrales électriques</c:v>
                </c:pt>
              </c:strCache>
            </c:strRef>
          </c:cat>
          <c:val>
            <c:numRef>
              <c:f>'Graph 2'!$C$5:$C$9</c:f>
              <c:numCache>
                <c:formatCode>#\ ##0.0</c:formatCode>
                <c:ptCount val="5"/>
                <c:pt idx="0">
                  <c:v>3.5653311200100002</c:v>
                </c:pt>
                <c:pt idx="1">
                  <c:v>1.455179555</c:v>
                </c:pt>
                <c:pt idx="2">
                  <c:v>0.86435796899999995</c:v>
                </c:pt>
                <c:pt idx="3">
                  <c:v>1.3801434E-2</c:v>
                </c:pt>
                <c:pt idx="4">
                  <c:v>2.0525900000000001E-4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BD-4BD3-9F1F-777CDB28E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3843328"/>
        <c:axId val="242235008"/>
      </c:barChart>
      <c:catAx>
        <c:axId val="383843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42235008"/>
        <c:crosses val="autoZero"/>
        <c:auto val="1"/>
        <c:lblAlgn val="ctr"/>
        <c:lblOffset val="100"/>
        <c:noMultiLvlLbl val="0"/>
      </c:catAx>
      <c:valAx>
        <c:axId val="242235008"/>
        <c:scaling>
          <c:orientation val="minMax"/>
          <c:max val="18"/>
          <c:min val="0"/>
        </c:scaling>
        <c:delete val="0"/>
        <c:axPos val="l"/>
        <c:majorGridlines>
          <c:spPr>
            <a:ln>
              <a:prstDash val="sysDot"/>
            </a:ln>
          </c:spPr>
        </c:majorGridlines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383843328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25772025195250958"/>
          <c:y val="0.89875332558563914"/>
          <c:w val="0.51429980673889641"/>
          <c:h val="9.587023293106639E-2"/>
        </c:manualLayout>
      </c:layout>
      <c:overlay val="0"/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3087682967507329E-2"/>
          <c:y val="1.7465693784137419E-2"/>
          <c:w val="0.90658453093588998"/>
          <c:h val="0.663683357904551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'Graph 3'!$B$5</c:f>
              <c:strCache>
                <c:ptCount val="1"/>
                <c:pt idx="0">
                  <c:v>Prélèvement pour l'eau potable</c:v>
                </c:pt>
              </c:strCache>
            </c:strRef>
          </c:tx>
          <c:spPr>
            <a:solidFill>
              <a:srgbClr val="5770BE"/>
            </a:solidFill>
          </c:spPr>
          <c:invertIfNegative val="0"/>
          <c:cat>
            <c:strRef>
              <c:f>'Graph 3'!$C$4:$P$4</c:f>
              <c:strCache>
                <c:ptCount val="12"/>
                <c:pt idx="0">
                  <c:v>Artois-Picardie</c:v>
                </c:pt>
                <c:pt idx="1">
                  <c:v>Rhin-Meuse</c:v>
                </c:pt>
                <c:pt idx="2">
                  <c:v>Rhone-Méditerranée</c:v>
                </c:pt>
                <c:pt idx="3">
                  <c:v>Adour-Garonne</c:v>
                </c:pt>
                <c:pt idx="4">
                  <c:v>Loire-Bretagne</c:v>
                </c:pt>
                <c:pt idx="5">
                  <c:v>Seine-Normandie</c:v>
                </c:pt>
                <c:pt idx="6">
                  <c:v>Artois-Picardie</c:v>
                </c:pt>
                <c:pt idx="7">
                  <c:v>Rhin-Meuse</c:v>
                </c:pt>
                <c:pt idx="8">
                  <c:v>Rhone-Méditerranée</c:v>
                </c:pt>
                <c:pt idx="9">
                  <c:v>Adour-Garonne</c:v>
                </c:pt>
                <c:pt idx="10">
                  <c:v>Loire-Bretagne</c:v>
                </c:pt>
                <c:pt idx="11">
                  <c:v>Seine-Normandie</c:v>
                </c:pt>
              </c:strCache>
            </c:strRef>
          </c:cat>
          <c:val>
            <c:numRef>
              <c:f>'Graph 3'!$C$5:$P$5</c:f>
              <c:numCache>
                <c:formatCode>#,##0</c:formatCode>
                <c:ptCount val="12"/>
                <c:pt idx="0">
                  <c:v>315.12845745545457</c:v>
                </c:pt>
                <c:pt idx="1">
                  <c:v>319.96087718181815</c:v>
                </c:pt>
                <c:pt idx="2">
                  <c:v>1535.0964352727271</c:v>
                </c:pt>
                <c:pt idx="3">
                  <c:v>717.21372781818184</c:v>
                </c:pt>
                <c:pt idx="4">
                  <c:v>963.852364661818</c:v>
                </c:pt>
                <c:pt idx="5">
                  <c:v>1416.947395404055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74-4E98-9D0E-42F60E9157AD}"/>
            </c:ext>
          </c:extLst>
        </c:ser>
        <c:ser>
          <c:idx val="1"/>
          <c:order val="1"/>
          <c:tx>
            <c:strRef>
              <c:f>'Graph 3'!$B$6</c:f>
              <c:strCache>
                <c:ptCount val="1"/>
                <c:pt idx="0">
                  <c:v>Prélèvement pour l'agriculture</c:v>
                </c:pt>
              </c:strCache>
            </c:strRef>
          </c:tx>
          <c:spPr>
            <a:solidFill>
              <a:srgbClr val="169B62"/>
            </a:solidFill>
          </c:spPr>
          <c:invertIfNegative val="0"/>
          <c:cat>
            <c:strRef>
              <c:f>'Graph 3'!$C$4:$P$4</c:f>
              <c:strCache>
                <c:ptCount val="12"/>
                <c:pt idx="0">
                  <c:v>Artois-Picardie</c:v>
                </c:pt>
                <c:pt idx="1">
                  <c:v>Rhin-Meuse</c:v>
                </c:pt>
                <c:pt idx="2">
                  <c:v>Rhone-Méditerranée</c:v>
                </c:pt>
                <c:pt idx="3">
                  <c:v>Adour-Garonne</c:v>
                </c:pt>
                <c:pt idx="4">
                  <c:v>Loire-Bretagne</c:v>
                </c:pt>
                <c:pt idx="5">
                  <c:v>Seine-Normandie</c:v>
                </c:pt>
                <c:pt idx="6">
                  <c:v>Artois-Picardie</c:v>
                </c:pt>
                <c:pt idx="7">
                  <c:v>Rhin-Meuse</c:v>
                </c:pt>
                <c:pt idx="8">
                  <c:v>Rhone-Méditerranée</c:v>
                </c:pt>
                <c:pt idx="9">
                  <c:v>Adour-Garonne</c:v>
                </c:pt>
                <c:pt idx="10">
                  <c:v>Loire-Bretagne</c:v>
                </c:pt>
                <c:pt idx="11">
                  <c:v>Seine-Normandie</c:v>
                </c:pt>
              </c:strCache>
            </c:strRef>
          </c:cat>
          <c:val>
            <c:numRef>
              <c:f>'Graph 3'!$C$6:$P$6</c:f>
              <c:numCache>
                <c:formatCode>#,##0</c:formatCode>
                <c:ptCount val="12"/>
                <c:pt idx="0">
                  <c:v>40.80898863636363</c:v>
                </c:pt>
                <c:pt idx="1">
                  <c:v>95.835496727272727</c:v>
                </c:pt>
                <c:pt idx="2">
                  <c:v>1220.422983909091</c:v>
                </c:pt>
                <c:pt idx="3">
                  <c:v>855.80533360660615</c:v>
                </c:pt>
                <c:pt idx="4">
                  <c:v>569.02907568035198</c:v>
                </c:pt>
                <c:pt idx="5">
                  <c:v>141.98363986454547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74-4E98-9D0E-42F60E9157AD}"/>
            </c:ext>
          </c:extLst>
        </c:ser>
        <c:ser>
          <c:idx val="2"/>
          <c:order val="2"/>
          <c:tx>
            <c:strRef>
              <c:f>'Graph 3'!$B$7</c:f>
              <c:strCache>
                <c:ptCount val="1"/>
                <c:pt idx="0">
                  <c:v>Prélèvement pour industrie</c:v>
                </c:pt>
              </c:strCache>
            </c:strRef>
          </c:tx>
          <c:spPr>
            <a:solidFill>
              <a:srgbClr val="FF6F4C"/>
            </a:solidFill>
          </c:spPr>
          <c:invertIfNegative val="0"/>
          <c:cat>
            <c:strRef>
              <c:f>'Graph 3'!$C$4:$P$4</c:f>
              <c:strCache>
                <c:ptCount val="12"/>
                <c:pt idx="0">
                  <c:v>Artois-Picardie</c:v>
                </c:pt>
                <c:pt idx="1">
                  <c:v>Rhin-Meuse</c:v>
                </c:pt>
                <c:pt idx="2">
                  <c:v>Rhone-Méditerranée</c:v>
                </c:pt>
                <c:pt idx="3">
                  <c:v>Adour-Garonne</c:v>
                </c:pt>
                <c:pt idx="4">
                  <c:v>Loire-Bretagne</c:v>
                </c:pt>
                <c:pt idx="5">
                  <c:v>Seine-Normandie</c:v>
                </c:pt>
                <c:pt idx="6">
                  <c:v>Artois-Picardie</c:v>
                </c:pt>
                <c:pt idx="7">
                  <c:v>Rhin-Meuse</c:v>
                </c:pt>
                <c:pt idx="8">
                  <c:v>Rhone-Méditerranée</c:v>
                </c:pt>
                <c:pt idx="9">
                  <c:v>Adour-Garonne</c:v>
                </c:pt>
                <c:pt idx="10">
                  <c:v>Loire-Bretagne</c:v>
                </c:pt>
                <c:pt idx="11">
                  <c:v>Seine-Normandie</c:v>
                </c:pt>
              </c:strCache>
            </c:strRef>
          </c:cat>
          <c:val>
            <c:numRef>
              <c:f>'Graph 3'!$C$7:$P$7</c:f>
              <c:numCache>
                <c:formatCode>#,##0</c:formatCode>
                <c:ptCount val="12"/>
                <c:pt idx="0">
                  <c:v>149.44280590909088</c:v>
                </c:pt>
                <c:pt idx="1">
                  <c:v>657.26869818181808</c:v>
                </c:pt>
                <c:pt idx="2">
                  <c:v>824.44790227272722</c:v>
                </c:pt>
                <c:pt idx="3">
                  <c:v>187.45495975727272</c:v>
                </c:pt>
                <c:pt idx="4">
                  <c:v>139.41275360429091</c:v>
                </c:pt>
                <c:pt idx="5">
                  <c:v>598.77238630272723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74-4E98-9D0E-42F60E9157AD}"/>
            </c:ext>
          </c:extLst>
        </c:ser>
        <c:ser>
          <c:idx val="3"/>
          <c:order val="3"/>
          <c:tx>
            <c:strRef>
              <c:f>'Graph 3'!$B$8</c:f>
              <c:strCache>
                <c:ptCount val="1"/>
                <c:pt idx="0">
                  <c:v>Prélèvement des centrales 
électriques (refroidissement)</c:v>
                </c:pt>
              </c:strCache>
            </c:strRef>
          </c:tx>
          <c:spPr>
            <a:solidFill>
              <a:srgbClr val="7D4E5B"/>
            </a:solidFill>
          </c:spPr>
          <c:invertIfNegative val="0"/>
          <c:cat>
            <c:strRef>
              <c:f>'Graph 3'!$C$4:$P$4</c:f>
              <c:strCache>
                <c:ptCount val="12"/>
                <c:pt idx="0">
                  <c:v>Artois-Picardie</c:v>
                </c:pt>
                <c:pt idx="1">
                  <c:v>Rhin-Meuse</c:v>
                </c:pt>
                <c:pt idx="2">
                  <c:v>Rhone-Méditerranée</c:v>
                </c:pt>
                <c:pt idx="3">
                  <c:v>Adour-Garonne</c:v>
                </c:pt>
                <c:pt idx="4">
                  <c:v>Loire-Bretagne</c:v>
                </c:pt>
                <c:pt idx="5">
                  <c:v>Seine-Normandie</c:v>
                </c:pt>
                <c:pt idx="6">
                  <c:v>Artois-Picardie</c:v>
                </c:pt>
                <c:pt idx="7">
                  <c:v>Rhin-Meuse</c:v>
                </c:pt>
                <c:pt idx="8">
                  <c:v>Rhone-Méditerranée</c:v>
                </c:pt>
                <c:pt idx="9">
                  <c:v>Adour-Garonne</c:v>
                </c:pt>
                <c:pt idx="10">
                  <c:v>Loire-Bretagne</c:v>
                </c:pt>
                <c:pt idx="11">
                  <c:v>Seine-Normandie</c:v>
                </c:pt>
              </c:strCache>
            </c:strRef>
          </c:cat>
          <c:val>
            <c:numRef>
              <c:f>'Graph 3'!$C$8:$P$8</c:f>
              <c:numCache>
                <c:formatCode>#,##0</c:formatCode>
                <c:ptCount val="12"/>
                <c:pt idx="0">
                  <c:v>2.3698674545454543</c:v>
                </c:pt>
                <c:pt idx="1">
                  <c:v>2629.413669181818</c:v>
                </c:pt>
                <c:pt idx="2">
                  <c:v>11706.33953409091</c:v>
                </c:pt>
                <c:pt idx="3">
                  <c:v>196.24125772727271</c:v>
                </c:pt>
                <c:pt idx="4">
                  <c:v>1553.447306</c:v>
                </c:pt>
                <c:pt idx="5">
                  <c:v>399.41422618181815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74-4E98-9D0E-42F60E9157AD}"/>
            </c:ext>
          </c:extLst>
        </c:ser>
        <c:ser>
          <c:idx val="4"/>
          <c:order val="4"/>
          <c:tx>
            <c:strRef>
              <c:f>'Graph 3'!$B$9</c:f>
              <c:strCache>
                <c:ptCount val="1"/>
                <c:pt idx="0">
                  <c:v>Consommation pour l'eau potable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</c:spPr>
          <c:invertIfNegative val="0"/>
          <c:cat>
            <c:strRef>
              <c:f>'Graph 3'!$C$4:$P$4</c:f>
              <c:strCache>
                <c:ptCount val="12"/>
                <c:pt idx="0">
                  <c:v>Artois-Picardie</c:v>
                </c:pt>
                <c:pt idx="1">
                  <c:v>Rhin-Meuse</c:v>
                </c:pt>
                <c:pt idx="2">
                  <c:v>Rhone-Méditerranée</c:v>
                </c:pt>
                <c:pt idx="3">
                  <c:v>Adour-Garonne</c:v>
                </c:pt>
                <c:pt idx="4">
                  <c:v>Loire-Bretagne</c:v>
                </c:pt>
                <c:pt idx="5">
                  <c:v>Seine-Normandie</c:v>
                </c:pt>
                <c:pt idx="6">
                  <c:v>Artois-Picardie</c:v>
                </c:pt>
                <c:pt idx="7">
                  <c:v>Rhin-Meuse</c:v>
                </c:pt>
                <c:pt idx="8">
                  <c:v>Rhone-Méditerranée</c:v>
                </c:pt>
                <c:pt idx="9">
                  <c:v>Adour-Garonne</c:v>
                </c:pt>
                <c:pt idx="10">
                  <c:v>Loire-Bretagne</c:v>
                </c:pt>
                <c:pt idx="11">
                  <c:v>Seine-Normandie</c:v>
                </c:pt>
              </c:strCache>
            </c:strRef>
          </c:cat>
          <c:val>
            <c:numRef>
              <c:f>'Graph 3'!$C$9:$P$9</c:f>
              <c:numCache>
                <c:formatCode>General</c:formatCode>
                <c:ptCount val="12"/>
                <c:pt idx="6" formatCode="#,##0">
                  <c:v>65.551114575115975</c:v>
                </c:pt>
                <c:pt idx="7" formatCode="#,##0">
                  <c:v>69.136350744292869</c:v>
                </c:pt>
                <c:pt idx="8" formatCode="#,##0">
                  <c:v>353.46738122774047</c:v>
                </c:pt>
                <c:pt idx="9" formatCode="#,##0">
                  <c:v>158.31806574780015</c:v>
                </c:pt>
                <c:pt idx="10" formatCode="#,##0">
                  <c:v>161.6860320030099</c:v>
                </c:pt>
                <c:pt idx="11" formatCode="#,##0">
                  <c:v>234.38735041757803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774-4E98-9D0E-42F60E9157AD}"/>
            </c:ext>
          </c:extLst>
        </c:ser>
        <c:ser>
          <c:idx val="5"/>
          <c:order val="5"/>
          <c:tx>
            <c:strRef>
              <c:f>'Graph 3'!$B$10</c:f>
              <c:strCache>
                <c:ptCount val="1"/>
                <c:pt idx="0">
                  <c:v>Consommation par l'agriculture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'Graph 3'!$C$4:$P$4</c:f>
              <c:strCache>
                <c:ptCount val="12"/>
                <c:pt idx="0">
                  <c:v>Artois-Picardie</c:v>
                </c:pt>
                <c:pt idx="1">
                  <c:v>Rhin-Meuse</c:v>
                </c:pt>
                <c:pt idx="2">
                  <c:v>Rhone-Méditerranée</c:v>
                </c:pt>
                <c:pt idx="3">
                  <c:v>Adour-Garonne</c:v>
                </c:pt>
                <c:pt idx="4">
                  <c:v>Loire-Bretagne</c:v>
                </c:pt>
                <c:pt idx="5">
                  <c:v>Seine-Normandie</c:v>
                </c:pt>
                <c:pt idx="6">
                  <c:v>Artois-Picardie</c:v>
                </c:pt>
                <c:pt idx="7">
                  <c:v>Rhin-Meuse</c:v>
                </c:pt>
                <c:pt idx="8">
                  <c:v>Rhone-Méditerranée</c:v>
                </c:pt>
                <c:pt idx="9">
                  <c:v>Adour-Garonne</c:v>
                </c:pt>
                <c:pt idx="10">
                  <c:v>Loire-Bretagne</c:v>
                </c:pt>
                <c:pt idx="11">
                  <c:v>Seine-Normandie</c:v>
                </c:pt>
              </c:strCache>
            </c:strRef>
          </c:cat>
          <c:val>
            <c:numRef>
              <c:f>'Graph 3'!$C$10:$P$10</c:f>
              <c:numCache>
                <c:formatCode>General</c:formatCode>
                <c:ptCount val="12"/>
                <c:pt idx="6" formatCode="#,##0">
                  <c:v>40.80898863636363</c:v>
                </c:pt>
                <c:pt idx="7" formatCode="#,##0">
                  <c:v>95.835496727272727</c:v>
                </c:pt>
                <c:pt idx="8" formatCode="#,##0">
                  <c:v>658.27535433272726</c:v>
                </c:pt>
                <c:pt idx="9" formatCode="#,##0">
                  <c:v>854.33187150660615</c:v>
                </c:pt>
                <c:pt idx="10" formatCode="#,##0">
                  <c:v>569.02907568035198</c:v>
                </c:pt>
                <c:pt idx="11" formatCode="#,##0">
                  <c:v>141.96928345363636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774-4E98-9D0E-42F60E9157AD}"/>
            </c:ext>
          </c:extLst>
        </c:ser>
        <c:ser>
          <c:idx val="6"/>
          <c:order val="6"/>
          <c:tx>
            <c:strRef>
              <c:f>'Graph 3'!$B$11</c:f>
              <c:strCache>
                <c:ptCount val="1"/>
                <c:pt idx="0">
                  <c:v>Consommation par l'industrie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strRef>
              <c:f>'Graph 3'!$C$4:$P$4</c:f>
              <c:strCache>
                <c:ptCount val="12"/>
                <c:pt idx="0">
                  <c:v>Artois-Picardie</c:v>
                </c:pt>
                <c:pt idx="1">
                  <c:v>Rhin-Meuse</c:v>
                </c:pt>
                <c:pt idx="2">
                  <c:v>Rhone-Méditerranée</c:v>
                </c:pt>
                <c:pt idx="3">
                  <c:v>Adour-Garonne</c:v>
                </c:pt>
                <c:pt idx="4">
                  <c:v>Loire-Bretagne</c:v>
                </c:pt>
                <c:pt idx="5">
                  <c:v>Seine-Normandie</c:v>
                </c:pt>
                <c:pt idx="6">
                  <c:v>Artois-Picardie</c:v>
                </c:pt>
                <c:pt idx="7">
                  <c:v>Rhin-Meuse</c:v>
                </c:pt>
                <c:pt idx="8">
                  <c:v>Rhone-Méditerranée</c:v>
                </c:pt>
                <c:pt idx="9">
                  <c:v>Adour-Garonne</c:v>
                </c:pt>
                <c:pt idx="10">
                  <c:v>Loire-Bretagne</c:v>
                </c:pt>
                <c:pt idx="11">
                  <c:v>Seine-Normandie</c:v>
                </c:pt>
              </c:strCache>
            </c:strRef>
          </c:cat>
          <c:val>
            <c:numRef>
              <c:f>'Graph 3'!$C$11:$P$11</c:f>
              <c:numCache>
                <c:formatCode>General</c:formatCode>
                <c:ptCount val="12"/>
                <c:pt idx="6" formatCode="#,##0">
                  <c:v>10.460996413636364</c:v>
                </c:pt>
                <c:pt idx="7" formatCode="#,##0">
                  <c:v>46.008808872727272</c:v>
                </c:pt>
                <c:pt idx="8" formatCode="#,##0">
                  <c:v>57.706415575454542</c:v>
                </c:pt>
                <c:pt idx="9" formatCode="#,##0">
                  <c:v>13.121847183009093</c:v>
                </c:pt>
                <c:pt idx="10" formatCode="#,##0">
                  <c:v>9.7588927523003637</c:v>
                </c:pt>
                <c:pt idx="11" formatCode="#,##0">
                  <c:v>41.914067041190926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774-4E98-9D0E-42F60E9157AD}"/>
            </c:ext>
          </c:extLst>
        </c:ser>
        <c:ser>
          <c:idx val="7"/>
          <c:order val="7"/>
          <c:tx>
            <c:strRef>
              <c:f>'Graph 3'!$B$12</c:f>
              <c:strCache>
                <c:ptCount val="1"/>
                <c:pt idx="0">
                  <c:v>Consommation des centrales 
électriques (refroidissement)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</c:spPr>
          <c:invertIfNegative val="0"/>
          <c:cat>
            <c:strRef>
              <c:f>'Graph 3'!$C$4:$P$4</c:f>
              <c:strCache>
                <c:ptCount val="12"/>
                <c:pt idx="0">
                  <c:v>Artois-Picardie</c:v>
                </c:pt>
                <c:pt idx="1">
                  <c:v>Rhin-Meuse</c:v>
                </c:pt>
                <c:pt idx="2">
                  <c:v>Rhone-Méditerranée</c:v>
                </c:pt>
                <c:pt idx="3">
                  <c:v>Adour-Garonne</c:v>
                </c:pt>
                <c:pt idx="4">
                  <c:v>Loire-Bretagne</c:v>
                </c:pt>
                <c:pt idx="5">
                  <c:v>Seine-Normandie</c:v>
                </c:pt>
                <c:pt idx="6">
                  <c:v>Artois-Picardie</c:v>
                </c:pt>
                <c:pt idx="7">
                  <c:v>Rhin-Meuse</c:v>
                </c:pt>
                <c:pt idx="8">
                  <c:v>Rhone-Méditerranée</c:v>
                </c:pt>
                <c:pt idx="9">
                  <c:v>Adour-Garonne</c:v>
                </c:pt>
                <c:pt idx="10">
                  <c:v>Loire-Bretagne</c:v>
                </c:pt>
                <c:pt idx="11">
                  <c:v>Seine-Normandie</c:v>
                </c:pt>
              </c:strCache>
            </c:strRef>
          </c:cat>
          <c:val>
            <c:numRef>
              <c:f>'Graph 3'!$C$12:$P$12</c:f>
              <c:numCache>
                <c:formatCode>General</c:formatCode>
                <c:ptCount val="12"/>
                <c:pt idx="6" formatCode="#,##0">
                  <c:v>1.4129887341818179</c:v>
                </c:pt>
                <c:pt idx="7" formatCode="#,##0">
                  <c:v>113.18315101954545</c:v>
                </c:pt>
                <c:pt idx="8" formatCode="#,##0">
                  <c:v>78.401684909090903</c:v>
                </c:pt>
                <c:pt idx="9" formatCode="#,##0">
                  <c:v>35.112110909090902</c:v>
                </c:pt>
                <c:pt idx="10" formatCode="#,##0">
                  <c:v>209.87361658090907</c:v>
                </c:pt>
                <c:pt idx="11" formatCode="#,##0">
                  <c:v>44.319313818181818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774-4E98-9D0E-42F60E915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4380416"/>
        <c:axId val="223377600"/>
      </c:barChart>
      <c:catAx>
        <c:axId val="2243804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1920000"/>
          <a:lstStyle/>
          <a:p>
            <a:pPr>
              <a:defRPr sz="900" baseline="0">
                <a:latin typeface="Arial" panose="020B0604020202020204" pitchFamily="34" charset="0"/>
              </a:defRPr>
            </a:pPr>
            <a:endParaRPr lang="fr-FR"/>
          </a:p>
        </c:txPr>
        <c:crossAx val="223377600"/>
        <c:crosses val="autoZero"/>
        <c:auto val="1"/>
        <c:lblAlgn val="ctr"/>
        <c:lblOffset val="100"/>
        <c:noMultiLvlLbl val="0"/>
      </c:catAx>
      <c:valAx>
        <c:axId val="223377600"/>
        <c:scaling>
          <c:orientation val="minMax"/>
          <c:max val="3500"/>
          <c:min val="0"/>
        </c:scaling>
        <c:delete val="0"/>
        <c:axPos val="l"/>
        <c:majorGridlines>
          <c:spPr>
            <a:ln>
              <a:prstDash val="sysDot"/>
            </a:ln>
          </c:spPr>
        </c:majorGridlines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Arial" panose="020B0604020202020204" pitchFamily="34" charset="0"/>
              </a:defRPr>
            </a:pPr>
            <a:endParaRPr lang="fr-FR"/>
          </a:p>
        </c:txPr>
        <c:crossAx val="22438041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6.8671957192609587E-2"/>
          <c:y val="0.86432124896715556"/>
          <c:w val="0.92842486465574448"/>
          <c:h val="0.11705368040280974"/>
        </c:manualLayout>
      </c:layout>
      <c:overlay val="0"/>
      <c:txPr>
        <a:bodyPr/>
        <a:lstStyle/>
        <a:p>
          <a:pPr>
            <a:defRPr sz="900" baseline="0">
              <a:latin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86230687688432E-2"/>
          <c:y val="6.0429205382942656E-2"/>
          <c:w val="0.95082555422667758"/>
          <c:h val="0.80432698032180472"/>
        </c:manualLayout>
      </c:layout>
      <c:barChart>
        <c:barDir val="col"/>
        <c:grouping val="clustered"/>
        <c:varyColors val="0"/>
        <c:ser>
          <c:idx val="0"/>
          <c:order val="0"/>
          <c:tx>
            <c:v>Ressource en eau annuelle</c:v>
          </c:tx>
          <c:spPr>
            <a:solidFill>
              <a:srgbClr val="465F9D"/>
            </a:solidFill>
            <a:ln>
              <a:noFill/>
            </a:ln>
            <a:effectLst/>
          </c:spPr>
          <c:invertIfNegative val="0"/>
          <c:cat>
            <c:numRef>
              <c:f>'Graph 4'!$A$2:$A$14</c:f>
              <c:numCache>
                <c:formatCode>0</c:formatCode>
                <c:ptCount val="1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</c:numCache>
            </c:numRef>
          </c:cat>
          <c:val>
            <c:numRef>
              <c:f>'Graph 4'!$D$2:$D$14</c:f>
              <c:numCache>
                <c:formatCode>0</c:formatCode>
                <c:ptCount val="13"/>
                <c:pt idx="0">
                  <c:v>-20.536562203228868</c:v>
                </c:pt>
                <c:pt idx="1">
                  <c:v>-16.385090218423557</c:v>
                </c:pt>
                <c:pt idx="2">
                  <c:v>-5.7037037037036953</c:v>
                </c:pt>
                <c:pt idx="3">
                  <c:v>-21.925925925925924</c:v>
                </c:pt>
                <c:pt idx="4">
                  <c:v>-23.288224121557448</c:v>
                </c:pt>
                <c:pt idx="5">
                  <c:v>39.03086419753086</c:v>
                </c:pt>
                <c:pt idx="6">
                  <c:v>36.90360873694209</c:v>
                </c:pt>
                <c:pt idx="7">
                  <c:v>-13.500949667616325</c:v>
                </c:pt>
                <c:pt idx="8">
                  <c:v>2.234567901234584</c:v>
                </c:pt>
                <c:pt idx="9">
                  <c:v>-38.146723646723643</c:v>
                </c:pt>
                <c:pt idx="10">
                  <c:v>22.054605887939246</c:v>
                </c:pt>
                <c:pt idx="11">
                  <c:v>-32.763532763532766</c:v>
                </c:pt>
                <c:pt idx="12">
                  <c:v>37.464387464387471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F1-439C-A2AB-A521EF281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516329248"/>
        <c:axId val="516332160"/>
      </c:barChart>
      <c:catAx>
        <c:axId val="51632924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516332160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51633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51632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516430282951544E-2"/>
          <c:y val="0.94591446586810823"/>
          <c:w val="0.81949070207550012"/>
          <c:h val="4.8327835484482114E-2"/>
        </c:manualLayout>
      </c:layout>
      <c:overlay val="0"/>
      <c:spPr>
        <a:noFill/>
        <a:ln>
          <a:solidFill>
            <a:schemeClr val="tx1">
              <a:lumMod val="15000"/>
              <a:lumOff val="8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295275</xdr:colOff>
      <xdr:row>13</xdr:row>
      <xdr:rowOff>76199</xdr:rowOff>
    </xdr:from>
    <xdr:to>
      <xdr:col>3</xdr:col>
      <xdr:colOff>676275</xdr:colOff>
      <xdr:row>27</xdr:row>
      <xdr:rowOff>180972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289892</xdr:colOff>
      <xdr:row>4</xdr:row>
      <xdr:rowOff>67733</xdr:rowOff>
    </xdr:from>
    <xdr:to>
      <xdr:col>14</xdr:col>
      <xdr:colOff>115956</xdr:colOff>
      <xdr:row>25</xdr:row>
      <xdr:rowOff>190500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600080</xdr:colOff>
      <xdr:row>15</xdr:row>
      <xdr:rowOff>95249</xdr:rowOff>
    </xdr:from>
    <xdr:to>
      <xdr:col>16</xdr:col>
      <xdr:colOff>504824</xdr:colOff>
      <xdr:row>44</xdr:row>
      <xdr:rowOff>123824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0.55394</cdr:x>
      <cdr:y>0.14765</cdr:y>
    </cdr:from>
    <cdr:to>
      <cdr:x>0.9798</cdr:x>
      <cdr:y>0.20325</cdr:y>
    </cdr:to>
    <cdr:sp macro="" textlink="">
      <cdr:nvSpPr>
        <cdr:cNvPr id="3" name="AutoShape 2"/>
        <cdr:cNvSpPr>
          <a:spLocks xmlns:a="http://schemas.openxmlformats.org/drawingml/2006/main"/>
        </cdr:cNvSpPr>
      </cdr:nvSpPr>
      <cdr:spPr bwMode="auto">
        <a:xfrm xmlns:a="http://schemas.openxmlformats.org/drawingml/2006/main" rot="5400000">
          <a:off x="6962152" y="-913563"/>
          <a:ext cx="337945" cy="3960000"/>
        </a:xfrm>
        <a:prstGeom xmlns:a="http://schemas.openxmlformats.org/drawingml/2006/main" prst="leftBrace">
          <a:avLst>
            <a:gd name="adj1" fmla="val 104990"/>
            <a:gd name="adj2" fmla="val 50000"/>
          </a:avLst>
        </a:prstGeom>
        <a:noFill xmlns:a="http://schemas.openxmlformats.org/drawingml/2006/main"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0.09847</cdr:x>
      <cdr:y>0.1489</cdr:y>
    </cdr:from>
    <cdr:to>
      <cdr:x>0.52432</cdr:x>
      <cdr:y>0.20449</cdr:y>
    </cdr:to>
    <cdr:sp macro="" textlink="">
      <cdr:nvSpPr>
        <cdr:cNvPr id="4" name="AutoShape 2"/>
        <cdr:cNvSpPr>
          <a:spLocks xmlns:a="http://schemas.openxmlformats.org/drawingml/2006/main"/>
        </cdr:cNvSpPr>
      </cdr:nvSpPr>
      <cdr:spPr bwMode="auto">
        <a:xfrm xmlns:a="http://schemas.openxmlformats.org/drawingml/2006/main" rot="5400000">
          <a:off x="2726704" y="-906003"/>
          <a:ext cx="337945" cy="3960000"/>
        </a:xfrm>
        <a:prstGeom xmlns:a="http://schemas.openxmlformats.org/drawingml/2006/main" prst="leftBrace">
          <a:avLst>
            <a:gd name="adj1" fmla="val 104990"/>
            <a:gd name="adj2" fmla="val 50000"/>
          </a:avLst>
        </a:prstGeom>
        <a:noFill xmlns:a="http://schemas.openxmlformats.org/drawingml/2006/main"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0.61377</cdr:x>
      <cdr:y>0.10447</cdr:y>
    </cdr:from>
    <cdr:to>
      <cdr:x>0.92106</cdr:x>
      <cdr:y>0.148</cdr:y>
    </cdr:to>
    <cdr:sp macro="" textlink="">
      <cdr:nvSpPr>
        <cdr:cNvPr id="5" name="ZoneTexte 4"/>
        <cdr:cNvSpPr txBox="1"/>
      </cdr:nvSpPr>
      <cdr:spPr>
        <a:xfrm xmlns:a="http://schemas.openxmlformats.org/drawingml/2006/main">
          <a:off x="5707440" y="635001"/>
          <a:ext cx="2857500" cy="2645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fr-FR" sz="900" b="1" baseline="0">
              <a:latin typeface="Arial" panose="020B0604020202020204" pitchFamily="34" charset="0"/>
            </a:rPr>
            <a:t>Consommation</a:t>
          </a:r>
        </a:p>
      </cdr:txBody>
    </cdr:sp>
  </cdr:relSizeAnchor>
  <cdr:relSizeAnchor xmlns:cdr="http://schemas.openxmlformats.org/drawingml/2006/chartDrawing">
    <cdr:from>
      <cdr:x>0.19798</cdr:x>
      <cdr:y>0.10729</cdr:y>
    </cdr:from>
    <cdr:to>
      <cdr:x>0.45164</cdr:x>
      <cdr:y>0.15628</cdr:y>
    </cdr:to>
    <cdr:sp macro="" textlink="">
      <cdr:nvSpPr>
        <cdr:cNvPr id="7" name="ZoneTexte 6"/>
        <cdr:cNvSpPr txBox="1"/>
      </cdr:nvSpPr>
      <cdr:spPr>
        <a:xfrm xmlns:a="http://schemas.openxmlformats.org/drawingml/2006/main">
          <a:off x="1937296" y="576052"/>
          <a:ext cx="2482150" cy="2630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fr-FR" sz="900" b="1" baseline="0">
              <a:latin typeface="Arial" panose="020B0604020202020204" pitchFamily="34" charset="0"/>
            </a:rPr>
            <a:t>Prélèvements</a:t>
          </a:r>
        </a:p>
      </cdr:txBody>
    </cdr:sp>
  </cdr:relSizeAnchor>
  <cdr:relSizeAnchor xmlns:cdr="http://schemas.openxmlformats.org/drawingml/2006/chartDrawing">
    <cdr:from>
      <cdr:x>0.1964</cdr:x>
      <cdr:y>0.00597</cdr:y>
    </cdr:from>
    <cdr:to>
      <cdr:x>0.30272</cdr:x>
      <cdr:y>0.03803</cdr:y>
    </cdr:to>
    <cdr:sp macro="" textlink="">
      <cdr:nvSpPr>
        <cdr:cNvPr id="9" name="ZoneTexte 8"/>
        <cdr:cNvSpPr txBox="1"/>
      </cdr:nvSpPr>
      <cdr:spPr>
        <a:xfrm xmlns:a="http://schemas.openxmlformats.org/drawingml/2006/main">
          <a:off x="2169254" y="33131"/>
          <a:ext cx="1174289" cy="178077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fr-FR" sz="1000" baseline="0">
              <a:latin typeface="Arial" panose="020B0604020202020204" pitchFamily="34" charset="0"/>
            </a:rPr>
            <a:t>11 706</a:t>
          </a:r>
          <a:endParaRPr lang="fr-FR" sz="900" baseline="0">
            <a:latin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0.00406</cdr:x>
      <cdr:y>0.0199</cdr:y>
    </cdr:from>
    <cdr:to>
      <cdr:x>0.09268</cdr:x>
      <cdr:y>0.06343</cdr:y>
    </cdr:to>
    <cdr:sp macro="" textlink="">
      <cdr:nvSpPr>
        <cdr:cNvPr id="11" name="ZoneTexte 10"/>
        <cdr:cNvSpPr txBox="1"/>
      </cdr:nvSpPr>
      <cdr:spPr>
        <a:xfrm xmlns:a="http://schemas.openxmlformats.org/drawingml/2006/main">
          <a:off x="37798" y="120952"/>
          <a:ext cx="823988" cy="2645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1100"/>
        </a:p>
      </cdr:txBody>
    </cdr:sp>
  </cdr:relSizeAnchor>
  <cdr:relSizeAnchor xmlns:cdr="http://schemas.openxmlformats.org/drawingml/2006/chartDrawing">
    <cdr:from>
      <cdr:x>0.02361</cdr:x>
      <cdr:y>0.00121</cdr:y>
    </cdr:from>
    <cdr:to>
      <cdr:x>0.09352</cdr:x>
      <cdr:y>0.04225</cdr:y>
    </cdr:to>
    <cdr:sp macro="" textlink="">
      <cdr:nvSpPr>
        <cdr:cNvPr id="12" name="ZoneTexte 11"/>
        <cdr:cNvSpPr txBox="1"/>
      </cdr:nvSpPr>
      <cdr:spPr>
        <a:xfrm xmlns:a="http://schemas.openxmlformats.org/drawingml/2006/main">
          <a:off x="219705" y="7342"/>
          <a:ext cx="650444" cy="24955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r"/>
          <a:r>
            <a:rPr lang="fr-FR" sz="1000" baseline="0">
              <a:latin typeface="Arial" panose="020B0604020202020204" pitchFamily="34" charset="0"/>
            </a:rPr>
            <a:t>12 000</a:t>
          </a:r>
        </a:p>
      </cdr:txBody>
    </cdr:sp>
  </cdr:relSizeAnchor>
  <cdr:relSizeAnchor xmlns:cdr="http://schemas.openxmlformats.org/drawingml/2006/chartDrawing">
    <cdr:from>
      <cdr:x>0.2682</cdr:x>
      <cdr:y>0.05986</cdr:y>
    </cdr:from>
    <cdr:to>
      <cdr:x>0.28876</cdr:x>
      <cdr:y>0.0882</cdr:y>
    </cdr:to>
    <cdr:sp macro="" textlink="">
      <cdr:nvSpPr>
        <cdr:cNvPr id="17" name="ZoneTexte 1">
          <a:extLst xmlns:a="http://schemas.openxmlformats.org/drawingml/2006/main">
            <a:ext uri="{FF2B5EF4-FFF2-40B4-BE49-F238E27FC236}">
              <a16:creationId xmlns:a16="http://schemas.microsoft.com/office/drawing/2014/main" id="{CDA12C00-491F-400D-A741-5C64B3B7319C}"/>
            </a:ext>
          </a:extLst>
        </cdr:cNvPr>
        <cdr:cNvSpPr txBox="1"/>
      </cdr:nvSpPr>
      <cdr:spPr>
        <a:xfrm xmlns:a="http://schemas.openxmlformats.org/drawingml/2006/main">
          <a:off x="2551268" y="332416"/>
          <a:ext cx="195578" cy="15737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900"/>
            <a:t>/   /</a:t>
          </a:r>
        </a:p>
      </cdr:txBody>
    </cdr:sp>
  </cdr:relSizeAnchor>
  <cdr:relSizeAnchor xmlns:cdr="http://schemas.openxmlformats.org/drawingml/2006/chartDrawing">
    <cdr:from>
      <cdr:x>0.08559</cdr:x>
      <cdr:y>0.06135</cdr:y>
    </cdr:from>
    <cdr:to>
      <cdr:x>0.10615</cdr:x>
      <cdr:y>0.08969</cdr:y>
    </cdr:to>
    <cdr:sp macro="" textlink="">
      <cdr:nvSpPr>
        <cdr:cNvPr id="14" name="ZoneTexte 1">
          <a:extLst xmlns:a="http://schemas.openxmlformats.org/drawingml/2006/main">
            <a:ext uri="{FF2B5EF4-FFF2-40B4-BE49-F238E27FC236}">
              <a16:creationId xmlns:a16="http://schemas.microsoft.com/office/drawing/2014/main" id="{3701E09F-0B17-4DB4-8AB6-C882BAB1D867}"/>
            </a:ext>
          </a:extLst>
        </cdr:cNvPr>
        <cdr:cNvSpPr txBox="1"/>
      </cdr:nvSpPr>
      <cdr:spPr>
        <a:xfrm xmlns:a="http://schemas.openxmlformats.org/drawingml/2006/main">
          <a:off x="945321" y="340691"/>
          <a:ext cx="227077" cy="15737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0" tIns="0" rIns="0" bIns="0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900"/>
            <a:t>/   /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1152526" y="5019676"/>
    <xdr:ext cx="2962274" cy="2924174"/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 noGrp="1"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opLeftCell="A10" workbookViewId="0">
      <selection activeCell="F24" sqref="F24"/>
    </sheetView>
  </sheetViews>
  <sheetFormatPr baseColWidth="10" defaultColWidth="9.140625" defaultRowHeight="15" x14ac:dyDescent="0.25"/>
  <cols>
    <col min="1" max="1" width="10.140625" style="36" bestFit="1" customWidth="1"/>
    <col min="2" max="2" width="20.42578125" style="36" bestFit="1" customWidth="1"/>
    <col min="3" max="3" width="26" style="36" customWidth="1"/>
    <col min="4" max="4" width="11.7109375" style="36" bestFit="1" customWidth="1"/>
    <col min="5" max="5" width="23.42578125" style="36" bestFit="1" customWidth="1"/>
    <col min="6" max="6" width="24.7109375" style="36" bestFit="1" customWidth="1"/>
    <col min="7" max="16384" width="9.140625" style="36"/>
  </cols>
  <sheetData>
    <row r="1" spans="1:7" ht="15.75" x14ac:dyDescent="0.25">
      <c r="A1" s="45" t="s">
        <v>65</v>
      </c>
    </row>
    <row r="2" spans="1:7" x14ac:dyDescent="0.25">
      <c r="B2" s="36" t="s">
        <v>3</v>
      </c>
      <c r="C2" s="36" t="s">
        <v>5</v>
      </c>
    </row>
    <row r="3" spans="1:7" x14ac:dyDescent="0.25">
      <c r="A3" s="36" t="s">
        <v>0</v>
      </c>
      <c r="B3" s="46">
        <v>92.786020346013117</v>
      </c>
      <c r="C3" s="47">
        <v>0.40666389525926899</v>
      </c>
      <c r="E3" s="47"/>
      <c r="G3" s="53"/>
    </row>
    <row r="4" spans="1:7" x14ac:dyDescent="0.25">
      <c r="A4" s="36" t="s">
        <v>1</v>
      </c>
      <c r="B4" s="46">
        <v>110.3267354814997</v>
      </c>
      <c r="C4" s="47">
        <v>0.48354159209365738</v>
      </c>
      <c r="E4" s="47"/>
      <c r="G4" s="53"/>
    </row>
    <row r="5" spans="1:7" x14ac:dyDescent="0.25">
      <c r="A5" s="36" t="s">
        <v>2</v>
      </c>
      <c r="B5" s="46">
        <v>21.179442214660234</v>
      </c>
      <c r="C5" s="47">
        <v>9.2825561849872076E-2</v>
      </c>
      <c r="E5" s="47"/>
      <c r="G5" s="53"/>
    </row>
    <row r="6" spans="1:7" x14ac:dyDescent="0.25">
      <c r="A6" s="36" t="s">
        <v>37</v>
      </c>
      <c r="B6" s="46">
        <v>3.87170199340127</v>
      </c>
      <c r="C6" s="47">
        <v>1.6968950797201534E-2</v>
      </c>
      <c r="E6" s="47"/>
      <c r="G6" s="53"/>
    </row>
    <row r="7" spans="1:7" x14ac:dyDescent="0.25">
      <c r="A7" s="36" t="s">
        <v>4</v>
      </c>
      <c r="B7" s="46">
        <f>SUM(B3:B6)</f>
        <v>228.16390003557433</v>
      </c>
    </row>
    <row r="8" spans="1:7" ht="17.25" x14ac:dyDescent="0.25">
      <c r="A8" s="41" t="s">
        <v>53</v>
      </c>
    </row>
    <row r="9" spans="1:7" x14ac:dyDescent="0.25">
      <c r="A9" s="41" t="s">
        <v>38</v>
      </c>
    </row>
    <row r="10" spans="1:7" x14ac:dyDescent="0.25">
      <c r="A10" s="41" t="s">
        <v>39</v>
      </c>
    </row>
    <row r="11" spans="1:7" x14ac:dyDescent="0.25">
      <c r="A11" s="41" t="s">
        <v>47</v>
      </c>
    </row>
    <row r="12" spans="1:7" x14ac:dyDescent="0.25">
      <c r="A12" s="41" t="s">
        <v>54</v>
      </c>
    </row>
    <row r="13" spans="1:7" x14ac:dyDescent="0.25">
      <c r="A13" s="41"/>
    </row>
    <row r="14" spans="1:7" x14ac:dyDescent="0.25">
      <c r="A14" s="48" t="s">
        <v>6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9"/>
  <sheetViews>
    <sheetView showGridLines="0" topLeftCell="G13" zoomScale="115" zoomScaleNormal="115" workbookViewId="0">
      <selection activeCell="K4" sqref="K4"/>
    </sheetView>
  </sheetViews>
  <sheetFormatPr baseColWidth="10" defaultColWidth="11.42578125" defaultRowHeight="14.25" x14ac:dyDescent="0.2"/>
  <cols>
    <col min="1" max="1" width="56" style="6" customWidth="1"/>
    <col min="2" max="2" width="16.5703125" style="5" customWidth="1"/>
    <col min="3" max="4" width="11.42578125" style="5"/>
    <col min="5" max="5" width="6" style="5" customWidth="1"/>
    <col min="6" max="6" width="8.7109375" style="5" customWidth="1"/>
    <col min="7" max="7" width="13.28515625" style="5" bestFit="1" customWidth="1"/>
    <col min="8" max="9" width="11.42578125" style="5"/>
    <col min="10" max="10" width="5" style="5" customWidth="1"/>
    <col min="11" max="14" width="11.42578125" style="5"/>
    <col min="15" max="16384" width="11.42578125" style="6"/>
  </cols>
  <sheetData>
    <row r="1" spans="1:17" s="3" customFormat="1" ht="20.25" x14ac:dyDescent="0.3">
      <c r="A1" s="54" t="s">
        <v>66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2"/>
      <c r="N1" s="2"/>
    </row>
    <row r="2" spans="1:17" ht="16.5" x14ac:dyDescent="0.2">
      <c r="A2" s="4" t="s">
        <v>7</v>
      </c>
    </row>
    <row r="3" spans="1:17" s="10" customFormat="1" ht="12.75" x14ac:dyDescent="0.2">
      <c r="A3" s="7"/>
      <c r="B3" s="8"/>
      <c r="C3" s="8"/>
      <c r="D3" s="8"/>
      <c r="E3" s="8"/>
      <c r="F3" s="9"/>
      <c r="J3" s="8"/>
      <c r="K3" s="9"/>
    </row>
    <row r="4" spans="1:17" s="10" customFormat="1" ht="38.25" x14ac:dyDescent="0.2">
      <c r="A4" s="11" t="s">
        <v>8</v>
      </c>
      <c r="B4" s="12" t="s">
        <v>55</v>
      </c>
      <c r="C4" s="12" t="s">
        <v>56</v>
      </c>
      <c r="D4" s="13" t="s">
        <v>11</v>
      </c>
      <c r="E4" s="8"/>
      <c r="F4" s="8"/>
      <c r="J4" s="8"/>
      <c r="K4" s="8"/>
      <c r="P4" s="14"/>
    </row>
    <row r="5" spans="1:17" s="10" customFormat="1" ht="12.75" x14ac:dyDescent="0.2">
      <c r="A5" s="15" t="s">
        <v>50</v>
      </c>
      <c r="B5" s="16">
        <v>1.7929031849999999</v>
      </c>
      <c r="C5" s="16">
        <v>3.5653311200100002</v>
      </c>
      <c r="D5" s="16">
        <v>5.3582343050099999</v>
      </c>
      <c r="E5" s="17"/>
      <c r="F5" s="18"/>
      <c r="J5" s="8"/>
      <c r="K5" s="8"/>
      <c r="Q5" s="14"/>
    </row>
    <row r="6" spans="1:17" s="10" customFormat="1" ht="12.75" x14ac:dyDescent="0.2">
      <c r="A6" s="15" t="s">
        <v>13</v>
      </c>
      <c r="B6" s="16">
        <v>1.985122565</v>
      </c>
      <c r="C6" s="16">
        <v>1.455179555</v>
      </c>
      <c r="D6" s="16">
        <v>3.4403021200000001</v>
      </c>
      <c r="E6" s="17"/>
      <c r="F6" s="8"/>
      <c r="J6" s="8"/>
      <c r="K6" s="8"/>
      <c r="Q6" s="14"/>
    </row>
    <row r="7" spans="1:17" s="10" customFormat="1" ht="12.75" x14ac:dyDescent="0.2">
      <c r="A7" s="15" t="s">
        <v>14</v>
      </c>
      <c r="B7" s="16">
        <v>1.4209719869999999</v>
      </c>
      <c r="C7" s="16">
        <v>0.86435796899999995</v>
      </c>
      <c r="D7" s="16">
        <v>2.285329956</v>
      </c>
      <c r="E7" s="17"/>
      <c r="F7" s="8"/>
      <c r="J7" s="8"/>
      <c r="K7" s="8"/>
      <c r="Q7" s="14"/>
    </row>
    <row r="8" spans="1:17" s="10" customFormat="1" ht="12.75" x14ac:dyDescent="0.2">
      <c r="A8" s="19" t="s">
        <v>51</v>
      </c>
      <c r="B8" s="16">
        <v>5.2861410590000002</v>
      </c>
      <c r="C8" s="16">
        <v>1.3801434E-2</v>
      </c>
      <c r="D8" s="16">
        <v>5.2999424930000005</v>
      </c>
      <c r="E8" s="17"/>
      <c r="F8" s="8"/>
      <c r="J8" s="8"/>
      <c r="K8" s="8"/>
      <c r="Q8" s="14"/>
    </row>
    <row r="9" spans="1:17" s="10" customFormat="1" ht="12.75" x14ac:dyDescent="0.2">
      <c r="A9" s="15" t="s">
        <v>52</v>
      </c>
      <c r="B9" s="16">
        <v>13.587480336</v>
      </c>
      <c r="C9" s="16">
        <v>2.0525900000000001E-4</v>
      </c>
      <c r="D9" s="16">
        <v>13.587685595</v>
      </c>
      <c r="E9" s="17"/>
      <c r="F9" s="8"/>
      <c r="J9" s="8"/>
      <c r="K9" s="8"/>
      <c r="Q9" s="14"/>
    </row>
    <row r="10" spans="1:17" s="10" customFormat="1" ht="12.75" x14ac:dyDescent="0.2">
      <c r="A10" s="20" t="s">
        <v>11</v>
      </c>
      <c r="B10" s="21">
        <v>24.072619132</v>
      </c>
      <c r="C10" s="21">
        <v>5.8988753370100007</v>
      </c>
      <c r="D10" s="21">
        <v>29.97149446901</v>
      </c>
      <c r="E10" s="17"/>
      <c r="F10" s="8"/>
      <c r="J10" s="8"/>
      <c r="K10" s="8"/>
      <c r="Q10" s="14"/>
    </row>
    <row r="11" spans="1:17" s="10" customFormat="1" ht="12.75" x14ac:dyDescent="0.2">
      <c r="A11" s="15" t="s">
        <v>17</v>
      </c>
      <c r="B11" s="16">
        <v>5.1989977369999991</v>
      </c>
      <c r="C11" s="16">
        <v>5.8848686440100009</v>
      </c>
      <c r="D11" s="16">
        <v>11.083866381010001</v>
      </c>
      <c r="E11" s="17"/>
      <c r="F11" s="8"/>
      <c r="J11" s="8"/>
      <c r="K11" s="8"/>
      <c r="L11" s="22"/>
      <c r="M11" s="22"/>
      <c r="N11" s="23"/>
      <c r="Q11" s="14"/>
    </row>
    <row r="12" spans="1:17" s="10" customFormat="1" ht="12.75" x14ac:dyDescent="0.2">
      <c r="B12" s="8"/>
      <c r="C12" s="8"/>
      <c r="D12" s="17"/>
      <c r="E12" s="17"/>
      <c r="F12" s="8"/>
      <c r="G12" s="8"/>
      <c r="H12" s="8"/>
      <c r="I12" s="8"/>
      <c r="J12" s="8"/>
      <c r="K12" s="8"/>
      <c r="L12" s="8"/>
      <c r="M12" s="8"/>
      <c r="N12" s="8"/>
    </row>
    <row r="13" spans="1:17" s="10" customFormat="1" ht="26.25" customHeight="1" x14ac:dyDescent="0.2">
      <c r="B13" s="55" t="s">
        <v>18</v>
      </c>
      <c r="C13" s="55"/>
      <c r="D13" s="55"/>
      <c r="E13" s="17"/>
      <c r="F13" s="8"/>
      <c r="G13" s="8"/>
      <c r="H13" s="8"/>
      <c r="I13" s="8"/>
      <c r="J13" s="8"/>
      <c r="K13" s="8"/>
      <c r="L13" s="8"/>
      <c r="M13" s="8"/>
      <c r="N13" s="8"/>
    </row>
    <row r="14" spans="1:17" s="10" customFormat="1" ht="12.75" x14ac:dyDescent="0.2">
      <c r="B14" s="8"/>
      <c r="C14" s="8"/>
      <c r="D14" s="8"/>
      <c r="E14" s="17"/>
      <c r="F14" s="8"/>
      <c r="G14" s="8"/>
      <c r="H14" s="8"/>
      <c r="I14" s="8"/>
      <c r="J14" s="8"/>
      <c r="K14" s="8"/>
      <c r="L14" s="8"/>
      <c r="M14" s="8"/>
      <c r="N14" s="8"/>
    </row>
    <row r="15" spans="1:17" s="10" customFormat="1" ht="25.5" x14ac:dyDescent="0.2">
      <c r="A15" s="11" t="s">
        <v>6</v>
      </c>
      <c r="B15" s="12" t="s">
        <v>9</v>
      </c>
      <c r="C15" s="12" t="s">
        <v>10</v>
      </c>
      <c r="D15" s="13" t="s">
        <v>11</v>
      </c>
      <c r="E15" s="17"/>
      <c r="F15" s="8"/>
      <c r="G15" s="8"/>
      <c r="H15" s="8"/>
      <c r="I15" s="8"/>
      <c r="J15" s="8"/>
      <c r="K15" s="8"/>
      <c r="L15" s="24"/>
      <c r="M15" s="8"/>
      <c r="N15" s="8"/>
    </row>
    <row r="16" spans="1:17" s="10" customFormat="1" ht="12.75" x14ac:dyDescent="0.2">
      <c r="A16" s="15" t="s">
        <v>12</v>
      </c>
      <c r="B16" s="25">
        <f t="shared" ref="B16:C22" si="0">B5/$D5</f>
        <v>0.33460708937711409</v>
      </c>
      <c r="C16" s="25">
        <f t="shared" si="0"/>
        <v>0.66539291062288597</v>
      </c>
      <c r="D16" s="26">
        <f>SUM(B16:C16)</f>
        <v>1</v>
      </c>
      <c r="E16" s="17"/>
      <c r="F16" s="8"/>
      <c r="G16" s="8"/>
      <c r="H16" s="8"/>
      <c r="I16" s="8"/>
      <c r="J16" s="8"/>
      <c r="K16" s="8"/>
      <c r="L16" s="8"/>
      <c r="M16" s="8"/>
      <c r="N16" s="8"/>
    </row>
    <row r="17" spans="1:14" s="10" customFormat="1" ht="12.75" x14ac:dyDescent="0.2">
      <c r="A17" s="15" t="s">
        <v>13</v>
      </c>
      <c r="B17" s="25">
        <f t="shared" si="0"/>
        <v>0.57701983597882378</v>
      </c>
      <c r="C17" s="25">
        <f t="shared" si="0"/>
        <v>0.42298016402117611</v>
      </c>
      <c r="D17" s="26">
        <f t="shared" ref="D17:D22" si="1">SUM(B17:C17)</f>
        <v>0.99999999999999989</v>
      </c>
      <c r="E17" s="17"/>
      <c r="F17" s="8"/>
      <c r="G17" s="8"/>
      <c r="H17" s="8"/>
      <c r="I17" s="8"/>
      <c r="J17" s="8"/>
      <c r="K17" s="8"/>
      <c r="L17" s="8"/>
      <c r="M17" s="8"/>
      <c r="N17" s="8"/>
    </row>
    <row r="18" spans="1:14" s="10" customFormat="1" ht="12.75" x14ac:dyDescent="0.2">
      <c r="A18" s="15" t="s">
        <v>14</v>
      </c>
      <c r="B18" s="25">
        <f t="shared" si="0"/>
        <v>0.62177979300946074</v>
      </c>
      <c r="C18" s="25">
        <f t="shared" si="0"/>
        <v>0.37822020699053926</v>
      </c>
      <c r="D18" s="26">
        <f t="shared" si="1"/>
        <v>1</v>
      </c>
      <c r="E18" s="17"/>
      <c r="F18" s="8"/>
      <c r="G18" s="8"/>
      <c r="H18" s="8"/>
      <c r="I18" s="8"/>
      <c r="J18" s="8"/>
      <c r="K18" s="8"/>
      <c r="L18" s="8"/>
      <c r="M18" s="8"/>
      <c r="N18" s="8"/>
    </row>
    <row r="19" spans="1:14" s="10" customFormat="1" ht="12.75" x14ac:dyDescent="0.2">
      <c r="A19" s="19" t="s">
        <v>15</v>
      </c>
      <c r="B19" s="25">
        <f t="shared" si="0"/>
        <v>0.99739592759388829</v>
      </c>
      <c r="C19" s="25">
        <f t="shared" si="0"/>
        <v>2.604072406111671E-3</v>
      </c>
      <c r="D19" s="26">
        <f t="shared" si="1"/>
        <v>1</v>
      </c>
      <c r="E19" s="17"/>
      <c r="F19" s="8"/>
      <c r="G19" s="8"/>
      <c r="H19" s="8"/>
      <c r="I19" s="8"/>
      <c r="J19" s="8"/>
      <c r="K19" s="8"/>
      <c r="L19" s="8"/>
      <c r="M19" s="8"/>
      <c r="N19" s="8"/>
    </row>
    <row r="20" spans="1:14" s="10" customFormat="1" ht="12.75" x14ac:dyDescent="0.2">
      <c r="A20" s="15" t="s">
        <v>16</v>
      </c>
      <c r="B20" s="25">
        <f t="shared" si="0"/>
        <v>0.99998489374819832</v>
      </c>
      <c r="C20" s="25">
        <f t="shared" si="0"/>
        <v>1.5106251801670424E-5</v>
      </c>
      <c r="D20" s="26">
        <f t="shared" si="1"/>
        <v>1</v>
      </c>
      <c r="E20" s="17"/>
      <c r="F20" s="8"/>
      <c r="G20" s="8"/>
      <c r="H20" s="8"/>
      <c r="I20" s="8"/>
      <c r="J20" s="8"/>
      <c r="K20" s="8"/>
      <c r="L20" s="8"/>
      <c r="M20" s="8"/>
      <c r="N20" s="8"/>
    </row>
    <row r="21" spans="1:14" s="10" customFormat="1" ht="12.75" x14ac:dyDescent="0.2">
      <c r="A21" s="15" t="s">
        <v>11</v>
      </c>
      <c r="B21" s="25">
        <f t="shared" si="0"/>
        <v>0.80318381043329912</v>
      </c>
      <c r="C21" s="25">
        <f t="shared" si="0"/>
        <v>0.19681618956670094</v>
      </c>
      <c r="D21" s="26">
        <f t="shared" si="1"/>
        <v>1</v>
      </c>
      <c r="E21" s="17"/>
      <c r="F21" s="8"/>
      <c r="G21" s="8"/>
      <c r="H21" s="8"/>
      <c r="I21" s="8"/>
      <c r="J21" s="8"/>
      <c r="K21" s="8"/>
      <c r="L21" s="8"/>
      <c r="M21" s="8"/>
      <c r="N21" s="8"/>
    </row>
    <row r="22" spans="1:14" s="10" customFormat="1" ht="12.75" x14ac:dyDescent="0.2">
      <c r="A22" s="15" t="s">
        <v>17</v>
      </c>
      <c r="B22" s="25">
        <f t="shared" si="0"/>
        <v>0.46905994337025275</v>
      </c>
      <c r="C22" s="25">
        <f t="shared" si="0"/>
        <v>0.53094005662974719</v>
      </c>
      <c r="D22" s="26">
        <f t="shared" si="1"/>
        <v>1</v>
      </c>
      <c r="E22" s="17"/>
      <c r="F22" s="8"/>
      <c r="G22" s="8"/>
      <c r="H22" s="8"/>
      <c r="I22" s="8"/>
      <c r="J22" s="8"/>
      <c r="K22" s="8"/>
      <c r="L22" s="8"/>
      <c r="M22" s="8"/>
      <c r="N22" s="8"/>
    </row>
    <row r="23" spans="1:14" s="10" customFormat="1" ht="12.75" x14ac:dyDescent="0.2">
      <c r="B23" s="8"/>
      <c r="C23" s="8"/>
      <c r="D23" s="17"/>
      <c r="E23" s="17"/>
      <c r="F23" s="8"/>
      <c r="G23" s="8"/>
      <c r="H23" s="8"/>
      <c r="I23" s="8"/>
      <c r="J23" s="8"/>
      <c r="K23" s="8"/>
      <c r="L23" s="8"/>
      <c r="M23" s="8"/>
      <c r="N23" s="8"/>
    </row>
    <row r="24" spans="1:14" s="10" customFormat="1" ht="32.25" customHeight="1" x14ac:dyDescent="0.2">
      <c r="B24" s="55" t="s">
        <v>19</v>
      </c>
      <c r="C24" s="55"/>
      <c r="D24" s="55"/>
      <c r="E24" s="17"/>
      <c r="F24" s="8"/>
      <c r="G24" s="8"/>
      <c r="H24" s="8"/>
      <c r="I24" s="8"/>
      <c r="J24" s="8"/>
      <c r="K24" s="8"/>
      <c r="L24" s="8"/>
      <c r="M24" s="8"/>
      <c r="N24" s="8"/>
    </row>
    <row r="25" spans="1:14" s="10" customFormat="1" ht="12.75" x14ac:dyDescent="0.2">
      <c r="B25" s="8"/>
      <c r="C25" s="8"/>
      <c r="D25" s="8"/>
      <c r="E25" s="17"/>
      <c r="F25" s="8"/>
      <c r="G25" s="8"/>
      <c r="H25" s="8"/>
      <c r="I25" s="8"/>
      <c r="J25" s="8"/>
      <c r="K25" s="8"/>
      <c r="L25" s="8"/>
      <c r="M25" s="8"/>
      <c r="N25" s="8"/>
    </row>
    <row r="26" spans="1:14" s="10" customFormat="1" ht="25.5" x14ac:dyDescent="0.2">
      <c r="A26" s="11" t="s">
        <v>6</v>
      </c>
      <c r="B26" s="12" t="s">
        <v>9</v>
      </c>
      <c r="C26" s="12" t="s">
        <v>10</v>
      </c>
      <c r="D26" s="13" t="s">
        <v>11</v>
      </c>
      <c r="E26" s="17"/>
      <c r="F26" s="8"/>
      <c r="G26" s="8"/>
      <c r="H26" s="8"/>
      <c r="I26" s="8"/>
      <c r="J26" s="8"/>
      <c r="K26" s="8"/>
      <c r="L26" s="8"/>
      <c r="M26" s="8"/>
      <c r="N26" s="8"/>
    </row>
    <row r="27" spans="1:14" s="10" customFormat="1" ht="12.75" x14ac:dyDescent="0.2">
      <c r="A27" s="15" t="s">
        <v>12</v>
      </c>
      <c r="B27" s="25">
        <f t="shared" ref="B27:D31" si="2">B5/B$10</f>
        <v>7.447894120572339E-2</v>
      </c>
      <c r="C27" s="25">
        <f t="shared" si="2"/>
        <v>0.60440862305409926</v>
      </c>
      <c r="D27" s="25">
        <f t="shared" si="2"/>
        <v>0.17877768192541482</v>
      </c>
      <c r="E27" s="17"/>
      <c r="F27" s="8"/>
      <c r="G27" s="8"/>
      <c r="H27" s="8"/>
      <c r="I27" s="8"/>
      <c r="J27" s="8"/>
      <c r="K27" s="8"/>
      <c r="L27" s="8"/>
      <c r="M27" s="8"/>
      <c r="N27" s="8"/>
    </row>
    <row r="28" spans="1:14" s="10" customFormat="1" ht="12.75" x14ac:dyDescent="0.2">
      <c r="A28" s="15" t="s">
        <v>13</v>
      </c>
      <c r="B28" s="25">
        <f t="shared" si="2"/>
        <v>8.2463921109488025E-2</v>
      </c>
      <c r="C28" s="25">
        <f t="shared" si="2"/>
        <v>0.24668762634634619</v>
      </c>
      <c r="D28" s="25">
        <f t="shared" si="2"/>
        <v>0.11478580501073152</v>
      </c>
      <c r="E28" s="17"/>
      <c r="F28" s="8"/>
      <c r="G28" s="8"/>
      <c r="H28" s="8"/>
      <c r="I28" s="8"/>
      <c r="J28" s="8"/>
      <c r="K28" s="8"/>
      <c r="L28" s="8"/>
      <c r="M28" s="8"/>
      <c r="N28" s="8"/>
    </row>
    <row r="29" spans="1:14" s="10" customFormat="1" ht="12.75" x14ac:dyDescent="0.2">
      <c r="A29" s="15" t="s">
        <v>14</v>
      </c>
      <c r="B29" s="25">
        <f t="shared" si="2"/>
        <v>5.9028557682412136E-2</v>
      </c>
      <c r="C29" s="25">
        <f t="shared" si="2"/>
        <v>0.14652928221367065</v>
      </c>
      <c r="D29" s="25">
        <f t="shared" si="2"/>
        <v>7.6250116868979992E-2</v>
      </c>
      <c r="E29" s="17"/>
      <c r="F29" s="8"/>
      <c r="G29" s="8"/>
      <c r="H29" s="8"/>
      <c r="I29" s="8"/>
      <c r="J29" s="8"/>
      <c r="K29" s="8"/>
      <c r="L29" s="8"/>
      <c r="M29" s="8"/>
      <c r="N29" s="8"/>
    </row>
    <row r="30" spans="1:14" s="10" customFormat="1" ht="12.75" x14ac:dyDescent="0.2">
      <c r="A30" s="19" t="s">
        <v>15</v>
      </c>
      <c r="B30" s="25">
        <f t="shared" si="2"/>
        <v>0.21959143830648134</v>
      </c>
      <c r="C30" s="25">
        <f t="shared" si="2"/>
        <v>2.339672091967893E-3</v>
      </c>
      <c r="D30" s="25">
        <f t="shared" si="2"/>
        <v>0.17683277350350507</v>
      </c>
      <c r="E30" s="17"/>
      <c r="F30" s="8"/>
      <c r="G30" s="8"/>
      <c r="H30" s="8"/>
      <c r="I30" s="8"/>
      <c r="J30" s="8"/>
      <c r="K30" s="8"/>
      <c r="L30" s="8"/>
      <c r="M30" s="8"/>
      <c r="N30" s="8"/>
    </row>
    <row r="31" spans="1:14" s="10" customFormat="1" ht="12.75" x14ac:dyDescent="0.2">
      <c r="A31" s="15" t="s">
        <v>16</v>
      </c>
      <c r="B31" s="25">
        <f t="shared" si="2"/>
        <v>0.56443714169589521</v>
      </c>
      <c r="C31" s="25">
        <f t="shared" si="2"/>
        <v>3.4796293915924812E-5</v>
      </c>
      <c r="D31" s="25">
        <f t="shared" si="2"/>
        <v>0.45335362269136859</v>
      </c>
      <c r="E31" s="17"/>
      <c r="F31" s="8"/>
      <c r="G31" s="8"/>
      <c r="H31" s="8"/>
      <c r="I31" s="8"/>
      <c r="J31" s="8"/>
      <c r="K31" s="8"/>
      <c r="L31" s="8"/>
      <c r="M31" s="8"/>
      <c r="N31" s="8"/>
    </row>
    <row r="32" spans="1:14" s="10" customFormat="1" ht="12.75" x14ac:dyDescent="0.2">
      <c r="A32" s="15" t="s">
        <v>11</v>
      </c>
      <c r="B32" s="25">
        <f>SUM(B27:B31)</f>
        <v>1</v>
      </c>
      <c r="C32" s="25">
        <f>SUM(C27:C31)</f>
        <v>1</v>
      </c>
      <c r="D32" s="25">
        <f>SUM(D27:D31)</f>
        <v>1</v>
      </c>
      <c r="E32" s="17"/>
      <c r="F32" s="8"/>
      <c r="G32" s="8"/>
      <c r="H32" s="8"/>
      <c r="I32" s="8"/>
      <c r="J32" s="8"/>
      <c r="K32" s="8"/>
      <c r="L32" s="8"/>
      <c r="M32" s="8"/>
      <c r="N32" s="8"/>
    </row>
    <row r="33" spans="1:14" s="10" customFormat="1" ht="12.75" x14ac:dyDescent="0.2">
      <c r="B33" s="8"/>
      <c r="C33" s="8"/>
      <c r="D33" s="17"/>
      <c r="E33" s="17"/>
      <c r="F33" s="8"/>
      <c r="G33" s="8"/>
      <c r="H33" s="8"/>
      <c r="I33" s="8"/>
      <c r="J33" s="8"/>
      <c r="K33" s="8"/>
      <c r="L33" s="8"/>
      <c r="M33" s="8"/>
      <c r="N33" s="8"/>
    </row>
    <row r="34" spans="1:14" s="10" customFormat="1" ht="12.75" x14ac:dyDescent="0.2">
      <c r="B34" s="8"/>
      <c r="C34" s="8"/>
      <c r="D34" s="17"/>
      <c r="E34" s="17"/>
      <c r="F34" s="8"/>
      <c r="G34" s="8"/>
      <c r="H34" s="8"/>
      <c r="I34" s="8"/>
      <c r="J34" s="8"/>
      <c r="K34" s="8"/>
      <c r="L34" s="8"/>
      <c r="M34" s="8"/>
      <c r="N34" s="8"/>
    </row>
    <row r="35" spans="1:14" s="10" customFormat="1" ht="12.75" x14ac:dyDescent="0.2">
      <c r="A35" s="49" t="s">
        <v>57</v>
      </c>
      <c r="B35" s="50"/>
      <c r="C35" s="50"/>
      <c r="D35" s="50"/>
      <c r="E35" s="50"/>
      <c r="F35" s="50"/>
      <c r="G35" s="8"/>
      <c r="H35" s="8"/>
      <c r="I35" s="8"/>
      <c r="J35" s="8"/>
      <c r="K35" s="8"/>
      <c r="L35" s="8"/>
      <c r="M35" s="8"/>
      <c r="N35" s="8"/>
    </row>
    <row r="36" spans="1:14" s="10" customFormat="1" ht="12.75" x14ac:dyDescent="0.2">
      <c r="A36" s="49" t="s">
        <v>58</v>
      </c>
      <c r="B36" s="50"/>
      <c r="C36" s="50"/>
      <c r="D36" s="50"/>
      <c r="E36" s="50"/>
      <c r="F36" s="50"/>
      <c r="G36" s="8"/>
      <c r="H36" s="8"/>
      <c r="I36" s="8"/>
      <c r="J36" s="8"/>
      <c r="K36" s="8"/>
      <c r="L36" s="8"/>
      <c r="M36" s="8"/>
      <c r="N36" s="8"/>
    </row>
    <row r="37" spans="1:14" s="10" customFormat="1" ht="12.75" x14ac:dyDescent="0.2">
      <c r="A37" s="49" t="s">
        <v>62</v>
      </c>
      <c r="B37" s="50"/>
      <c r="C37" s="50"/>
      <c r="D37" s="50"/>
      <c r="E37" s="50"/>
      <c r="F37" s="50"/>
      <c r="G37" s="8"/>
      <c r="H37" s="8"/>
      <c r="I37" s="8"/>
      <c r="J37" s="8"/>
      <c r="K37" s="8"/>
      <c r="L37" s="8"/>
      <c r="M37" s="8"/>
      <c r="N37" s="8"/>
    </row>
    <row r="38" spans="1:14" x14ac:dyDescent="0.2">
      <c r="A38" s="51"/>
      <c r="B38" s="52"/>
      <c r="C38" s="52"/>
      <c r="D38" s="52"/>
      <c r="E38" s="52"/>
      <c r="F38" s="52"/>
    </row>
    <row r="39" spans="1:14" x14ac:dyDescent="0.2">
      <c r="A39" s="51"/>
      <c r="B39" s="52"/>
      <c r="C39" s="52"/>
      <c r="D39" s="52"/>
      <c r="E39" s="52"/>
      <c r="F39" s="52"/>
    </row>
  </sheetData>
  <mergeCells count="3">
    <mergeCell ref="A1:L1"/>
    <mergeCell ref="B13:D13"/>
    <mergeCell ref="B24:D2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7"/>
  <sheetViews>
    <sheetView topLeftCell="C25" zoomScale="115" zoomScaleNormal="115" workbookViewId="0">
      <selection activeCell="B14" sqref="B14:P14"/>
    </sheetView>
  </sheetViews>
  <sheetFormatPr baseColWidth="10" defaultRowHeight="15" outlineLevelCol="1" x14ac:dyDescent="0.25"/>
  <cols>
    <col min="2" max="2" width="37.5703125" customWidth="1"/>
    <col min="3" max="3" width="11.5703125" bestFit="1" customWidth="1"/>
    <col min="4" max="4" width="12.28515625" bestFit="1" customWidth="1"/>
    <col min="5" max="5" width="15.5703125" customWidth="1"/>
    <col min="6" max="6" width="11.5703125" hidden="1" customWidth="1" outlineLevel="1"/>
    <col min="7" max="7" width="11.5703125" bestFit="1" customWidth="1" collapsed="1"/>
    <col min="8" max="9" width="12.28515625" bestFit="1" customWidth="1"/>
    <col min="13" max="13" width="11.42578125" hidden="1" customWidth="1" outlineLevel="1"/>
    <col min="14" max="14" width="11.42578125" collapsed="1"/>
    <col min="17" max="17" width="13.28515625" bestFit="1" customWidth="1"/>
  </cols>
  <sheetData>
    <row r="1" spans="1:24" ht="15.75" x14ac:dyDescent="0.25">
      <c r="A1" s="27" t="s">
        <v>63</v>
      </c>
    </row>
    <row r="2" spans="1:24" ht="17.25" x14ac:dyDescent="0.25">
      <c r="A2" s="1" t="s">
        <v>20</v>
      </c>
    </row>
    <row r="3" spans="1:24" x14ac:dyDescent="0.25">
      <c r="C3" s="56" t="s">
        <v>21</v>
      </c>
      <c r="D3" s="56"/>
      <c r="E3" s="56"/>
      <c r="F3" s="56"/>
      <c r="G3" s="56"/>
      <c r="H3" s="56"/>
      <c r="I3" s="56"/>
      <c r="J3" s="56" t="s">
        <v>22</v>
      </c>
      <c r="K3" s="56"/>
      <c r="L3" s="56"/>
      <c r="M3" s="56"/>
      <c r="N3" s="56"/>
      <c r="O3" s="56"/>
      <c r="P3" s="56"/>
      <c r="Q3" t="s">
        <v>11</v>
      </c>
      <c r="R3" s="56" t="s">
        <v>23</v>
      </c>
      <c r="S3" s="56"/>
      <c r="T3" s="56"/>
      <c r="U3" s="56"/>
      <c r="V3" s="56"/>
      <c r="W3" s="56"/>
      <c r="X3" s="56"/>
    </row>
    <row r="4" spans="1:24" ht="45" x14ac:dyDescent="0.25">
      <c r="C4" s="28" t="s">
        <v>24</v>
      </c>
      <c r="D4" s="28" t="s">
        <v>25</v>
      </c>
      <c r="E4" s="28" t="s">
        <v>26</v>
      </c>
      <c r="F4" s="28" t="s">
        <v>27</v>
      </c>
      <c r="G4" s="28" t="s">
        <v>28</v>
      </c>
      <c r="H4" s="28" t="s">
        <v>29</v>
      </c>
      <c r="I4" s="28" t="s">
        <v>30</v>
      </c>
      <c r="J4" s="28" t="s">
        <v>24</v>
      </c>
      <c r="K4" s="28" t="s">
        <v>25</v>
      </c>
      <c r="L4" s="28" t="s">
        <v>26</v>
      </c>
      <c r="M4" s="28" t="s">
        <v>27</v>
      </c>
      <c r="N4" s="28" t="s">
        <v>28</v>
      </c>
      <c r="O4" s="28" t="s">
        <v>29</v>
      </c>
      <c r="P4" s="28" t="s">
        <v>30</v>
      </c>
      <c r="R4" s="28" t="s">
        <v>24</v>
      </c>
      <c r="S4" s="28" t="s">
        <v>25</v>
      </c>
      <c r="T4" s="28" t="s">
        <v>26</v>
      </c>
      <c r="U4" s="28" t="s">
        <v>27</v>
      </c>
      <c r="V4" s="28" t="s">
        <v>28</v>
      </c>
      <c r="W4" s="28" t="s">
        <v>29</v>
      </c>
      <c r="X4" s="28" t="s">
        <v>30</v>
      </c>
    </row>
    <row r="5" spans="1:24" x14ac:dyDescent="0.25">
      <c r="B5" t="s">
        <v>31</v>
      </c>
      <c r="C5" s="29">
        <v>315.12845745545457</v>
      </c>
      <c r="D5" s="29">
        <v>319.96087718181815</v>
      </c>
      <c r="E5" s="29">
        <v>1535.0964352727271</v>
      </c>
      <c r="F5" s="29">
        <v>46.943122272727273</v>
      </c>
      <c r="G5" s="29">
        <v>717.21372781818184</v>
      </c>
      <c r="H5" s="29">
        <v>963.852364661818</v>
      </c>
      <c r="I5" s="29">
        <v>1416.947395404055</v>
      </c>
      <c r="J5" s="29"/>
      <c r="K5" s="29"/>
      <c r="L5" s="29"/>
      <c r="M5" s="29"/>
      <c r="N5" s="29"/>
      <c r="O5" s="29"/>
      <c r="P5" s="29"/>
      <c r="Q5" s="29">
        <f>SUM(C5:I5)</f>
        <v>5315.1423800667817</v>
      </c>
      <c r="R5" s="30">
        <f>C5/SUM(C$5:C$8)</f>
        <v>0.62063689476512496</v>
      </c>
      <c r="S5" s="30">
        <f t="shared" ref="S5:S8" si="0">D5/SUM(D$5:D$8)</f>
        <v>8.6418018722190321E-2</v>
      </c>
      <c r="T5" s="30">
        <f t="shared" ref="T5:X8" si="1">E5/SUM(E$5:E$8)</f>
        <v>0.10042297657500157</v>
      </c>
      <c r="U5" s="30">
        <f t="shared" si="1"/>
        <v>0.46159006926977775</v>
      </c>
      <c r="V5" s="30">
        <f t="shared" si="1"/>
        <v>0.36653964710591636</v>
      </c>
      <c r="W5" s="30">
        <f t="shared" si="1"/>
        <v>0.29880024939314431</v>
      </c>
      <c r="X5" s="30">
        <f t="shared" si="1"/>
        <v>0.55411896932042981</v>
      </c>
    </row>
    <row r="6" spans="1:24" x14ac:dyDescent="0.25">
      <c r="B6" t="s">
        <v>32</v>
      </c>
      <c r="C6" s="29">
        <v>40.80898863636363</v>
      </c>
      <c r="D6" s="29">
        <v>95.835496727272727</v>
      </c>
      <c r="E6" s="29">
        <v>1220.422983909091</v>
      </c>
      <c r="F6" s="29">
        <v>53.578472090909088</v>
      </c>
      <c r="G6" s="29">
        <v>855.80533360660615</v>
      </c>
      <c r="H6" s="29">
        <v>569.02907568035198</v>
      </c>
      <c r="I6" s="29">
        <v>141.98363986454547</v>
      </c>
      <c r="J6" s="29"/>
      <c r="K6" s="29"/>
      <c r="L6" s="29"/>
      <c r="M6" s="29"/>
      <c r="N6" s="29"/>
      <c r="O6" s="29"/>
      <c r="P6" s="29"/>
      <c r="Q6" s="29">
        <f>SUM(C6:I6)</f>
        <v>2977.4639905151398</v>
      </c>
      <c r="R6" s="30">
        <f t="shared" ref="R6:R8" si="2">C6/SUM(C$5:C$8)</f>
        <v>8.0372189139275713E-2</v>
      </c>
      <c r="S6" s="30">
        <f t="shared" si="0"/>
        <v>2.5884145034774535E-2</v>
      </c>
      <c r="T6" s="30">
        <f t="shared" si="1"/>
        <v>7.9837660949894834E-2</v>
      </c>
      <c r="U6" s="30">
        <f t="shared" si="1"/>
        <v>0.52683523051852499</v>
      </c>
      <c r="V6" s="30">
        <f t="shared" si="1"/>
        <v>0.43736835033231258</v>
      </c>
      <c r="W6" s="30">
        <f t="shared" si="1"/>
        <v>0.17640256532948981</v>
      </c>
      <c r="X6" s="30">
        <f t="shared" si="1"/>
        <v>5.5524875826226366E-2</v>
      </c>
    </row>
    <row r="7" spans="1:24" x14ac:dyDescent="0.25">
      <c r="B7" t="s">
        <v>33</v>
      </c>
      <c r="C7" s="29">
        <v>149.44280590909088</v>
      </c>
      <c r="D7" s="29">
        <v>657.26869818181808</v>
      </c>
      <c r="E7" s="29">
        <v>824.44790227272722</v>
      </c>
      <c r="F7" s="29">
        <v>1.072104818181818</v>
      </c>
      <c r="G7" s="29">
        <v>187.45495975727272</v>
      </c>
      <c r="H7" s="29">
        <v>139.41275360429091</v>
      </c>
      <c r="I7" s="29">
        <v>598.77238630272723</v>
      </c>
      <c r="J7" s="29"/>
      <c r="K7" s="29"/>
      <c r="L7" s="29"/>
      <c r="M7" s="29"/>
      <c r="N7" s="29"/>
      <c r="O7" s="29"/>
      <c r="P7" s="29"/>
      <c r="Q7" s="29">
        <f>SUM(C7:I7)</f>
        <v>2557.8716108461085</v>
      </c>
      <c r="R7" s="30">
        <f t="shared" si="2"/>
        <v>0.2943235268351358</v>
      </c>
      <c r="S7" s="30">
        <f t="shared" si="0"/>
        <v>0.17752126186574188</v>
      </c>
      <c r="T7" s="30">
        <f t="shared" si="1"/>
        <v>5.3933753264519872E-2</v>
      </c>
      <c r="U7" s="30">
        <f t="shared" si="1"/>
        <v>1.0541968947312992E-2</v>
      </c>
      <c r="V7" s="30">
        <f t="shared" si="1"/>
        <v>9.580083611436789E-2</v>
      </c>
      <c r="W7" s="30">
        <f t="shared" si="1"/>
        <v>4.3218823829065292E-2</v>
      </c>
      <c r="X7" s="30">
        <f t="shared" si="1"/>
        <v>0.23415910755175798</v>
      </c>
    </row>
    <row r="8" spans="1:24" ht="30" x14ac:dyDescent="0.25">
      <c r="B8" s="31" t="s">
        <v>48</v>
      </c>
      <c r="C8" s="29">
        <v>2.3698674545454543</v>
      </c>
      <c r="D8" s="29">
        <v>2629.413669181818</v>
      </c>
      <c r="E8" s="29">
        <v>11706.33953409091</v>
      </c>
      <c r="F8" s="29">
        <v>0.10502745454545453</v>
      </c>
      <c r="G8" s="29">
        <v>196.24125772727271</v>
      </c>
      <c r="H8" s="29">
        <v>1553.447306</v>
      </c>
      <c r="I8" s="29">
        <v>399.41422618181815</v>
      </c>
      <c r="J8" s="29"/>
      <c r="K8" s="29"/>
      <c r="L8" s="29"/>
      <c r="M8" s="29"/>
      <c r="N8" s="29"/>
      <c r="O8" s="29"/>
      <c r="P8" s="29"/>
      <c r="Q8" s="29">
        <f>SUM(C8:I8)</f>
        <v>16487.33088809091</v>
      </c>
      <c r="R8" s="30">
        <f t="shared" si="2"/>
        <v>4.6673892604635128E-3</v>
      </c>
      <c r="S8" s="30">
        <f t="shared" si="0"/>
        <v>0.71017657437729331</v>
      </c>
      <c r="T8" s="30">
        <f t="shared" si="1"/>
        <v>0.76580560921058372</v>
      </c>
      <c r="U8" s="30">
        <f t="shared" si="1"/>
        <v>1.0327312643843929E-3</v>
      </c>
      <c r="V8" s="30">
        <f t="shared" si="1"/>
        <v>0.10029116644740307</v>
      </c>
      <c r="W8" s="30">
        <f t="shared" si="1"/>
        <v>0.48157836144830057</v>
      </c>
      <c r="X8" s="30">
        <f t="shared" si="1"/>
        <v>0.1561970473015859</v>
      </c>
    </row>
    <row r="9" spans="1:24" x14ac:dyDescent="0.25">
      <c r="B9" t="s">
        <v>34</v>
      </c>
      <c r="J9" s="29">
        <v>65.551114575115975</v>
      </c>
      <c r="K9" s="29">
        <v>69.136350744292869</v>
      </c>
      <c r="L9" s="29">
        <v>353.46738122774047</v>
      </c>
      <c r="M9" s="29">
        <v>12.319487118836967</v>
      </c>
      <c r="N9" s="29">
        <v>158.31806574780015</v>
      </c>
      <c r="O9" s="29">
        <v>161.6860320030099</v>
      </c>
      <c r="P9" s="29">
        <v>234.38735041757803</v>
      </c>
      <c r="Q9" s="29">
        <f>SUM(J9:P9)</f>
        <v>1054.8657818343743</v>
      </c>
      <c r="R9" s="30">
        <f>J9/SUM(J$9:J$12)</f>
        <v>0.55441806576048347</v>
      </c>
      <c r="S9" s="30">
        <f t="shared" ref="S9:X12" si="3">K9/SUM(K$9:K$12)</f>
        <v>0.21327597089423034</v>
      </c>
      <c r="T9" s="30">
        <f t="shared" si="3"/>
        <v>0.30793842730091392</v>
      </c>
      <c r="U9" s="30">
        <f t="shared" si="3"/>
        <v>0.18671921361985894</v>
      </c>
      <c r="V9" s="30">
        <f t="shared" si="3"/>
        <v>0.14923222648797985</v>
      </c>
      <c r="W9" s="30">
        <f t="shared" si="3"/>
        <v>0.17013356913609282</v>
      </c>
      <c r="X9" s="30">
        <f t="shared" si="3"/>
        <v>0.50668484609224751</v>
      </c>
    </row>
    <row r="10" spans="1:24" x14ac:dyDescent="0.25">
      <c r="B10" t="s">
        <v>35</v>
      </c>
      <c r="J10" s="29">
        <v>40.80898863636363</v>
      </c>
      <c r="K10" s="29">
        <v>95.835496727272727</v>
      </c>
      <c r="L10" s="29">
        <v>658.27535433272726</v>
      </c>
      <c r="M10" s="29">
        <v>53.578472090909088</v>
      </c>
      <c r="N10" s="29">
        <v>854.33187150660615</v>
      </c>
      <c r="O10" s="29">
        <v>569.02907568035198</v>
      </c>
      <c r="P10" s="29">
        <v>141.96928345363636</v>
      </c>
      <c r="Q10" s="29">
        <f>SUM(J10:P10)</f>
        <v>2413.8285424278674</v>
      </c>
      <c r="R10" s="30">
        <f t="shared" ref="R10:R12" si="4">J10/SUM(J$9:J$12)</f>
        <v>0.34515417002540327</v>
      </c>
      <c r="S10" s="30">
        <f t="shared" si="3"/>
        <v>0.29563910143647804</v>
      </c>
      <c r="T10" s="30">
        <f t="shared" si="3"/>
        <v>0.57348510247276852</v>
      </c>
      <c r="U10" s="30">
        <f t="shared" si="3"/>
        <v>0.81205735914698962</v>
      </c>
      <c r="V10" s="30">
        <f t="shared" si="3"/>
        <v>0.80530195175369679</v>
      </c>
      <c r="W10" s="30">
        <f t="shared" si="3"/>
        <v>0.5987588809521156</v>
      </c>
      <c r="X10" s="30">
        <f t="shared" si="3"/>
        <v>0.30690088184527592</v>
      </c>
    </row>
    <row r="11" spans="1:24" x14ac:dyDescent="0.25">
      <c r="B11" t="s">
        <v>36</v>
      </c>
      <c r="J11" s="29">
        <v>10.460996413636364</v>
      </c>
      <c r="K11" s="29">
        <v>46.008808872727272</v>
      </c>
      <c r="L11" s="29">
        <v>57.706415575454542</v>
      </c>
      <c r="M11" s="29">
        <v>7.9984920909090915E-2</v>
      </c>
      <c r="N11" s="29">
        <v>13.121847183009093</v>
      </c>
      <c r="O11" s="29">
        <v>9.7588927523003637</v>
      </c>
      <c r="P11" s="29">
        <v>41.914067041190926</v>
      </c>
      <c r="Q11" s="29">
        <f>SUM(J11:P11)</f>
        <v>179.05101275922766</v>
      </c>
      <c r="R11" s="30">
        <f t="shared" si="4"/>
        <v>8.8476991355037782E-2</v>
      </c>
      <c r="S11" s="30">
        <f t="shared" si="3"/>
        <v>0.14193073942115761</v>
      </c>
      <c r="T11" s="30">
        <f t="shared" si="3"/>
        <v>5.0273444739810762E-2</v>
      </c>
      <c r="U11" s="30">
        <f t="shared" si="3"/>
        <v>1.2122843580684708E-3</v>
      </c>
      <c r="V11" s="30">
        <f t="shared" si="3"/>
        <v>1.2368787235405463E-2</v>
      </c>
      <c r="W11" s="30">
        <f t="shared" si="3"/>
        <v>1.0268761217012866E-2</v>
      </c>
      <c r="X11" s="30">
        <f t="shared" si="3"/>
        <v>9.0607375227504033E-2</v>
      </c>
    </row>
    <row r="12" spans="1:24" ht="30" x14ac:dyDescent="0.25">
      <c r="B12" s="31" t="s">
        <v>49</v>
      </c>
      <c r="J12" s="29">
        <v>1.4129887341818179</v>
      </c>
      <c r="K12" s="29">
        <v>113.18315101954545</v>
      </c>
      <c r="L12" s="29">
        <v>78.401684909090903</v>
      </c>
      <c r="M12" s="29">
        <v>7.3519218181818178E-4</v>
      </c>
      <c r="N12" s="29">
        <v>35.112110909090902</v>
      </c>
      <c r="O12" s="29">
        <v>209.87361658090907</v>
      </c>
      <c r="P12" s="29">
        <v>44.319313818181818</v>
      </c>
      <c r="Q12" s="29">
        <f>SUM(J12:P12)</f>
        <v>482.30360116318178</v>
      </c>
      <c r="R12" s="30">
        <f t="shared" si="4"/>
        <v>1.1950772859075393E-2</v>
      </c>
      <c r="S12" s="30">
        <f t="shared" si="3"/>
        <v>0.34915418824813399</v>
      </c>
      <c r="T12" s="30">
        <f t="shared" si="3"/>
        <v>6.8303025486507005E-2</v>
      </c>
      <c r="U12" s="30">
        <f t="shared" si="3"/>
        <v>1.1142875082734676E-5</v>
      </c>
      <c r="V12" s="30">
        <f t="shared" si="3"/>
        <v>3.3097034522917866E-2</v>
      </c>
      <c r="W12" s="30">
        <f t="shared" si="3"/>
        <v>0.22083878869477869</v>
      </c>
      <c r="X12" s="30">
        <f t="shared" si="3"/>
        <v>9.5806896834972607E-2</v>
      </c>
    </row>
    <row r="14" spans="1:24" ht="48.75" customHeight="1" x14ac:dyDescent="0.25">
      <c r="B14" s="57" t="s">
        <v>64</v>
      </c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</row>
    <row r="15" spans="1:24" x14ac:dyDescent="0.25">
      <c r="G15" s="32"/>
      <c r="N15" s="32"/>
    </row>
    <row r="16" spans="1:24" x14ac:dyDescent="0.25">
      <c r="G16" s="32"/>
      <c r="N16" s="32"/>
      <c r="Q16" s="33">
        <f>Q12/Q8</f>
        <v>2.9252982452821288E-2</v>
      </c>
    </row>
    <row r="17" spans="7:14" x14ac:dyDescent="0.25">
      <c r="G17" s="32"/>
      <c r="N17" s="32"/>
    </row>
  </sheetData>
  <mergeCells count="4">
    <mergeCell ref="C3:I3"/>
    <mergeCell ref="J3:P3"/>
    <mergeCell ref="R3:X3"/>
    <mergeCell ref="B14:P1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"/>
  <sheetViews>
    <sheetView tabSelected="1" topLeftCell="A10" workbookViewId="0">
      <selection activeCell="D41" sqref="D41"/>
    </sheetView>
  </sheetViews>
  <sheetFormatPr baseColWidth="10" defaultRowHeight="15" x14ac:dyDescent="0.25"/>
  <cols>
    <col min="1" max="1" width="17.140625" style="36" bestFit="1" customWidth="1"/>
    <col min="2" max="2" width="26.7109375" style="36" customWidth="1"/>
    <col min="3" max="3" width="22.140625" style="36" customWidth="1"/>
    <col min="4" max="4" width="25.42578125" style="36" customWidth="1"/>
    <col min="5" max="16384" width="11.42578125" style="36"/>
  </cols>
  <sheetData>
    <row r="1" spans="1:7" ht="45" x14ac:dyDescent="0.25">
      <c r="A1" s="34" t="s">
        <v>4</v>
      </c>
      <c r="B1" s="35" t="s">
        <v>40</v>
      </c>
      <c r="C1" s="35" t="s">
        <v>41</v>
      </c>
      <c r="D1" s="35" t="s">
        <v>42</v>
      </c>
    </row>
    <row r="2" spans="1:7" x14ac:dyDescent="0.25">
      <c r="A2" s="37">
        <v>2008</v>
      </c>
      <c r="B2" s="38">
        <v>167.35</v>
      </c>
      <c r="C2" s="39">
        <f>+B2/2.106</f>
        <v>79.463437796771132</v>
      </c>
      <c r="D2" s="39">
        <v>-20.536562203228868</v>
      </c>
      <c r="E2" s="40"/>
    </row>
    <row r="3" spans="1:7" x14ac:dyDescent="0.25">
      <c r="A3" s="37">
        <v>2009</v>
      </c>
      <c r="B3" s="38">
        <v>176.09299999999999</v>
      </c>
      <c r="C3" s="39">
        <f t="shared" ref="C3:C14" si="0">+B3/2.106</f>
        <v>83.614909781576443</v>
      </c>
      <c r="D3" s="39">
        <v>-16.385090218423557</v>
      </c>
      <c r="E3" s="40"/>
    </row>
    <row r="4" spans="1:7" x14ac:dyDescent="0.25">
      <c r="A4" s="37">
        <v>2010</v>
      </c>
      <c r="B4" s="38">
        <v>198.58799999999999</v>
      </c>
      <c r="C4" s="39">
        <f t="shared" si="0"/>
        <v>94.296296296296305</v>
      </c>
      <c r="D4" s="39">
        <v>-5.7037037037036953</v>
      </c>
      <c r="E4" s="40"/>
    </row>
    <row r="5" spans="1:7" x14ac:dyDescent="0.25">
      <c r="A5" s="37">
        <v>2011</v>
      </c>
      <c r="B5" s="38">
        <v>164.42400000000001</v>
      </c>
      <c r="C5" s="39">
        <f t="shared" si="0"/>
        <v>78.074074074074076</v>
      </c>
      <c r="D5" s="39">
        <v>-21.925925925925924</v>
      </c>
      <c r="E5" s="40"/>
    </row>
    <row r="6" spans="1:7" x14ac:dyDescent="0.25">
      <c r="A6" s="37">
        <v>2012</v>
      </c>
      <c r="B6" s="38">
        <v>161.55500000000001</v>
      </c>
      <c r="C6" s="39">
        <f t="shared" si="0"/>
        <v>76.711775878442552</v>
      </c>
      <c r="D6" s="39">
        <v>-23.288224121557448</v>
      </c>
      <c r="E6" s="40"/>
    </row>
    <row r="7" spans="1:7" x14ac:dyDescent="0.25">
      <c r="A7" s="37">
        <v>2013</v>
      </c>
      <c r="B7" s="38">
        <v>292.79899999999998</v>
      </c>
      <c r="C7" s="39">
        <f t="shared" si="0"/>
        <v>139.03086419753086</v>
      </c>
      <c r="D7" s="39">
        <v>39.03086419753086</v>
      </c>
      <c r="E7" s="40"/>
    </row>
    <row r="8" spans="1:7" x14ac:dyDescent="0.25">
      <c r="A8" s="37">
        <v>2014</v>
      </c>
      <c r="B8" s="38">
        <v>288.31900000000002</v>
      </c>
      <c r="C8" s="39">
        <f t="shared" si="0"/>
        <v>136.90360873694209</v>
      </c>
      <c r="D8" s="39">
        <v>36.90360873694209</v>
      </c>
      <c r="E8" s="40"/>
    </row>
    <row r="9" spans="1:7" x14ac:dyDescent="0.25">
      <c r="A9" s="37">
        <v>2015</v>
      </c>
      <c r="B9" s="38">
        <v>182.167</v>
      </c>
      <c r="C9" s="39">
        <f t="shared" si="0"/>
        <v>86.499050332383675</v>
      </c>
      <c r="D9" s="39">
        <v>-13.500949667616325</v>
      </c>
      <c r="E9" s="40"/>
    </row>
    <row r="10" spans="1:7" x14ac:dyDescent="0.25">
      <c r="A10" s="37">
        <v>2016</v>
      </c>
      <c r="B10" s="38">
        <v>215.30600000000001</v>
      </c>
      <c r="C10" s="39">
        <f t="shared" si="0"/>
        <v>102.23456790123458</v>
      </c>
      <c r="D10" s="39">
        <v>2.234567901234584</v>
      </c>
      <c r="E10" s="40"/>
    </row>
    <row r="11" spans="1:7" x14ac:dyDescent="0.25">
      <c r="A11" s="37">
        <v>2017</v>
      </c>
      <c r="B11" s="38">
        <v>130.26300000000001</v>
      </c>
      <c r="C11" s="39">
        <f t="shared" si="0"/>
        <v>61.853276353276357</v>
      </c>
      <c r="D11" s="39">
        <v>-38.146723646723643</v>
      </c>
      <c r="E11" s="40"/>
    </row>
    <row r="12" spans="1:7" x14ac:dyDescent="0.25">
      <c r="A12" s="37">
        <v>2018</v>
      </c>
      <c r="B12" s="38">
        <v>257.04700000000003</v>
      </c>
      <c r="C12" s="39">
        <f t="shared" si="0"/>
        <v>122.05460588793925</v>
      </c>
      <c r="D12" s="39">
        <v>22.054605887939246</v>
      </c>
      <c r="E12" s="40"/>
    </row>
    <row r="13" spans="1:7" x14ac:dyDescent="0.25">
      <c r="A13" s="37">
        <v>2019</v>
      </c>
      <c r="B13" s="38">
        <v>141.6</v>
      </c>
      <c r="C13" s="39">
        <f t="shared" si="0"/>
        <v>67.236467236467234</v>
      </c>
      <c r="D13" s="39">
        <v>-32.763532763532766</v>
      </c>
      <c r="E13" s="40"/>
    </row>
    <row r="14" spans="1:7" x14ac:dyDescent="0.25">
      <c r="A14" s="37">
        <v>2020</v>
      </c>
      <c r="B14" s="38">
        <v>289.5</v>
      </c>
      <c r="C14" s="39">
        <f t="shared" si="0"/>
        <v>137.46438746438747</v>
      </c>
      <c r="D14" s="39">
        <v>37.464387464387471</v>
      </c>
      <c r="E14" s="40"/>
    </row>
    <row r="15" spans="1:7" x14ac:dyDescent="0.25">
      <c r="A15" s="41" t="s">
        <v>43</v>
      </c>
      <c r="E15" s="40"/>
      <c r="G15" s="42"/>
    </row>
    <row r="16" spans="1:7" x14ac:dyDescent="0.25">
      <c r="A16" s="41" t="s">
        <v>44</v>
      </c>
      <c r="E16" s="40"/>
      <c r="F16" s="43"/>
    </row>
    <row r="17" spans="1:6" x14ac:dyDescent="0.25">
      <c r="A17" s="41" t="s">
        <v>45</v>
      </c>
      <c r="E17" s="40"/>
      <c r="F17" s="42"/>
    </row>
    <row r="18" spans="1:6" ht="17.25" x14ac:dyDescent="0.25">
      <c r="A18" s="41" t="s">
        <v>60</v>
      </c>
      <c r="E18" s="40"/>
      <c r="F18" s="42"/>
    </row>
    <row r="19" spans="1:6" x14ac:dyDescent="0.25">
      <c r="A19" s="41" t="s">
        <v>46</v>
      </c>
      <c r="E19" s="40"/>
      <c r="F19" s="42"/>
    </row>
    <row r="20" spans="1:6" x14ac:dyDescent="0.25">
      <c r="A20" s="41" t="s">
        <v>59</v>
      </c>
      <c r="E20" s="40"/>
    </row>
    <row r="21" spans="1:6" x14ac:dyDescent="0.25">
      <c r="A21" s="41" t="s">
        <v>61</v>
      </c>
      <c r="E21" s="40"/>
    </row>
    <row r="25" spans="1:6" x14ac:dyDescent="0.25">
      <c r="A25" s="44" t="s">
        <v>6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Graph 1</vt:lpstr>
      <vt:lpstr>Graph 2</vt:lpstr>
      <vt:lpstr>Graph 3</vt:lpstr>
      <vt:lpstr>Graph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Données «Eau : ressource et utilisation»</dc:title>
  <dc:subject>Bilan environnemental 2023</dc:subject>
  <dc:creator>SDES</dc:creator>
  <cp:keywords>eau; ressources naturelles; rivières; nappes; ressource</cp:keywords>
  <cp:lastModifiedBy/>
  <dcterms:created xsi:type="dcterms:W3CDTF">2006-09-16T00:00:00Z</dcterms:created>
  <dcterms:modified xsi:type="dcterms:W3CDTF">2023-11-28T17:09:37Z</dcterms:modified>
</cp:coreProperties>
</file>